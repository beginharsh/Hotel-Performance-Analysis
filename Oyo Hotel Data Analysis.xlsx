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user\Data Analyst projects and Classes\EDA &amp; Python\Portfolio Projects\OYO Hotel Data Analysis\"/>
    </mc:Choice>
  </mc:AlternateContent>
  <xr:revisionPtr revIDLastSave="0" documentId="13_ncr:1_{5952D956-961F-4FB5-90F6-D8A2BD6BDCD4}" xr6:coauthVersionLast="47" xr6:coauthVersionMax="47" xr10:uidLastSave="{00000000-0000-0000-0000-000000000000}"/>
  <bookViews>
    <workbookView xWindow="0" yWindow="0" windowWidth="20490" windowHeight="10800" activeTab="1" xr2:uid="{FEFE4D85-345F-4C2A-8730-88562754D770}"/>
  </bookViews>
  <sheets>
    <sheet name="Dashboard" sheetId="8" r:id="rId1"/>
    <sheet name="Pivots" sheetId="10" r:id="rId2"/>
    <sheet name="Daily_data" sheetId="1" r:id="rId3"/>
    <sheet name="expense_data" sheetId="2" r:id="rId4"/>
    <sheet name="occupancy_data" sheetId="3" r:id="rId5"/>
    <sheet name="Monthly_Summary" sheetId="5" r:id="rId6"/>
    <sheet name="closing balacne" sheetId="4" r:id="rId7"/>
    <sheet name="Sheet1" sheetId="9" r:id="rId8"/>
  </sheets>
  <definedNames>
    <definedName name="_xlnm._FilterDatabase" localSheetId="2" hidden="1">Daily_data!#REF!</definedName>
    <definedName name="_xlnm._FilterDatabase" localSheetId="5" hidden="1">Monthly_Summary!$O$3:$P$13</definedName>
    <definedName name="Slicer_Month">#N/A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X16" i="1" l="1"/>
  <c r="I2" i="1"/>
  <c r="X13" i="1"/>
  <c r="X12" i="1"/>
  <c r="X9" i="1"/>
  <c r="S18" i="1"/>
  <c r="S19" i="1"/>
  <c r="S99" i="1"/>
  <c r="S163" i="1"/>
  <c r="S195" i="1"/>
  <c r="S218" i="1"/>
  <c r="S250" i="1"/>
  <c r="S277" i="1"/>
  <c r="S293" i="1"/>
  <c r="S366" i="1"/>
  <c r="S397" i="1"/>
  <c r="S422" i="1"/>
  <c r="S485" i="1"/>
  <c r="S518" i="1"/>
  <c r="S533" i="1"/>
  <c r="S549" i="1"/>
  <c r="S558" i="1"/>
  <c r="S566" i="1"/>
  <c r="S577" i="1"/>
  <c r="S578" i="1"/>
  <c r="S585" i="1"/>
  <c r="S586" i="1"/>
  <c r="S597" i="1"/>
  <c r="S598" i="1"/>
  <c r="S610" i="1"/>
  <c r="S618" i="1"/>
  <c r="S630" i="1"/>
  <c r="S653" i="1"/>
  <c r="S657" i="1"/>
  <c r="S670" i="1"/>
  <c r="S674" i="1"/>
  <c r="S682" i="1"/>
  <c r="S690" i="1"/>
  <c r="S698" i="1"/>
  <c r="R89" i="1"/>
  <c r="R129" i="1"/>
  <c r="R257" i="1"/>
  <c r="R363" i="1"/>
  <c r="R378" i="1"/>
  <c r="R427" i="1"/>
  <c r="R490" i="1"/>
  <c r="R577" i="1"/>
  <c r="R619" i="1"/>
  <c r="R675" i="1"/>
  <c r="R678" i="1"/>
  <c r="R708" i="1"/>
  <c r="R712" i="1"/>
  <c r="D30" i="1"/>
  <c r="D422" i="1"/>
  <c r="D677" i="1"/>
  <c r="C163" i="1"/>
  <c r="C368" i="1"/>
  <c r="C453" i="1"/>
  <c r="C505" i="1"/>
  <c r="C536" i="1"/>
  <c r="C590" i="1"/>
  <c r="C677" i="1"/>
  <c r="C2" i="5"/>
  <c r="C3" i="5"/>
  <c r="C4" i="5"/>
  <c r="C5" i="5"/>
  <c r="C6" i="5"/>
  <c r="C7" i="5"/>
  <c r="C8" i="5"/>
  <c r="C9" i="5"/>
  <c r="C10" i="5"/>
  <c r="C11" i="5"/>
  <c r="C12" i="5"/>
  <c r="C13" i="5"/>
  <c r="C14" i="5"/>
  <c r="C15" i="5"/>
  <c r="C16" i="5"/>
  <c r="C17" i="5"/>
  <c r="C18" i="5"/>
  <c r="C19" i="5"/>
  <c r="C20" i="5"/>
  <c r="C21" i="5"/>
  <c r="C22" i="5"/>
  <c r="C23" i="5"/>
  <c r="C24" i="5"/>
  <c r="C25" i="5"/>
  <c r="B2" i="5"/>
  <c r="B3" i="5"/>
  <c r="B4" i="5"/>
  <c r="B5" i="5"/>
  <c r="B6" i="5"/>
  <c r="B7" i="5"/>
  <c r="B8" i="5"/>
  <c r="B9" i="5"/>
  <c r="B10" i="5"/>
  <c r="B11" i="5"/>
  <c r="B12" i="5"/>
  <c r="B13" i="5"/>
  <c r="B14" i="5"/>
  <c r="B15" i="5"/>
  <c r="B16" i="5"/>
  <c r="B17" i="5"/>
  <c r="B18" i="5"/>
  <c r="B19" i="5"/>
  <c r="B20" i="5"/>
  <c r="B21" i="5"/>
  <c r="B22" i="5"/>
  <c r="B23" i="5"/>
  <c r="B24" i="5"/>
  <c r="B25" i="5"/>
  <c r="I25" i="5"/>
  <c r="D25" i="5"/>
  <c r="I24" i="5"/>
  <c r="D24" i="5"/>
  <c r="I23" i="5"/>
  <c r="D23" i="5"/>
  <c r="I22" i="5"/>
  <c r="D22" i="5"/>
  <c r="I21" i="5"/>
  <c r="D21" i="5"/>
  <c r="I20" i="5"/>
  <c r="D20" i="5"/>
  <c r="I19" i="5"/>
  <c r="D19" i="5"/>
  <c r="I18" i="5"/>
  <c r="D18" i="5"/>
  <c r="I17" i="5"/>
  <c r="D17" i="5"/>
  <c r="I16" i="5"/>
  <c r="D16" i="5"/>
  <c r="I15" i="5"/>
  <c r="D15" i="5"/>
  <c r="I14" i="5"/>
  <c r="D14" i="5"/>
  <c r="I13" i="5"/>
  <c r="D13" i="5"/>
  <c r="I12" i="5"/>
  <c r="D12" i="5"/>
  <c r="I11" i="5"/>
  <c r="D11" i="5"/>
  <c r="I10" i="5"/>
  <c r="D10" i="5"/>
  <c r="I9" i="5"/>
  <c r="D9" i="5"/>
  <c r="I8" i="5"/>
  <c r="D8" i="5"/>
  <c r="I7" i="5"/>
  <c r="D7" i="5"/>
  <c r="I6" i="5"/>
  <c r="D6" i="5"/>
  <c r="I5" i="5"/>
  <c r="D5" i="5"/>
  <c r="I4" i="5"/>
  <c r="D4" i="5"/>
  <c r="I3" i="5"/>
  <c r="D3" i="5"/>
  <c r="I2" i="5"/>
  <c r="D2" i="5"/>
  <c r="C25" i="3"/>
  <c r="C24" i="3"/>
  <c r="C23" i="3"/>
  <c r="C22" i="3"/>
  <c r="C21" i="3"/>
  <c r="C20" i="3"/>
  <c r="C19" i="3"/>
  <c r="C18" i="3"/>
  <c r="C17" i="3"/>
  <c r="C16" i="3"/>
  <c r="C15" i="3"/>
  <c r="C14" i="3"/>
  <c r="C13" i="3"/>
  <c r="C12" i="3"/>
  <c r="C11" i="3"/>
  <c r="C10" i="3"/>
  <c r="C9" i="3"/>
  <c r="C8" i="3"/>
  <c r="C7" i="3"/>
  <c r="C6" i="3"/>
  <c r="C5" i="3"/>
  <c r="C4" i="3"/>
  <c r="C3" i="3"/>
  <c r="C2" i="3"/>
  <c r="C25" i="2"/>
  <c r="C24" i="2"/>
  <c r="C23" i="2"/>
  <c r="C22" i="2"/>
  <c r="C21" i="2"/>
  <c r="C20" i="2"/>
  <c r="C19" i="2"/>
  <c r="C18" i="2"/>
  <c r="C17" i="2"/>
  <c r="C16" i="2"/>
  <c r="C15" i="2"/>
  <c r="C14" i="2"/>
  <c r="C13" i="2"/>
  <c r="C12" i="2"/>
  <c r="C11" i="2"/>
  <c r="C10" i="2"/>
  <c r="C9" i="2"/>
  <c r="C8" i="2"/>
  <c r="C7" i="2"/>
  <c r="C6" i="2"/>
  <c r="C5" i="2"/>
  <c r="C4" i="2"/>
  <c r="C3" i="2"/>
  <c r="C2" i="2"/>
  <c r="I732" i="1"/>
  <c r="J732" i="1" s="1"/>
  <c r="G732" i="1"/>
  <c r="B732" i="1"/>
  <c r="C732" i="1" s="1"/>
  <c r="I731" i="1"/>
  <c r="G731" i="1"/>
  <c r="B731" i="1"/>
  <c r="O731" i="1" s="1"/>
  <c r="I730" i="1"/>
  <c r="R730" i="1" s="1"/>
  <c r="G730" i="1"/>
  <c r="B730" i="1"/>
  <c r="L730" i="1" s="1"/>
  <c r="I729" i="1"/>
  <c r="S729" i="1" s="1"/>
  <c r="G729" i="1"/>
  <c r="B729" i="1"/>
  <c r="D729" i="1" s="1"/>
  <c r="I728" i="1"/>
  <c r="J728" i="1" s="1"/>
  <c r="G728" i="1"/>
  <c r="B728" i="1"/>
  <c r="C728" i="1" s="1"/>
  <c r="I727" i="1"/>
  <c r="R727" i="1" s="1"/>
  <c r="G727" i="1"/>
  <c r="B727" i="1"/>
  <c r="I726" i="1"/>
  <c r="J726" i="1" s="1"/>
  <c r="G726" i="1"/>
  <c r="B726" i="1"/>
  <c r="O726" i="1" s="1"/>
  <c r="I725" i="1"/>
  <c r="S725" i="1" s="1"/>
  <c r="G725" i="1"/>
  <c r="B725" i="1"/>
  <c r="L725" i="1" s="1"/>
  <c r="I724" i="1"/>
  <c r="J724" i="1" s="1"/>
  <c r="G724" i="1"/>
  <c r="B724" i="1"/>
  <c r="C724" i="1" s="1"/>
  <c r="I723" i="1"/>
  <c r="J723" i="1" s="1"/>
  <c r="G723" i="1"/>
  <c r="B723" i="1"/>
  <c r="I722" i="1"/>
  <c r="S722" i="1" s="1"/>
  <c r="G722" i="1"/>
  <c r="B722" i="1"/>
  <c r="I721" i="1"/>
  <c r="S721" i="1" s="1"/>
  <c r="G721" i="1"/>
  <c r="B721" i="1"/>
  <c r="L721" i="1" s="1"/>
  <c r="I720" i="1"/>
  <c r="J720" i="1" s="1"/>
  <c r="G720" i="1"/>
  <c r="B720" i="1"/>
  <c r="C720" i="1" s="1"/>
  <c r="I719" i="1"/>
  <c r="G719" i="1"/>
  <c r="B719" i="1"/>
  <c r="C719" i="1" s="1"/>
  <c r="I718" i="1"/>
  <c r="S718" i="1" s="1"/>
  <c r="G718" i="1"/>
  <c r="B718" i="1"/>
  <c r="I717" i="1"/>
  <c r="S717" i="1" s="1"/>
  <c r="G717" i="1"/>
  <c r="B717" i="1"/>
  <c r="I716" i="1"/>
  <c r="S716" i="1" s="1"/>
  <c r="G716" i="1"/>
  <c r="B716" i="1"/>
  <c r="I715" i="1"/>
  <c r="J715" i="1" s="1"/>
  <c r="G715" i="1"/>
  <c r="B715" i="1"/>
  <c r="D715" i="1" s="1"/>
  <c r="I714" i="1"/>
  <c r="J714" i="1" s="1"/>
  <c r="G714" i="1"/>
  <c r="B714" i="1"/>
  <c r="L714" i="1" s="1"/>
  <c r="I713" i="1"/>
  <c r="S713" i="1" s="1"/>
  <c r="G713" i="1"/>
  <c r="B713" i="1"/>
  <c r="I712" i="1"/>
  <c r="S712" i="1" s="1"/>
  <c r="G712" i="1"/>
  <c r="B712" i="1"/>
  <c r="C712" i="1" s="1"/>
  <c r="I711" i="1"/>
  <c r="S711" i="1" s="1"/>
  <c r="G711" i="1"/>
  <c r="B711" i="1"/>
  <c r="I710" i="1"/>
  <c r="J710" i="1" s="1"/>
  <c r="G710" i="1"/>
  <c r="B710" i="1"/>
  <c r="D710" i="1" s="1"/>
  <c r="I709" i="1"/>
  <c r="S709" i="1" s="1"/>
  <c r="G709" i="1"/>
  <c r="B709" i="1"/>
  <c r="I708" i="1"/>
  <c r="J708" i="1" s="1"/>
  <c r="G708" i="1"/>
  <c r="B708" i="1"/>
  <c r="I707" i="1"/>
  <c r="J707" i="1" s="1"/>
  <c r="G707" i="1"/>
  <c r="B707" i="1"/>
  <c r="I706" i="1"/>
  <c r="J706" i="1" s="1"/>
  <c r="G706" i="1"/>
  <c r="B706" i="1"/>
  <c r="D706" i="1" s="1"/>
  <c r="I705" i="1"/>
  <c r="S705" i="1" s="1"/>
  <c r="G705" i="1"/>
  <c r="B705" i="1"/>
  <c r="L705" i="1" s="1"/>
  <c r="I704" i="1"/>
  <c r="G704" i="1"/>
  <c r="B704" i="1"/>
  <c r="I703" i="1"/>
  <c r="G703" i="1"/>
  <c r="B703" i="1"/>
  <c r="I702" i="1"/>
  <c r="S702" i="1" s="1"/>
  <c r="G702" i="1"/>
  <c r="B702" i="1"/>
  <c r="D702" i="1" s="1"/>
  <c r="I701" i="1"/>
  <c r="S701" i="1" s="1"/>
  <c r="G701" i="1"/>
  <c r="B701" i="1"/>
  <c r="L701" i="1" s="1"/>
  <c r="I700" i="1"/>
  <c r="G700" i="1"/>
  <c r="B700" i="1"/>
  <c r="D700" i="1" s="1"/>
  <c r="I699" i="1"/>
  <c r="G699" i="1"/>
  <c r="B699" i="1"/>
  <c r="D699" i="1" s="1"/>
  <c r="I698" i="1"/>
  <c r="J698" i="1" s="1"/>
  <c r="G698" i="1"/>
  <c r="B698" i="1"/>
  <c r="D698" i="1" s="1"/>
  <c r="I697" i="1"/>
  <c r="S697" i="1" s="1"/>
  <c r="G697" i="1"/>
  <c r="B697" i="1"/>
  <c r="L697" i="1" s="1"/>
  <c r="I696" i="1"/>
  <c r="S696" i="1" s="1"/>
  <c r="G696" i="1"/>
  <c r="B696" i="1"/>
  <c r="C696" i="1" s="1"/>
  <c r="I695" i="1"/>
  <c r="S695" i="1" s="1"/>
  <c r="G695" i="1"/>
  <c r="B695" i="1"/>
  <c r="I694" i="1"/>
  <c r="J694" i="1" s="1"/>
  <c r="G694" i="1"/>
  <c r="B694" i="1"/>
  <c r="C694" i="1" s="1"/>
  <c r="I693" i="1"/>
  <c r="R693" i="1" s="1"/>
  <c r="G693" i="1"/>
  <c r="B693" i="1"/>
  <c r="C693" i="1" s="1"/>
  <c r="I692" i="1"/>
  <c r="R692" i="1" s="1"/>
  <c r="G692" i="1"/>
  <c r="B692" i="1"/>
  <c r="C692" i="1" s="1"/>
  <c r="I691" i="1"/>
  <c r="S691" i="1" s="1"/>
  <c r="G691" i="1"/>
  <c r="B691" i="1"/>
  <c r="I690" i="1"/>
  <c r="J690" i="1" s="1"/>
  <c r="G690" i="1"/>
  <c r="B690" i="1"/>
  <c r="I689" i="1"/>
  <c r="G689" i="1"/>
  <c r="B689" i="1"/>
  <c r="D689" i="1" s="1"/>
  <c r="I688" i="1"/>
  <c r="G688" i="1"/>
  <c r="B688" i="1"/>
  <c r="C688" i="1" s="1"/>
  <c r="I687" i="1"/>
  <c r="G687" i="1"/>
  <c r="B687" i="1"/>
  <c r="I686" i="1"/>
  <c r="J686" i="1" s="1"/>
  <c r="G686" i="1"/>
  <c r="B686" i="1"/>
  <c r="O686" i="1" s="1"/>
  <c r="I685" i="1"/>
  <c r="R685" i="1" s="1"/>
  <c r="G685" i="1"/>
  <c r="B685" i="1"/>
  <c r="I684" i="1"/>
  <c r="S684" i="1" s="1"/>
  <c r="G684" i="1"/>
  <c r="B684" i="1"/>
  <c r="I683" i="1"/>
  <c r="G683" i="1"/>
  <c r="B683" i="1"/>
  <c r="I682" i="1"/>
  <c r="J682" i="1" s="1"/>
  <c r="G682" i="1"/>
  <c r="B682" i="1"/>
  <c r="I681" i="1"/>
  <c r="G681" i="1"/>
  <c r="B681" i="1"/>
  <c r="O681" i="1" s="1"/>
  <c r="I680" i="1"/>
  <c r="R680" i="1" s="1"/>
  <c r="G680" i="1"/>
  <c r="B680" i="1"/>
  <c r="I679" i="1"/>
  <c r="R679" i="1" s="1"/>
  <c r="G679" i="1"/>
  <c r="B679" i="1"/>
  <c r="I678" i="1"/>
  <c r="J678" i="1" s="1"/>
  <c r="G678" i="1"/>
  <c r="B678" i="1"/>
  <c r="I677" i="1"/>
  <c r="G677" i="1"/>
  <c r="B677" i="1"/>
  <c r="K677" i="1" s="1"/>
  <c r="I676" i="1"/>
  <c r="G676" i="1"/>
  <c r="B676" i="1"/>
  <c r="I675" i="1"/>
  <c r="J675" i="1" s="1"/>
  <c r="G675" i="1"/>
  <c r="B675" i="1"/>
  <c r="I674" i="1"/>
  <c r="G674" i="1"/>
  <c r="B674" i="1"/>
  <c r="I673" i="1"/>
  <c r="G673" i="1"/>
  <c r="B673" i="1"/>
  <c r="I672" i="1"/>
  <c r="G672" i="1"/>
  <c r="B672" i="1"/>
  <c r="C672" i="1" s="1"/>
  <c r="I671" i="1"/>
  <c r="J671" i="1" s="1"/>
  <c r="G671" i="1"/>
  <c r="B671" i="1"/>
  <c r="C671" i="1" s="1"/>
  <c r="I670" i="1"/>
  <c r="G670" i="1"/>
  <c r="B670" i="1"/>
  <c r="I669" i="1"/>
  <c r="G669" i="1"/>
  <c r="B669" i="1"/>
  <c r="D669" i="1" s="1"/>
  <c r="O668" i="1"/>
  <c r="I668" i="1"/>
  <c r="S668" i="1" s="1"/>
  <c r="G668" i="1"/>
  <c r="B668" i="1"/>
  <c r="C668" i="1" s="1"/>
  <c r="O667" i="1"/>
  <c r="I667" i="1"/>
  <c r="G667" i="1"/>
  <c r="B667" i="1"/>
  <c r="C667" i="1" s="1"/>
  <c r="I666" i="1"/>
  <c r="J666" i="1" s="1"/>
  <c r="G666" i="1"/>
  <c r="B666" i="1"/>
  <c r="I665" i="1"/>
  <c r="S665" i="1" s="1"/>
  <c r="G665" i="1"/>
  <c r="B665" i="1"/>
  <c r="I664" i="1"/>
  <c r="S664" i="1" s="1"/>
  <c r="G664" i="1"/>
  <c r="B664" i="1"/>
  <c r="O664" i="1" s="1"/>
  <c r="I663" i="1"/>
  <c r="G663" i="1"/>
  <c r="B663" i="1"/>
  <c r="I662" i="1"/>
  <c r="J662" i="1" s="1"/>
  <c r="G662" i="1"/>
  <c r="B662" i="1"/>
  <c r="O662" i="1" s="1"/>
  <c r="I661" i="1"/>
  <c r="S661" i="1" s="1"/>
  <c r="G661" i="1"/>
  <c r="B661" i="1"/>
  <c r="I660" i="1"/>
  <c r="J660" i="1" s="1"/>
  <c r="G660" i="1"/>
  <c r="B660" i="1"/>
  <c r="C660" i="1" s="1"/>
  <c r="I659" i="1"/>
  <c r="G659" i="1"/>
  <c r="B659" i="1"/>
  <c r="O659" i="1" s="1"/>
  <c r="I658" i="1"/>
  <c r="J658" i="1" s="1"/>
  <c r="G658" i="1"/>
  <c r="B658" i="1"/>
  <c r="C658" i="1" s="1"/>
  <c r="I657" i="1"/>
  <c r="G657" i="1"/>
  <c r="B657" i="1"/>
  <c r="I656" i="1"/>
  <c r="R656" i="1" s="1"/>
  <c r="G656" i="1"/>
  <c r="B656" i="1"/>
  <c r="C656" i="1" s="1"/>
  <c r="I655" i="1"/>
  <c r="G655" i="1"/>
  <c r="B655" i="1"/>
  <c r="I654" i="1"/>
  <c r="S654" i="1" s="1"/>
  <c r="G654" i="1"/>
  <c r="B654" i="1"/>
  <c r="I653" i="1"/>
  <c r="G653" i="1"/>
  <c r="B653" i="1"/>
  <c r="I652" i="1"/>
  <c r="J652" i="1" s="1"/>
  <c r="G652" i="1"/>
  <c r="B652" i="1"/>
  <c r="D652" i="1" s="1"/>
  <c r="I651" i="1"/>
  <c r="G651" i="1"/>
  <c r="B651" i="1"/>
  <c r="I650" i="1"/>
  <c r="J650" i="1" s="1"/>
  <c r="G650" i="1"/>
  <c r="B650" i="1"/>
  <c r="D650" i="1" s="1"/>
  <c r="I649" i="1"/>
  <c r="S649" i="1" s="1"/>
  <c r="G649" i="1"/>
  <c r="B649" i="1"/>
  <c r="I648" i="1"/>
  <c r="S648" i="1" s="1"/>
  <c r="G648" i="1"/>
  <c r="B648" i="1"/>
  <c r="D648" i="1" s="1"/>
  <c r="I647" i="1"/>
  <c r="S647" i="1" s="1"/>
  <c r="G647" i="1"/>
  <c r="B647" i="1"/>
  <c r="I646" i="1"/>
  <c r="R646" i="1" s="1"/>
  <c r="G646" i="1"/>
  <c r="B646" i="1"/>
  <c r="D646" i="1" s="1"/>
  <c r="I645" i="1"/>
  <c r="G645" i="1"/>
  <c r="B645" i="1"/>
  <c r="I644" i="1"/>
  <c r="J644" i="1" s="1"/>
  <c r="G644" i="1"/>
  <c r="B644" i="1"/>
  <c r="C644" i="1" s="1"/>
  <c r="I643" i="1"/>
  <c r="G643" i="1"/>
  <c r="B643" i="1"/>
  <c r="I642" i="1"/>
  <c r="S642" i="1" s="1"/>
  <c r="G642" i="1"/>
  <c r="B642" i="1"/>
  <c r="I641" i="1"/>
  <c r="G641" i="1"/>
  <c r="B641" i="1"/>
  <c r="L641" i="1" s="1"/>
  <c r="I640" i="1"/>
  <c r="J640" i="1" s="1"/>
  <c r="G640" i="1"/>
  <c r="B640" i="1"/>
  <c r="C640" i="1" s="1"/>
  <c r="I639" i="1"/>
  <c r="J639" i="1" s="1"/>
  <c r="G639" i="1"/>
  <c r="B639" i="1"/>
  <c r="I638" i="1"/>
  <c r="J638" i="1" s="1"/>
  <c r="G638" i="1"/>
  <c r="B638" i="1"/>
  <c r="I637" i="1"/>
  <c r="G637" i="1"/>
  <c r="B637" i="1"/>
  <c r="C637" i="1" s="1"/>
  <c r="I636" i="1"/>
  <c r="G636" i="1"/>
  <c r="B636" i="1"/>
  <c r="L636" i="1" s="1"/>
  <c r="I635" i="1"/>
  <c r="G635" i="1"/>
  <c r="B635" i="1"/>
  <c r="I634" i="1"/>
  <c r="J634" i="1" s="1"/>
  <c r="G634" i="1"/>
  <c r="B634" i="1"/>
  <c r="D634" i="1" s="1"/>
  <c r="I633" i="1"/>
  <c r="R633" i="1" s="1"/>
  <c r="G633" i="1"/>
  <c r="B633" i="1"/>
  <c r="C633" i="1" s="1"/>
  <c r="I632" i="1"/>
  <c r="G632" i="1"/>
  <c r="B632" i="1"/>
  <c r="C632" i="1" s="1"/>
  <c r="I631" i="1"/>
  <c r="S631" i="1" s="1"/>
  <c r="G631" i="1"/>
  <c r="B631" i="1"/>
  <c r="I630" i="1"/>
  <c r="J630" i="1" s="1"/>
  <c r="G630" i="1"/>
  <c r="B630" i="1"/>
  <c r="C630" i="1" s="1"/>
  <c r="I629" i="1"/>
  <c r="G629" i="1"/>
  <c r="B629" i="1"/>
  <c r="I628" i="1"/>
  <c r="J628" i="1" s="1"/>
  <c r="G628" i="1"/>
  <c r="B628" i="1"/>
  <c r="I627" i="1"/>
  <c r="S627" i="1" s="1"/>
  <c r="G627" i="1"/>
  <c r="B627" i="1"/>
  <c r="C627" i="1" s="1"/>
  <c r="I626" i="1"/>
  <c r="R626" i="1" s="1"/>
  <c r="G626" i="1"/>
  <c r="B626" i="1"/>
  <c r="I625" i="1"/>
  <c r="G625" i="1"/>
  <c r="B625" i="1"/>
  <c r="D625" i="1" s="1"/>
  <c r="I624" i="1"/>
  <c r="J624" i="1" s="1"/>
  <c r="G624" i="1"/>
  <c r="B624" i="1"/>
  <c r="C624" i="1" s="1"/>
  <c r="I623" i="1"/>
  <c r="J623" i="1" s="1"/>
  <c r="G623" i="1"/>
  <c r="B623" i="1"/>
  <c r="I622" i="1"/>
  <c r="S622" i="1" s="1"/>
  <c r="G622" i="1"/>
  <c r="B622" i="1"/>
  <c r="L622" i="1" s="1"/>
  <c r="I621" i="1"/>
  <c r="G621" i="1"/>
  <c r="B621" i="1"/>
  <c r="O621" i="1" s="1"/>
  <c r="I620" i="1"/>
  <c r="G620" i="1"/>
  <c r="B620" i="1"/>
  <c r="L620" i="1" s="1"/>
  <c r="I619" i="1"/>
  <c r="G619" i="1"/>
  <c r="B619" i="1"/>
  <c r="I618" i="1"/>
  <c r="J618" i="1" s="1"/>
  <c r="G618" i="1"/>
  <c r="B618" i="1"/>
  <c r="I617" i="1"/>
  <c r="R617" i="1" s="1"/>
  <c r="G617" i="1"/>
  <c r="B617" i="1"/>
  <c r="L617" i="1" s="1"/>
  <c r="I616" i="1"/>
  <c r="G616" i="1"/>
  <c r="B616" i="1"/>
  <c r="I615" i="1"/>
  <c r="S615" i="1" s="1"/>
  <c r="G615" i="1"/>
  <c r="B615" i="1"/>
  <c r="I614" i="1"/>
  <c r="G614" i="1"/>
  <c r="B614" i="1"/>
  <c r="I613" i="1"/>
  <c r="R613" i="1" s="1"/>
  <c r="G613" i="1"/>
  <c r="B613" i="1"/>
  <c r="I612" i="1"/>
  <c r="G612" i="1"/>
  <c r="B612" i="1"/>
  <c r="I611" i="1"/>
  <c r="S611" i="1" s="1"/>
  <c r="G611" i="1"/>
  <c r="B611" i="1"/>
  <c r="I610" i="1"/>
  <c r="J610" i="1" s="1"/>
  <c r="G610" i="1"/>
  <c r="B610" i="1"/>
  <c r="I609" i="1"/>
  <c r="R609" i="1" s="1"/>
  <c r="G609" i="1"/>
  <c r="B609" i="1"/>
  <c r="O609" i="1" s="1"/>
  <c r="I608" i="1"/>
  <c r="J608" i="1" s="1"/>
  <c r="G608" i="1"/>
  <c r="B608" i="1"/>
  <c r="C608" i="1" s="1"/>
  <c r="I607" i="1"/>
  <c r="J607" i="1" s="1"/>
  <c r="G607" i="1"/>
  <c r="B607" i="1"/>
  <c r="K607" i="1" s="1"/>
  <c r="I606" i="1"/>
  <c r="S606" i="1" s="1"/>
  <c r="G606" i="1"/>
  <c r="B606" i="1"/>
  <c r="L606" i="1" s="1"/>
  <c r="I605" i="1"/>
  <c r="G605" i="1"/>
  <c r="B605" i="1"/>
  <c r="I604" i="1"/>
  <c r="R604" i="1" s="1"/>
  <c r="G604" i="1"/>
  <c r="B604" i="1"/>
  <c r="D604" i="1" s="1"/>
  <c r="I603" i="1"/>
  <c r="J603" i="1" s="1"/>
  <c r="G603" i="1"/>
  <c r="B603" i="1"/>
  <c r="I602" i="1"/>
  <c r="R602" i="1" s="1"/>
  <c r="G602" i="1"/>
  <c r="B602" i="1"/>
  <c r="C602" i="1" s="1"/>
  <c r="O601" i="1"/>
  <c r="I601" i="1"/>
  <c r="G601" i="1"/>
  <c r="B601" i="1"/>
  <c r="L601" i="1" s="1"/>
  <c r="L600" i="1"/>
  <c r="I600" i="1"/>
  <c r="G600" i="1"/>
  <c r="B600" i="1"/>
  <c r="I599" i="1"/>
  <c r="S599" i="1" s="1"/>
  <c r="G599" i="1"/>
  <c r="B599" i="1"/>
  <c r="I598" i="1"/>
  <c r="J598" i="1" s="1"/>
  <c r="G598" i="1"/>
  <c r="B598" i="1"/>
  <c r="D598" i="1" s="1"/>
  <c r="I597" i="1"/>
  <c r="R597" i="1" s="1"/>
  <c r="G597" i="1"/>
  <c r="B597" i="1"/>
  <c r="I596" i="1"/>
  <c r="G596" i="1"/>
  <c r="B596" i="1"/>
  <c r="D596" i="1" s="1"/>
  <c r="I595" i="1"/>
  <c r="S595" i="1" s="1"/>
  <c r="G595" i="1"/>
  <c r="B595" i="1"/>
  <c r="D595" i="1" s="1"/>
  <c r="L594" i="1"/>
  <c r="I594" i="1"/>
  <c r="S594" i="1" s="1"/>
  <c r="G594" i="1"/>
  <c r="B594" i="1"/>
  <c r="O593" i="1"/>
  <c r="I593" i="1"/>
  <c r="S593" i="1" s="1"/>
  <c r="G593" i="1"/>
  <c r="B593" i="1"/>
  <c r="K593" i="1" s="1"/>
  <c r="I592" i="1"/>
  <c r="J592" i="1" s="1"/>
  <c r="G592" i="1"/>
  <c r="B592" i="1"/>
  <c r="D592" i="1" s="1"/>
  <c r="I591" i="1"/>
  <c r="J591" i="1" s="1"/>
  <c r="G591" i="1"/>
  <c r="B591" i="1"/>
  <c r="I590" i="1"/>
  <c r="S590" i="1" s="1"/>
  <c r="G590" i="1"/>
  <c r="B590" i="1"/>
  <c r="I589" i="1"/>
  <c r="S589" i="1" s="1"/>
  <c r="G589" i="1"/>
  <c r="B589" i="1"/>
  <c r="C589" i="1" s="1"/>
  <c r="I588" i="1"/>
  <c r="S588" i="1" s="1"/>
  <c r="G588" i="1"/>
  <c r="B588" i="1"/>
  <c r="I587" i="1"/>
  <c r="S587" i="1" s="1"/>
  <c r="G587" i="1"/>
  <c r="B587" i="1"/>
  <c r="I586" i="1"/>
  <c r="J586" i="1" s="1"/>
  <c r="G586" i="1"/>
  <c r="B586" i="1"/>
  <c r="L586" i="1" s="1"/>
  <c r="I585" i="1"/>
  <c r="J585" i="1" s="1"/>
  <c r="G585" i="1"/>
  <c r="B585" i="1"/>
  <c r="O585" i="1" s="1"/>
  <c r="I584" i="1"/>
  <c r="S584" i="1" s="1"/>
  <c r="G584" i="1"/>
  <c r="B584" i="1"/>
  <c r="D584" i="1" s="1"/>
  <c r="I583" i="1"/>
  <c r="S583" i="1" s="1"/>
  <c r="G583" i="1"/>
  <c r="B583" i="1"/>
  <c r="I582" i="1"/>
  <c r="J582" i="1" s="1"/>
  <c r="G582" i="1"/>
  <c r="B582" i="1"/>
  <c r="O582" i="1" s="1"/>
  <c r="I581" i="1"/>
  <c r="S581" i="1" s="1"/>
  <c r="G581" i="1"/>
  <c r="B581" i="1"/>
  <c r="C581" i="1" s="1"/>
  <c r="I580" i="1"/>
  <c r="S580" i="1" s="1"/>
  <c r="G580" i="1"/>
  <c r="B580" i="1"/>
  <c r="I579" i="1"/>
  <c r="G579" i="1"/>
  <c r="B579" i="1"/>
  <c r="I578" i="1"/>
  <c r="G578" i="1"/>
  <c r="B578" i="1"/>
  <c r="I577" i="1"/>
  <c r="J577" i="1" s="1"/>
  <c r="G577" i="1"/>
  <c r="B577" i="1"/>
  <c r="L577" i="1" s="1"/>
  <c r="I576" i="1"/>
  <c r="S576" i="1" s="1"/>
  <c r="G576" i="1"/>
  <c r="B576" i="1"/>
  <c r="I575" i="1"/>
  <c r="G575" i="1"/>
  <c r="B575" i="1"/>
  <c r="I574" i="1"/>
  <c r="J574" i="1" s="1"/>
  <c r="G574" i="1"/>
  <c r="B574" i="1"/>
  <c r="I573" i="1"/>
  <c r="S573" i="1" s="1"/>
  <c r="G573" i="1"/>
  <c r="B573" i="1"/>
  <c r="D573" i="1" s="1"/>
  <c r="J572" i="1"/>
  <c r="I572" i="1"/>
  <c r="G572" i="1"/>
  <c r="B572" i="1"/>
  <c r="I571" i="1"/>
  <c r="G571" i="1"/>
  <c r="B571" i="1"/>
  <c r="O571" i="1" s="1"/>
  <c r="I570" i="1"/>
  <c r="G570" i="1"/>
  <c r="B570" i="1"/>
  <c r="I569" i="1"/>
  <c r="S569" i="1" s="1"/>
  <c r="G569" i="1"/>
  <c r="B569" i="1"/>
  <c r="K569" i="1" s="1"/>
  <c r="I568" i="1"/>
  <c r="S568" i="1" s="1"/>
  <c r="G568" i="1"/>
  <c r="B568" i="1"/>
  <c r="C568" i="1" s="1"/>
  <c r="I567" i="1"/>
  <c r="G567" i="1"/>
  <c r="B567" i="1"/>
  <c r="I566" i="1"/>
  <c r="R566" i="1" s="1"/>
  <c r="G566" i="1"/>
  <c r="B566" i="1"/>
  <c r="I565" i="1"/>
  <c r="G565" i="1"/>
  <c r="B565" i="1"/>
  <c r="I564" i="1"/>
  <c r="S564" i="1" s="1"/>
  <c r="G564" i="1"/>
  <c r="B564" i="1"/>
  <c r="D564" i="1" s="1"/>
  <c r="I563" i="1"/>
  <c r="S563" i="1" s="1"/>
  <c r="G563" i="1"/>
  <c r="B563" i="1"/>
  <c r="I562" i="1"/>
  <c r="R562" i="1" s="1"/>
  <c r="G562" i="1"/>
  <c r="B562" i="1"/>
  <c r="I561" i="1"/>
  <c r="S561" i="1" s="1"/>
  <c r="G561" i="1"/>
  <c r="B561" i="1"/>
  <c r="L561" i="1" s="1"/>
  <c r="I560" i="1"/>
  <c r="S560" i="1" s="1"/>
  <c r="G560" i="1"/>
  <c r="B560" i="1"/>
  <c r="I559" i="1"/>
  <c r="G559" i="1"/>
  <c r="B559" i="1"/>
  <c r="I558" i="1"/>
  <c r="J558" i="1" s="1"/>
  <c r="G558" i="1"/>
  <c r="B558" i="1"/>
  <c r="I557" i="1"/>
  <c r="S557" i="1" s="1"/>
  <c r="G557" i="1"/>
  <c r="B557" i="1"/>
  <c r="K557" i="1" s="1"/>
  <c r="I556" i="1"/>
  <c r="S556" i="1" s="1"/>
  <c r="G556" i="1"/>
  <c r="B556" i="1"/>
  <c r="I555" i="1"/>
  <c r="S555" i="1" s="1"/>
  <c r="G555" i="1"/>
  <c r="B555" i="1"/>
  <c r="I554" i="1"/>
  <c r="S554" i="1" s="1"/>
  <c r="G554" i="1"/>
  <c r="B554" i="1"/>
  <c r="O554" i="1" s="1"/>
  <c r="I553" i="1"/>
  <c r="S553" i="1" s="1"/>
  <c r="G553" i="1"/>
  <c r="B553" i="1"/>
  <c r="K553" i="1" s="1"/>
  <c r="I552" i="1"/>
  <c r="S552" i="1" s="1"/>
  <c r="G552" i="1"/>
  <c r="B552" i="1"/>
  <c r="I551" i="1"/>
  <c r="G551" i="1"/>
  <c r="B551" i="1"/>
  <c r="I550" i="1"/>
  <c r="R550" i="1" s="1"/>
  <c r="G550" i="1"/>
  <c r="B550" i="1"/>
  <c r="C550" i="1" s="1"/>
  <c r="I549" i="1"/>
  <c r="J549" i="1" s="1"/>
  <c r="G549" i="1"/>
  <c r="B549" i="1"/>
  <c r="K549" i="1" s="1"/>
  <c r="I548" i="1"/>
  <c r="S548" i="1" s="1"/>
  <c r="G548" i="1"/>
  <c r="B548" i="1"/>
  <c r="D548" i="1" s="1"/>
  <c r="I547" i="1"/>
  <c r="G547" i="1"/>
  <c r="B547" i="1"/>
  <c r="I546" i="1"/>
  <c r="R546" i="1" s="1"/>
  <c r="G546" i="1"/>
  <c r="B546" i="1"/>
  <c r="C546" i="1" s="1"/>
  <c r="I545" i="1"/>
  <c r="S545" i="1" s="1"/>
  <c r="G545" i="1"/>
  <c r="B545" i="1"/>
  <c r="L545" i="1" s="1"/>
  <c r="I544" i="1"/>
  <c r="S544" i="1" s="1"/>
  <c r="G544" i="1"/>
  <c r="B544" i="1"/>
  <c r="D544" i="1" s="1"/>
  <c r="I543" i="1"/>
  <c r="G543" i="1"/>
  <c r="B543" i="1"/>
  <c r="D543" i="1" s="1"/>
  <c r="I542" i="1"/>
  <c r="J542" i="1" s="1"/>
  <c r="G542" i="1"/>
  <c r="B542" i="1"/>
  <c r="D542" i="1" s="1"/>
  <c r="I541" i="1"/>
  <c r="S541" i="1" s="1"/>
  <c r="G541" i="1"/>
  <c r="B541" i="1"/>
  <c r="I540" i="1"/>
  <c r="S540" i="1" s="1"/>
  <c r="G540" i="1"/>
  <c r="B540" i="1"/>
  <c r="I539" i="1"/>
  <c r="G539" i="1"/>
  <c r="B539" i="1"/>
  <c r="O539" i="1" s="1"/>
  <c r="I538" i="1"/>
  <c r="R538" i="1" s="1"/>
  <c r="G538" i="1"/>
  <c r="B538" i="1"/>
  <c r="I537" i="1"/>
  <c r="J537" i="1" s="1"/>
  <c r="G537" i="1"/>
  <c r="B537" i="1"/>
  <c r="I536" i="1"/>
  <c r="S536" i="1" s="1"/>
  <c r="G536" i="1"/>
  <c r="B536" i="1"/>
  <c r="I535" i="1"/>
  <c r="G535" i="1"/>
  <c r="B535" i="1"/>
  <c r="I534" i="1"/>
  <c r="S534" i="1" s="1"/>
  <c r="G534" i="1"/>
  <c r="B534" i="1"/>
  <c r="I533" i="1"/>
  <c r="J533" i="1" s="1"/>
  <c r="G533" i="1"/>
  <c r="B533" i="1"/>
  <c r="L533" i="1" s="1"/>
  <c r="I532" i="1"/>
  <c r="S532" i="1" s="1"/>
  <c r="G532" i="1"/>
  <c r="B532" i="1"/>
  <c r="I531" i="1"/>
  <c r="S531" i="1" s="1"/>
  <c r="G531" i="1"/>
  <c r="B531" i="1"/>
  <c r="L531" i="1" s="1"/>
  <c r="L530" i="1"/>
  <c r="I530" i="1"/>
  <c r="S530" i="1" s="1"/>
  <c r="G530" i="1"/>
  <c r="B530" i="1"/>
  <c r="O530" i="1" s="1"/>
  <c r="K529" i="1"/>
  <c r="I529" i="1"/>
  <c r="G529" i="1"/>
  <c r="B529" i="1"/>
  <c r="D529" i="1" s="1"/>
  <c r="I528" i="1"/>
  <c r="S528" i="1" s="1"/>
  <c r="G528" i="1"/>
  <c r="B528" i="1"/>
  <c r="D528" i="1" s="1"/>
  <c r="I527" i="1"/>
  <c r="S527" i="1" s="1"/>
  <c r="G527" i="1"/>
  <c r="B527" i="1"/>
  <c r="I526" i="1"/>
  <c r="R526" i="1" s="1"/>
  <c r="G526" i="1"/>
  <c r="B526" i="1"/>
  <c r="C526" i="1" s="1"/>
  <c r="I525" i="1"/>
  <c r="S525" i="1" s="1"/>
  <c r="G525" i="1"/>
  <c r="B525" i="1"/>
  <c r="I524" i="1"/>
  <c r="S524" i="1" s="1"/>
  <c r="G524" i="1"/>
  <c r="B524" i="1"/>
  <c r="I523" i="1"/>
  <c r="G523" i="1"/>
  <c r="B523" i="1"/>
  <c r="D523" i="1" s="1"/>
  <c r="I522" i="1"/>
  <c r="G522" i="1"/>
  <c r="B522" i="1"/>
  <c r="I521" i="1"/>
  <c r="G521" i="1"/>
  <c r="B521" i="1"/>
  <c r="L521" i="1" s="1"/>
  <c r="I520" i="1"/>
  <c r="S520" i="1" s="1"/>
  <c r="G520" i="1"/>
  <c r="B520" i="1"/>
  <c r="D520" i="1" s="1"/>
  <c r="I519" i="1"/>
  <c r="S519" i="1" s="1"/>
  <c r="G519" i="1"/>
  <c r="B519" i="1"/>
  <c r="I518" i="1"/>
  <c r="G518" i="1"/>
  <c r="B518" i="1"/>
  <c r="L518" i="1" s="1"/>
  <c r="I517" i="1"/>
  <c r="G517" i="1"/>
  <c r="B517" i="1"/>
  <c r="K517" i="1" s="1"/>
  <c r="I516" i="1"/>
  <c r="S516" i="1" s="1"/>
  <c r="G516" i="1"/>
  <c r="B516" i="1"/>
  <c r="D516" i="1" s="1"/>
  <c r="I515" i="1"/>
  <c r="G515" i="1"/>
  <c r="B515" i="1"/>
  <c r="I514" i="1"/>
  <c r="S514" i="1" s="1"/>
  <c r="G514" i="1"/>
  <c r="B514" i="1"/>
  <c r="I513" i="1"/>
  <c r="R513" i="1" s="1"/>
  <c r="G513" i="1"/>
  <c r="B513" i="1"/>
  <c r="C513" i="1" s="1"/>
  <c r="I512" i="1"/>
  <c r="S512" i="1" s="1"/>
  <c r="G512" i="1"/>
  <c r="B512" i="1"/>
  <c r="I511" i="1"/>
  <c r="G511" i="1"/>
  <c r="B511" i="1"/>
  <c r="O511" i="1" s="1"/>
  <c r="I510" i="1"/>
  <c r="R510" i="1" s="1"/>
  <c r="G510" i="1"/>
  <c r="B510" i="1"/>
  <c r="I509" i="1"/>
  <c r="S509" i="1" s="1"/>
  <c r="G509" i="1"/>
  <c r="B509" i="1"/>
  <c r="I508" i="1"/>
  <c r="S508" i="1" s="1"/>
  <c r="G508" i="1"/>
  <c r="B508" i="1"/>
  <c r="L508" i="1" s="1"/>
  <c r="I507" i="1"/>
  <c r="G507" i="1"/>
  <c r="B507" i="1"/>
  <c r="O507" i="1" s="1"/>
  <c r="I506" i="1"/>
  <c r="R506" i="1" s="1"/>
  <c r="G506" i="1"/>
  <c r="B506" i="1"/>
  <c r="L506" i="1" s="1"/>
  <c r="I505" i="1"/>
  <c r="S505" i="1" s="1"/>
  <c r="G505" i="1"/>
  <c r="B505" i="1"/>
  <c r="D505" i="1" s="1"/>
  <c r="I504" i="1"/>
  <c r="S504" i="1" s="1"/>
  <c r="G504" i="1"/>
  <c r="B504" i="1"/>
  <c r="I503" i="1"/>
  <c r="S503" i="1" s="1"/>
  <c r="G503" i="1"/>
  <c r="B503" i="1"/>
  <c r="I502" i="1"/>
  <c r="S502" i="1" s="1"/>
  <c r="G502" i="1"/>
  <c r="B502" i="1"/>
  <c r="I501" i="1"/>
  <c r="J501" i="1" s="1"/>
  <c r="G501" i="1"/>
  <c r="B501" i="1"/>
  <c r="K501" i="1" s="1"/>
  <c r="I500" i="1"/>
  <c r="S500" i="1" s="1"/>
  <c r="G500" i="1"/>
  <c r="B500" i="1"/>
  <c r="I499" i="1"/>
  <c r="G499" i="1"/>
  <c r="B499" i="1"/>
  <c r="I498" i="1"/>
  <c r="S498" i="1" s="1"/>
  <c r="G498" i="1"/>
  <c r="B498" i="1"/>
  <c r="C498" i="1" s="1"/>
  <c r="I497" i="1"/>
  <c r="S497" i="1" s="1"/>
  <c r="G497" i="1"/>
  <c r="B497" i="1"/>
  <c r="I496" i="1"/>
  <c r="S496" i="1" s="1"/>
  <c r="G496" i="1"/>
  <c r="B496" i="1"/>
  <c r="I495" i="1"/>
  <c r="S495" i="1" s="1"/>
  <c r="G495" i="1"/>
  <c r="B495" i="1"/>
  <c r="D495" i="1" s="1"/>
  <c r="L494" i="1"/>
  <c r="I494" i="1"/>
  <c r="J494" i="1" s="1"/>
  <c r="G494" i="1"/>
  <c r="B494" i="1"/>
  <c r="C494" i="1" s="1"/>
  <c r="O493" i="1"/>
  <c r="I493" i="1"/>
  <c r="G493" i="1"/>
  <c r="B493" i="1"/>
  <c r="C493" i="1" s="1"/>
  <c r="I492" i="1"/>
  <c r="S492" i="1" s="1"/>
  <c r="G492" i="1"/>
  <c r="B492" i="1"/>
  <c r="O492" i="1" s="1"/>
  <c r="I491" i="1"/>
  <c r="G491" i="1"/>
  <c r="B491" i="1"/>
  <c r="I490" i="1"/>
  <c r="G490" i="1"/>
  <c r="B490" i="1"/>
  <c r="C490" i="1" s="1"/>
  <c r="I489" i="1"/>
  <c r="G489" i="1"/>
  <c r="B489" i="1"/>
  <c r="I488" i="1"/>
  <c r="G488" i="1"/>
  <c r="B488" i="1"/>
  <c r="I487" i="1"/>
  <c r="S487" i="1" s="1"/>
  <c r="G487" i="1"/>
  <c r="B487" i="1"/>
  <c r="I486" i="1"/>
  <c r="J486" i="1" s="1"/>
  <c r="G486" i="1"/>
  <c r="B486" i="1"/>
  <c r="I485" i="1"/>
  <c r="R485" i="1" s="1"/>
  <c r="G485" i="1"/>
  <c r="B485" i="1"/>
  <c r="K485" i="1" s="1"/>
  <c r="I484" i="1"/>
  <c r="S484" i="1" s="1"/>
  <c r="G484" i="1"/>
  <c r="B484" i="1"/>
  <c r="I483" i="1"/>
  <c r="R483" i="1" s="1"/>
  <c r="G483" i="1"/>
  <c r="B483" i="1"/>
  <c r="I482" i="1"/>
  <c r="S482" i="1" s="1"/>
  <c r="G482" i="1"/>
  <c r="B482" i="1"/>
  <c r="D482" i="1" s="1"/>
  <c r="I481" i="1"/>
  <c r="R481" i="1" s="1"/>
  <c r="G481" i="1"/>
  <c r="B481" i="1"/>
  <c r="C481" i="1" s="1"/>
  <c r="I480" i="1"/>
  <c r="S480" i="1" s="1"/>
  <c r="G480" i="1"/>
  <c r="B480" i="1"/>
  <c r="I479" i="1"/>
  <c r="G479" i="1"/>
  <c r="B479" i="1"/>
  <c r="D479" i="1" s="1"/>
  <c r="I478" i="1"/>
  <c r="J478" i="1" s="1"/>
  <c r="G478" i="1"/>
  <c r="B478" i="1"/>
  <c r="I477" i="1"/>
  <c r="R477" i="1" s="1"/>
  <c r="G477" i="1"/>
  <c r="B477" i="1"/>
  <c r="K477" i="1" s="1"/>
  <c r="I476" i="1"/>
  <c r="S476" i="1" s="1"/>
  <c r="G476" i="1"/>
  <c r="B476" i="1"/>
  <c r="I475" i="1"/>
  <c r="S475" i="1" s="1"/>
  <c r="G475" i="1"/>
  <c r="B475" i="1"/>
  <c r="D475" i="1" s="1"/>
  <c r="L474" i="1"/>
  <c r="I474" i="1"/>
  <c r="S474" i="1" s="1"/>
  <c r="G474" i="1"/>
  <c r="B474" i="1"/>
  <c r="O473" i="1"/>
  <c r="I473" i="1"/>
  <c r="G473" i="1"/>
  <c r="B473" i="1"/>
  <c r="K473" i="1" s="1"/>
  <c r="I472" i="1"/>
  <c r="S472" i="1" s="1"/>
  <c r="G472" i="1"/>
  <c r="B472" i="1"/>
  <c r="I471" i="1"/>
  <c r="S471" i="1" s="1"/>
  <c r="G471" i="1"/>
  <c r="B471" i="1"/>
  <c r="I470" i="1"/>
  <c r="J470" i="1" s="1"/>
  <c r="G470" i="1"/>
  <c r="B470" i="1"/>
  <c r="O470" i="1" s="1"/>
  <c r="I469" i="1"/>
  <c r="S469" i="1" s="1"/>
  <c r="G469" i="1"/>
  <c r="B469" i="1"/>
  <c r="C469" i="1" s="1"/>
  <c r="I468" i="1"/>
  <c r="G468" i="1"/>
  <c r="B468" i="1"/>
  <c r="C468" i="1" s="1"/>
  <c r="I467" i="1"/>
  <c r="G467" i="1"/>
  <c r="B467" i="1"/>
  <c r="I466" i="1"/>
  <c r="R466" i="1" s="1"/>
  <c r="G466" i="1"/>
  <c r="B466" i="1"/>
  <c r="L466" i="1" s="1"/>
  <c r="I465" i="1"/>
  <c r="J465" i="1" s="1"/>
  <c r="G465" i="1"/>
  <c r="B465" i="1"/>
  <c r="K465" i="1" s="1"/>
  <c r="I464" i="1"/>
  <c r="J464" i="1" s="1"/>
  <c r="G464" i="1"/>
  <c r="B464" i="1"/>
  <c r="I463" i="1"/>
  <c r="G463" i="1"/>
  <c r="B463" i="1"/>
  <c r="I462" i="1"/>
  <c r="J462" i="1" s="1"/>
  <c r="G462" i="1"/>
  <c r="B462" i="1"/>
  <c r="L462" i="1" s="1"/>
  <c r="I461" i="1"/>
  <c r="S461" i="1" s="1"/>
  <c r="G461" i="1"/>
  <c r="B461" i="1"/>
  <c r="O461" i="1" s="1"/>
  <c r="I460" i="1"/>
  <c r="S460" i="1" s="1"/>
  <c r="G460" i="1"/>
  <c r="B460" i="1"/>
  <c r="D460" i="1" s="1"/>
  <c r="I459" i="1"/>
  <c r="S459" i="1" s="1"/>
  <c r="G459" i="1"/>
  <c r="B459" i="1"/>
  <c r="I458" i="1"/>
  <c r="S458" i="1" s="1"/>
  <c r="G458" i="1"/>
  <c r="B458" i="1"/>
  <c r="D458" i="1" s="1"/>
  <c r="I457" i="1"/>
  <c r="G457" i="1"/>
  <c r="B457" i="1"/>
  <c r="I456" i="1"/>
  <c r="S456" i="1" s="1"/>
  <c r="G456" i="1"/>
  <c r="B456" i="1"/>
  <c r="I455" i="1"/>
  <c r="G455" i="1"/>
  <c r="B455" i="1"/>
  <c r="I454" i="1"/>
  <c r="S454" i="1" s="1"/>
  <c r="G454" i="1"/>
  <c r="B454" i="1"/>
  <c r="I453" i="1"/>
  <c r="S453" i="1" s="1"/>
  <c r="G453" i="1"/>
  <c r="B453" i="1"/>
  <c r="I452" i="1"/>
  <c r="S452" i="1" s="1"/>
  <c r="G452" i="1"/>
  <c r="B452" i="1"/>
  <c r="D452" i="1" s="1"/>
  <c r="I451" i="1"/>
  <c r="G451" i="1"/>
  <c r="B451" i="1"/>
  <c r="I450" i="1"/>
  <c r="R450" i="1" s="1"/>
  <c r="G450" i="1"/>
  <c r="B450" i="1"/>
  <c r="I449" i="1"/>
  <c r="J449" i="1" s="1"/>
  <c r="G449" i="1"/>
  <c r="B449" i="1"/>
  <c r="K449" i="1" s="1"/>
  <c r="I448" i="1"/>
  <c r="G448" i="1"/>
  <c r="B448" i="1"/>
  <c r="I447" i="1"/>
  <c r="S447" i="1" s="1"/>
  <c r="G447" i="1"/>
  <c r="B447" i="1"/>
  <c r="I446" i="1"/>
  <c r="S446" i="1" s="1"/>
  <c r="G446" i="1"/>
  <c r="B446" i="1"/>
  <c r="O446" i="1" s="1"/>
  <c r="I445" i="1"/>
  <c r="S445" i="1" s="1"/>
  <c r="G445" i="1"/>
  <c r="B445" i="1"/>
  <c r="I444" i="1"/>
  <c r="S444" i="1" s="1"/>
  <c r="G444" i="1"/>
  <c r="B444" i="1"/>
  <c r="I443" i="1"/>
  <c r="G443" i="1"/>
  <c r="B443" i="1"/>
  <c r="O443" i="1" s="1"/>
  <c r="I442" i="1"/>
  <c r="G442" i="1"/>
  <c r="B442" i="1"/>
  <c r="I441" i="1"/>
  <c r="S441" i="1" s="1"/>
  <c r="G441" i="1"/>
  <c r="B441" i="1"/>
  <c r="C441" i="1" s="1"/>
  <c r="I440" i="1"/>
  <c r="S440" i="1" s="1"/>
  <c r="G440" i="1"/>
  <c r="B440" i="1"/>
  <c r="D440" i="1" s="1"/>
  <c r="I439" i="1"/>
  <c r="G439" i="1"/>
  <c r="B439" i="1"/>
  <c r="I438" i="1"/>
  <c r="S438" i="1" s="1"/>
  <c r="G438" i="1"/>
  <c r="B438" i="1"/>
  <c r="O438" i="1" s="1"/>
  <c r="I437" i="1"/>
  <c r="J437" i="1" s="1"/>
  <c r="G437" i="1"/>
  <c r="B437" i="1"/>
  <c r="K437" i="1" s="1"/>
  <c r="I436" i="1"/>
  <c r="J436" i="1" s="1"/>
  <c r="G436" i="1"/>
  <c r="B436" i="1"/>
  <c r="D436" i="1" s="1"/>
  <c r="I435" i="1"/>
  <c r="G435" i="1"/>
  <c r="B435" i="1"/>
  <c r="I434" i="1"/>
  <c r="G434" i="1"/>
  <c r="B434" i="1"/>
  <c r="K433" i="1"/>
  <c r="I433" i="1"/>
  <c r="S433" i="1" s="1"/>
  <c r="G433" i="1"/>
  <c r="B433" i="1"/>
  <c r="O433" i="1" s="1"/>
  <c r="I432" i="1"/>
  <c r="S432" i="1" s="1"/>
  <c r="G432" i="1"/>
  <c r="B432" i="1"/>
  <c r="D432" i="1" s="1"/>
  <c r="I431" i="1"/>
  <c r="S431" i="1" s="1"/>
  <c r="G431" i="1"/>
  <c r="B431" i="1"/>
  <c r="O431" i="1" s="1"/>
  <c r="I430" i="1"/>
  <c r="G430" i="1"/>
  <c r="B430" i="1"/>
  <c r="I429" i="1"/>
  <c r="S429" i="1" s="1"/>
  <c r="G429" i="1"/>
  <c r="B429" i="1"/>
  <c r="I428" i="1"/>
  <c r="S428" i="1" s="1"/>
  <c r="G428" i="1"/>
  <c r="B428" i="1"/>
  <c r="C428" i="1" s="1"/>
  <c r="I427" i="1"/>
  <c r="G427" i="1"/>
  <c r="B427" i="1"/>
  <c r="I426" i="1"/>
  <c r="S426" i="1" s="1"/>
  <c r="G426" i="1"/>
  <c r="B426" i="1"/>
  <c r="I425" i="1"/>
  <c r="S425" i="1" s="1"/>
  <c r="G425" i="1"/>
  <c r="B425" i="1"/>
  <c r="D425" i="1" s="1"/>
  <c r="I424" i="1"/>
  <c r="S424" i="1" s="1"/>
  <c r="G424" i="1"/>
  <c r="B424" i="1"/>
  <c r="D424" i="1" s="1"/>
  <c r="I423" i="1"/>
  <c r="G423" i="1"/>
  <c r="B423" i="1"/>
  <c r="I422" i="1"/>
  <c r="J422" i="1" s="1"/>
  <c r="G422" i="1"/>
  <c r="B422" i="1"/>
  <c r="L422" i="1" s="1"/>
  <c r="I421" i="1"/>
  <c r="G421" i="1"/>
  <c r="B421" i="1"/>
  <c r="O421" i="1" s="1"/>
  <c r="I420" i="1"/>
  <c r="S420" i="1" s="1"/>
  <c r="G420" i="1"/>
  <c r="B420" i="1"/>
  <c r="I419" i="1"/>
  <c r="G419" i="1"/>
  <c r="B419" i="1"/>
  <c r="L418" i="1"/>
  <c r="I418" i="1"/>
  <c r="G418" i="1"/>
  <c r="B418" i="1"/>
  <c r="C418" i="1" s="1"/>
  <c r="O417" i="1"/>
  <c r="I417" i="1"/>
  <c r="G417" i="1"/>
  <c r="B417" i="1"/>
  <c r="I416" i="1"/>
  <c r="S416" i="1" s="1"/>
  <c r="G416" i="1"/>
  <c r="B416" i="1"/>
  <c r="D416" i="1" s="1"/>
  <c r="I415" i="1"/>
  <c r="G415" i="1"/>
  <c r="B415" i="1"/>
  <c r="I414" i="1"/>
  <c r="J414" i="1" s="1"/>
  <c r="G414" i="1"/>
  <c r="B414" i="1"/>
  <c r="I413" i="1"/>
  <c r="S413" i="1" s="1"/>
  <c r="G413" i="1"/>
  <c r="B413" i="1"/>
  <c r="I412" i="1"/>
  <c r="S412" i="1" s="1"/>
  <c r="G412" i="1"/>
  <c r="B412" i="1"/>
  <c r="D412" i="1" s="1"/>
  <c r="I411" i="1"/>
  <c r="G411" i="1"/>
  <c r="B411" i="1"/>
  <c r="I410" i="1"/>
  <c r="R410" i="1" s="1"/>
  <c r="G410" i="1"/>
  <c r="B410" i="1"/>
  <c r="L410" i="1" s="1"/>
  <c r="I409" i="1"/>
  <c r="J409" i="1" s="1"/>
  <c r="G409" i="1"/>
  <c r="B409" i="1"/>
  <c r="O409" i="1" s="1"/>
  <c r="I408" i="1"/>
  <c r="G408" i="1"/>
  <c r="B408" i="1"/>
  <c r="D408" i="1" s="1"/>
  <c r="I407" i="1"/>
  <c r="G407" i="1"/>
  <c r="B407" i="1"/>
  <c r="I406" i="1"/>
  <c r="J406" i="1" s="1"/>
  <c r="G406" i="1"/>
  <c r="B406" i="1"/>
  <c r="O406" i="1" s="1"/>
  <c r="I405" i="1"/>
  <c r="S405" i="1" s="1"/>
  <c r="G405" i="1"/>
  <c r="B405" i="1"/>
  <c r="I404" i="1"/>
  <c r="S404" i="1" s="1"/>
  <c r="G404" i="1"/>
  <c r="B404" i="1"/>
  <c r="I403" i="1"/>
  <c r="S403" i="1" s="1"/>
  <c r="G403" i="1"/>
  <c r="B403" i="1"/>
  <c r="I402" i="1"/>
  <c r="R402" i="1" s="1"/>
  <c r="G402" i="1"/>
  <c r="B402" i="1"/>
  <c r="I401" i="1"/>
  <c r="J401" i="1" s="1"/>
  <c r="G401" i="1"/>
  <c r="B401" i="1"/>
  <c r="K401" i="1" s="1"/>
  <c r="I400" i="1"/>
  <c r="S400" i="1" s="1"/>
  <c r="G400" i="1"/>
  <c r="B400" i="1"/>
  <c r="I399" i="1"/>
  <c r="G399" i="1"/>
  <c r="B399" i="1"/>
  <c r="I398" i="1"/>
  <c r="J398" i="1" s="1"/>
  <c r="G398" i="1"/>
  <c r="B398" i="1"/>
  <c r="C398" i="1" s="1"/>
  <c r="I397" i="1"/>
  <c r="G397" i="1"/>
  <c r="B397" i="1"/>
  <c r="C397" i="1" s="1"/>
  <c r="I396" i="1"/>
  <c r="S396" i="1" s="1"/>
  <c r="G396" i="1"/>
  <c r="B396" i="1"/>
  <c r="C396" i="1" s="1"/>
  <c r="I395" i="1"/>
  <c r="S395" i="1" s="1"/>
  <c r="G395" i="1"/>
  <c r="B395" i="1"/>
  <c r="I394" i="1"/>
  <c r="S394" i="1" s="1"/>
  <c r="G394" i="1"/>
  <c r="B394" i="1"/>
  <c r="C394" i="1" s="1"/>
  <c r="I393" i="1"/>
  <c r="J393" i="1" s="1"/>
  <c r="G393" i="1"/>
  <c r="B393" i="1"/>
  <c r="I392" i="1"/>
  <c r="S392" i="1" s="1"/>
  <c r="G392" i="1"/>
  <c r="B392" i="1"/>
  <c r="D392" i="1" s="1"/>
  <c r="I391" i="1"/>
  <c r="S391" i="1" s="1"/>
  <c r="G391" i="1"/>
  <c r="B391" i="1"/>
  <c r="I390" i="1"/>
  <c r="J390" i="1" s="1"/>
  <c r="G390" i="1"/>
  <c r="B390" i="1"/>
  <c r="I389" i="1"/>
  <c r="J389" i="1" s="1"/>
  <c r="G389" i="1"/>
  <c r="B389" i="1"/>
  <c r="K389" i="1" s="1"/>
  <c r="I388" i="1"/>
  <c r="S388" i="1" s="1"/>
  <c r="G388" i="1"/>
  <c r="B388" i="1"/>
  <c r="D388" i="1" s="1"/>
  <c r="I387" i="1"/>
  <c r="G387" i="1"/>
  <c r="B387" i="1"/>
  <c r="L386" i="1"/>
  <c r="I386" i="1"/>
  <c r="G386" i="1"/>
  <c r="B386" i="1"/>
  <c r="C386" i="1" s="1"/>
  <c r="I385" i="1"/>
  <c r="G385" i="1"/>
  <c r="B385" i="1"/>
  <c r="K385" i="1" s="1"/>
  <c r="I384" i="1"/>
  <c r="S384" i="1" s="1"/>
  <c r="G384" i="1"/>
  <c r="B384" i="1"/>
  <c r="I383" i="1"/>
  <c r="S383" i="1" s="1"/>
  <c r="G383" i="1"/>
  <c r="B383" i="1"/>
  <c r="I382" i="1"/>
  <c r="S382" i="1" s="1"/>
  <c r="G382" i="1"/>
  <c r="B382" i="1"/>
  <c r="O382" i="1" s="1"/>
  <c r="K381" i="1"/>
  <c r="I381" i="1"/>
  <c r="S381" i="1" s="1"/>
  <c r="G381" i="1"/>
  <c r="B381" i="1"/>
  <c r="C381" i="1" s="1"/>
  <c r="I380" i="1"/>
  <c r="S380" i="1" s="1"/>
  <c r="G380" i="1"/>
  <c r="B380" i="1"/>
  <c r="D380" i="1" s="1"/>
  <c r="I379" i="1"/>
  <c r="R379" i="1" s="1"/>
  <c r="G379" i="1"/>
  <c r="B379" i="1"/>
  <c r="I378" i="1"/>
  <c r="S378" i="1" s="1"/>
  <c r="G378" i="1"/>
  <c r="B378" i="1"/>
  <c r="I377" i="1"/>
  <c r="J377" i="1" s="1"/>
  <c r="G377" i="1"/>
  <c r="B377" i="1"/>
  <c r="C377" i="1" s="1"/>
  <c r="I376" i="1"/>
  <c r="S376" i="1" s="1"/>
  <c r="G376" i="1"/>
  <c r="B376" i="1"/>
  <c r="I375" i="1"/>
  <c r="S375" i="1" s="1"/>
  <c r="G375" i="1"/>
  <c r="B375" i="1"/>
  <c r="I374" i="1"/>
  <c r="S374" i="1" s="1"/>
  <c r="G374" i="1"/>
  <c r="B374" i="1"/>
  <c r="O374" i="1" s="1"/>
  <c r="I373" i="1"/>
  <c r="G373" i="1"/>
  <c r="B373" i="1"/>
  <c r="I372" i="1"/>
  <c r="S372" i="1" s="1"/>
  <c r="G372" i="1"/>
  <c r="B372" i="1"/>
  <c r="I371" i="1"/>
  <c r="G371" i="1"/>
  <c r="B371" i="1"/>
  <c r="I370" i="1"/>
  <c r="S370" i="1" s="1"/>
  <c r="G370" i="1"/>
  <c r="B370" i="1"/>
  <c r="D370" i="1" s="1"/>
  <c r="I369" i="1"/>
  <c r="S369" i="1" s="1"/>
  <c r="G369" i="1"/>
  <c r="B369" i="1"/>
  <c r="I368" i="1"/>
  <c r="S368" i="1" s="1"/>
  <c r="G368" i="1"/>
  <c r="B368" i="1"/>
  <c r="I367" i="1"/>
  <c r="S367" i="1" s="1"/>
  <c r="G367" i="1"/>
  <c r="B367" i="1"/>
  <c r="I366" i="1"/>
  <c r="J366" i="1" s="1"/>
  <c r="G366" i="1"/>
  <c r="B366" i="1"/>
  <c r="C366" i="1" s="1"/>
  <c r="I365" i="1"/>
  <c r="S365" i="1" s="1"/>
  <c r="G365" i="1"/>
  <c r="B365" i="1"/>
  <c r="C365" i="1" s="1"/>
  <c r="I364" i="1"/>
  <c r="S364" i="1" s="1"/>
  <c r="G364" i="1"/>
  <c r="B364" i="1"/>
  <c r="I363" i="1"/>
  <c r="G363" i="1"/>
  <c r="B363" i="1"/>
  <c r="I362" i="1"/>
  <c r="S362" i="1" s="1"/>
  <c r="G362" i="1"/>
  <c r="B362" i="1"/>
  <c r="I361" i="1"/>
  <c r="G361" i="1"/>
  <c r="B361" i="1"/>
  <c r="C361" i="1" s="1"/>
  <c r="I360" i="1"/>
  <c r="S360" i="1" s="1"/>
  <c r="G360" i="1"/>
  <c r="B360" i="1"/>
  <c r="I359" i="1"/>
  <c r="S359" i="1" s="1"/>
  <c r="G359" i="1"/>
  <c r="B359" i="1"/>
  <c r="I358" i="1"/>
  <c r="J358" i="1" s="1"/>
  <c r="G358" i="1"/>
  <c r="B358" i="1"/>
  <c r="I357" i="1"/>
  <c r="G357" i="1"/>
  <c r="B357" i="1"/>
  <c r="K356" i="1"/>
  <c r="I356" i="1"/>
  <c r="G356" i="1"/>
  <c r="B356" i="1"/>
  <c r="I355" i="1"/>
  <c r="S355" i="1" s="1"/>
  <c r="G355" i="1"/>
  <c r="B355" i="1"/>
  <c r="I354" i="1"/>
  <c r="S354" i="1" s="1"/>
  <c r="G354" i="1"/>
  <c r="B354" i="1"/>
  <c r="K354" i="1" s="1"/>
  <c r="I353" i="1"/>
  <c r="R353" i="1" s="1"/>
  <c r="G353" i="1"/>
  <c r="B353" i="1"/>
  <c r="L353" i="1" s="1"/>
  <c r="I352" i="1"/>
  <c r="G352" i="1"/>
  <c r="B352" i="1"/>
  <c r="I351" i="1"/>
  <c r="G351" i="1"/>
  <c r="B351" i="1"/>
  <c r="D351" i="1" s="1"/>
  <c r="I350" i="1"/>
  <c r="G350" i="1"/>
  <c r="B350" i="1"/>
  <c r="D350" i="1" s="1"/>
  <c r="I349" i="1"/>
  <c r="G349" i="1"/>
  <c r="B349" i="1"/>
  <c r="I348" i="1"/>
  <c r="G348" i="1"/>
  <c r="B348" i="1"/>
  <c r="I347" i="1"/>
  <c r="G347" i="1"/>
  <c r="B347" i="1"/>
  <c r="I346" i="1"/>
  <c r="S346" i="1" s="1"/>
  <c r="G346" i="1"/>
  <c r="B346" i="1"/>
  <c r="K346" i="1" s="1"/>
  <c r="I345" i="1"/>
  <c r="S345" i="1" s="1"/>
  <c r="G345" i="1"/>
  <c r="B345" i="1"/>
  <c r="I344" i="1"/>
  <c r="S344" i="1" s="1"/>
  <c r="G344" i="1"/>
  <c r="B344" i="1"/>
  <c r="I343" i="1"/>
  <c r="S343" i="1" s="1"/>
  <c r="G343" i="1"/>
  <c r="B343" i="1"/>
  <c r="I342" i="1"/>
  <c r="J342" i="1" s="1"/>
  <c r="G342" i="1"/>
  <c r="B342" i="1"/>
  <c r="D342" i="1" s="1"/>
  <c r="I341" i="1"/>
  <c r="S341" i="1" s="1"/>
  <c r="G341" i="1"/>
  <c r="B341" i="1"/>
  <c r="I340" i="1"/>
  <c r="S340" i="1" s="1"/>
  <c r="G340" i="1"/>
  <c r="B340" i="1"/>
  <c r="I339" i="1"/>
  <c r="S339" i="1" s="1"/>
  <c r="G339" i="1"/>
  <c r="B339" i="1"/>
  <c r="I338" i="1"/>
  <c r="S338" i="1" s="1"/>
  <c r="G338" i="1"/>
  <c r="B338" i="1"/>
  <c r="L338" i="1" s="1"/>
  <c r="I337" i="1"/>
  <c r="J337" i="1" s="1"/>
  <c r="G337" i="1"/>
  <c r="B337" i="1"/>
  <c r="D337" i="1" s="1"/>
  <c r="I336" i="1"/>
  <c r="J336" i="1" s="1"/>
  <c r="G336" i="1"/>
  <c r="B336" i="1"/>
  <c r="C336" i="1" s="1"/>
  <c r="I335" i="1"/>
  <c r="S335" i="1" s="1"/>
  <c r="G335" i="1"/>
  <c r="B335" i="1"/>
  <c r="I334" i="1"/>
  <c r="S334" i="1" s="1"/>
  <c r="G334" i="1"/>
  <c r="B334" i="1"/>
  <c r="I333" i="1"/>
  <c r="G333" i="1"/>
  <c r="B333" i="1"/>
  <c r="I332" i="1"/>
  <c r="S332" i="1" s="1"/>
  <c r="G332" i="1"/>
  <c r="B332" i="1"/>
  <c r="I331" i="1"/>
  <c r="S331" i="1" s="1"/>
  <c r="G331" i="1"/>
  <c r="B331" i="1"/>
  <c r="I330" i="1"/>
  <c r="S330" i="1" s="1"/>
  <c r="G330" i="1"/>
  <c r="B330" i="1"/>
  <c r="L330" i="1" s="1"/>
  <c r="I329" i="1"/>
  <c r="G329" i="1"/>
  <c r="B329" i="1"/>
  <c r="I328" i="1"/>
  <c r="S328" i="1" s="1"/>
  <c r="G328" i="1"/>
  <c r="B328" i="1"/>
  <c r="C328" i="1" s="1"/>
  <c r="I327" i="1"/>
  <c r="S327" i="1" s="1"/>
  <c r="G327" i="1"/>
  <c r="B327" i="1"/>
  <c r="I326" i="1"/>
  <c r="S326" i="1" s="1"/>
  <c r="G326" i="1"/>
  <c r="B326" i="1"/>
  <c r="I325" i="1"/>
  <c r="S325" i="1" s="1"/>
  <c r="G325" i="1"/>
  <c r="B325" i="1"/>
  <c r="I324" i="1"/>
  <c r="S324" i="1" s="1"/>
  <c r="G324" i="1"/>
  <c r="B324" i="1"/>
  <c r="I323" i="1"/>
  <c r="S323" i="1" s="1"/>
  <c r="G323" i="1"/>
  <c r="B323" i="1"/>
  <c r="I322" i="1"/>
  <c r="S322" i="1" s="1"/>
  <c r="G322" i="1"/>
  <c r="B322" i="1"/>
  <c r="L322" i="1" s="1"/>
  <c r="I321" i="1"/>
  <c r="S321" i="1" s="1"/>
  <c r="G321" i="1"/>
  <c r="B321" i="1"/>
  <c r="I320" i="1"/>
  <c r="S320" i="1" s="1"/>
  <c r="G320" i="1"/>
  <c r="B320" i="1"/>
  <c r="O320" i="1" s="1"/>
  <c r="I319" i="1"/>
  <c r="S319" i="1" s="1"/>
  <c r="G319" i="1"/>
  <c r="B319" i="1"/>
  <c r="L318" i="1"/>
  <c r="I318" i="1"/>
  <c r="S318" i="1" s="1"/>
  <c r="G318" i="1"/>
  <c r="B318" i="1"/>
  <c r="O318" i="1" s="1"/>
  <c r="K317" i="1"/>
  <c r="I317" i="1"/>
  <c r="G317" i="1"/>
  <c r="B317" i="1"/>
  <c r="D317" i="1" s="1"/>
  <c r="I316" i="1"/>
  <c r="G316" i="1"/>
  <c r="B316" i="1"/>
  <c r="I315" i="1"/>
  <c r="S315" i="1" s="1"/>
  <c r="G315" i="1"/>
  <c r="B315" i="1"/>
  <c r="I314" i="1"/>
  <c r="S314" i="1" s="1"/>
  <c r="G314" i="1"/>
  <c r="B314" i="1"/>
  <c r="L314" i="1" s="1"/>
  <c r="I313" i="1"/>
  <c r="G313" i="1"/>
  <c r="B313" i="1"/>
  <c r="I312" i="1"/>
  <c r="S312" i="1" s="1"/>
  <c r="G312" i="1"/>
  <c r="B312" i="1"/>
  <c r="C312" i="1" s="1"/>
  <c r="I311" i="1"/>
  <c r="S311" i="1" s="1"/>
  <c r="G311" i="1"/>
  <c r="B311" i="1"/>
  <c r="I310" i="1"/>
  <c r="S310" i="1" s="1"/>
  <c r="G310" i="1"/>
  <c r="B310" i="1"/>
  <c r="I309" i="1"/>
  <c r="S309" i="1" s="1"/>
  <c r="G309" i="1"/>
  <c r="B309" i="1"/>
  <c r="K309" i="1" s="1"/>
  <c r="I308" i="1"/>
  <c r="S308" i="1" s="1"/>
  <c r="G308" i="1"/>
  <c r="B308" i="1"/>
  <c r="C308" i="1" s="1"/>
  <c r="I307" i="1"/>
  <c r="S307" i="1" s="1"/>
  <c r="G307" i="1"/>
  <c r="B307" i="1"/>
  <c r="I306" i="1"/>
  <c r="S306" i="1" s="1"/>
  <c r="G306" i="1"/>
  <c r="B306" i="1"/>
  <c r="I305" i="1"/>
  <c r="S305" i="1" s="1"/>
  <c r="G305" i="1"/>
  <c r="B305" i="1"/>
  <c r="I304" i="1"/>
  <c r="S304" i="1" s="1"/>
  <c r="G304" i="1"/>
  <c r="B304" i="1"/>
  <c r="I303" i="1"/>
  <c r="S303" i="1" s="1"/>
  <c r="G303" i="1"/>
  <c r="B303" i="1"/>
  <c r="I302" i="1"/>
  <c r="S302" i="1" s="1"/>
  <c r="G302" i="1"/>
  <c r="B302" i="1"/>
  <c r="I301" i="1"/>
  <c r="G301" i="1"/>
  <c r="B301" i="1"/>
  <c r="I300" i="1"/>
  <c r="S300" i="1" s="1"/>
  <c r="G300" i="1"/>
  <c r="B300" i="1"/>
  <c r="I299" i="1"/>
  <c r="S299" i="1" s="1"/>
  <c r="G299" i="1"/>
  <c r="B299" i="1"/>
  <c r="I298" i="1"/>
  <c r="S298" i="1" s="1"/>
  <c r="G298" i="1"/>
  <c r="B298" i="1"/>
  <c r="C298" i="1" s="1"/>
  <c r="I297" i="1"/>
  <c r="S297" i="1" s="1"/>
  <c r="G297" i="1"/>
  <c r="B297" i="1"/>
  <c r="D297" i="1" s="1"/>
  <c r="I296" i="1"/>
  <c r="S296" i="1" s="1"/>
  <c r="G296" i="1"/>
  <c r="B296" i="1"/>
  <c r="C296" i="1" s="1"/>
  <c r="I295" i="1"/>
  <c r="S295" i="1" s="1"/>
  <c r="G295" i="1"/>
  <c r="B295" i="1"/>
  <c r="I294" i="1"/>
  <c r="S294" i="1" s="1"/>
  <c r="G294" i="1"/>
  <c r="B294" i="1"/>
  <c r="I293" i="1"/>
  <c r="G293" i="1"/>
  <c r="B293" i="1"/>
  <c r="I292" i="1"/>
  <c r="S292" i="1" s="1"/>
  <c r="G292" i="1"/>
  <c r="B292" i="1"/>
  <c r="C292" i="1" s="1"/>
  <c r="I291" i="1"/>
  <c r="S291" i="1" s="1"/>
  <c r="G291" i="1"/>
  <c r="B291" i="1"/>
  <c r="I290" i="1"/>
  <c r="S290" i="1" s="1"/>
  <c r="G290" i="1"/>
  <c r="B290" i="1"/>
  <c r="I289" i="1"/>
  <c r="J289" i="1" s="1"/>
  <c r="G289" i="1"/>
  <c r="B289" i="1"/>
  <c r="C289" i="1" s="1"/>
  <c r="I288" i="1"/>
  <c r="G288" i="1"/>
  <c r="B288" i="1"/>
  <c r="C288" i="1" s="1"/>
  <c r="I287" i="1"/>
  <c r="S287" i="1" s="1"/>
  <c r="G287" i="1"/>
  <c r="B287" i="1"/>
  <c r="I286" i="1"/>
  <c r="S286" i="1" s="1"/>
  <c r="G286" i="1"/>
  <c r="B286" i="1"/>
  <c r="C286" i="1" s="1"/>
  <c r="I285" i="1"/>
  <c r="S285" i="1" s="1"/>
  <c r="G285" i="1"/>
  <c r="B285" i="1"/>
  <c r="I284" i="1"/>
  <c r="S284" i="1" s="1"/>
  <c r="G284" i="1"/>
  <c r="B284" i="1"/>
  <c r="I283" i="1"/>
  <c r="S283" i="1" s="1"/>
  <c r="G283" i="1"/>
  <c r="B283" i="1"/>
  <c r="I282" i="1"/>
  <c r="S282" i="1" s="1"/>
  <c r="G282" i="1"/>
  <c r="B282" i="1"/>
  <c r="I281" i="1"/>
  <c r="J281" i="1" s="1"/>
  <c r="G281" i="1"/>
  <c r="B281" i="1"/>
  <c r="K281" i="1" s="1"/>
  <c r="I280" i="1"/>
  <c r="S280" i="1" s="1"/>
  <c r="G280" i="1"/>
  <c r="B280" i="1"/>
  <c r="I279" i="1"/>
  <c r="S279" i="1" s="1"/>
  <c r="G279" i="1"/>
  <c r="B279" i="1"/>
  <c r="I278" i="1"/>
  <c r="G278" i="1"/>
  <c r="B278" i="1"/>
  <c r="D278" i="1" s="1"/>
  <c r="I277" i="1"/>
  <c r="R277" i="1" s="1"/>
  <c r="G277" i="1"/>
  <c r="B277" i="1"/>
  <c r="O277" i="1" s="1"/>
  <c r="I276" i="1"/>
  <c r="S276" i="1" s="1"/>
  <c r="G276" i="1"/>
  <c r="B276" i="1"/>
  <c r="D276" i="1" s="1"/>
  <c r="I275" i="1"/>
  <c r="S275" i="1" s="1"/>
  <c r="G275" i="1"/>
  <c r="B275" i="1"/>
  <c r="D275" i="1" s="1"/>
  <c r="I274" i="1"/>
  <c r="R274" i="1" s="1"/>
  <c r="G274" i="1"/>
  <c r="B274" i="1"/>
  <c r="C274" i="1" s="1"/>
  <c r="I273" i="1"/>
  <c r="R273" i="1" s="1"/>
  <c r="G273" i="1"/>
  <c r="B273" i="1"/>
  <c r="I272" i="1"/>
  <c r="S272" i="1" s="1"/>
  <c r="G272" i="1"/>
  <c r="B272" i="1"/>
  <c r="C272" i="1" s="1"/>
  <c r="I271" i="1"/>
  <c r="S271" i="1" s="1"/>
  <c r="G271" i="1"/>
  <c r="B271" i="1"/>
  <c r="I270" i="1"/>
  <c r="G270" i="1"/>
  <c r="B270" i="1"/>
  <c r="C270" i="1" s="1"/>
  <c r="I269" i="1"/>
  <c r="R269" i="1" s="1"/>
  <c r="G269" i="1"/>
  <c r="B269" i="1"/>
  <c r="K269" i="1" s="1"/>
  <c r="I268" i="1"/>
  <c r="S268" i="1" s="1"/>
  <c r="G268" i="1"/>
  <c r="B268" i="1"/>
  <c r="D268" i="1" s="1"/>
  <c r="I267" i="1"/>
  <c r="S267" i="1" s="1"/>
  <c r="G267" i="1"/>
  <c r="B267" i="1"/>
  <c r="I266" i="1"/>
  <c r="R266" i="1" s="1"/>
  <c r="G266" i="1"/>
  <c r="B266" i="1"/>
  <c r="I265" i="1"/>
  <c r="G265" i="1"/>
  <c r="B265" i="1"/>
  <c r="I264" i="1"/>
  <c r="S264" i="1" s="1"/>
  <c r="G264" i="1"/>
  <c r="B264" i="1"/>
  <c r="C264" i="1" s="1"/>
  <c r="I263" i="1"/>
  <c r="S263" i="1" s="1"/>
  <c r="G263" i="1"/>
  <c r="B263" i="1"/>
  <c r="I262" i="1"/>
  <c r="G262" i="1"/>
  <c r="B262" i="1"/>
  <c r="I261" i="1"/>
  <c r="G261" i="1"/>
  <c r="B261" i="1"/>
  <c r="O261" i="1" s="1"/>
  <c r="I260" i="1"/>
  <c r="S260" i="1" s="1"/>
  <c r="G260" i="1"/>
  <c r="B260" i="1"/>
  <c r="D260" i="1" s="1"/>
  <c r="I259" i="1"/>
  <c r="S259" i="1" s="1"/>
  <c r="G259" i="1"/>
  <c r="B259" i="1"/>
  <c r="I258" i="1"/>
  <c r="G258" i="1"/>
  <c r="B258" i="1"/>
  <c r="I257" i="1"/>
  <c r="S257" i="1" s="1"/>
  <c r="G257" i="1"/>
  <c r="B257" i="1"/>
  <c r="I256" i="1"/>
  <c r="S256" i="1" s="1"/>
  <c r="G256" i="1"/>
  <c r="B256" i="1"/>
  <c r="C256" i="1" s="1"/>
  <c r="I255" i="1"/>
  <c r="S255" i="1" s="1"/>
  <c r="G255" i="1"/>
  <c r="B255" i="1"/>
  <c r="I254" i="1"/>
  <c r="R254" i="1" s="1"/>
  <c r="G254" i="1"/>
  <c r="B254" i="1"/>
  <c r="I253" i="1"/>
  <c r="S253" i="1" s="1"/>
  <c r="G253" i="1"/>
  <c r="B253" i="1"/>
  <c r="K253" i="1" s="1"/>
  <c r="I252" i="1"/>
  <c r="S252" i="1" s="1"/>
  <c r="G252" i="1"/>
  <c r="B252" i="1"/>
  <c r="D252" i="1" s="1"/>
  <c r="I251" i="1"/>
  <c r="S251" i="1" s="1"/>
  <c r="G251" i="1"/>
  <c r="B251" i="1"/>
  <c r="D251" i="1" s="1"/>
  <c r="L250" i="1"/>
  <c r="I250" i="1"/>
  <c r="R250" i="1" s="1"/>
  <c r="G250" i="1"/>
  <c r="B250" i="1"/>
  <c r="C250" i="1" s="1"/>
  <c r="K249" i="1"/>
  <c r="I249" i="1"/>
  <c r="G249" i="1"/>
  <c r="B249" i="1"/>
  <c r="O249" i="1" s="1"/>
  <c r="I248" i="1"/>
  <c r="G248" i="1"/>
  <c r="B248" i="1"/>
  <c r="C248" i="1" s="1"/>
  <c r="I247" i="1"/>
  <c r="G247" i="1"/>
  <c r="B247" i="1"/>
  <c r="D247" i="1" s="1"/>
  <c r="I246" i="1"/>
  <c r="G246" i="1"/>
  <c r="B246" i="1"/>
  <c r="C246" i="1" s="1"/>
  <c r="I245" i="1"/>
  <c r="G245" i="1"/>
  <c r="B245" i="1"/>
  <c r="C245" i="1" s="1"/>
  <c r="I244" i="1"/>
  <c r="S244" i="1" s="1"/>
  <c r="G244" i="1"/>
  <c r="B244" i="1"/>
  <c r="D244" i="1" s="1"/>
  <c r="I243" i="1"/>
  <c r="S243" i="1" s="1"/>
  <c r="G243" i="1"/>
  <c r="B243" i="1"/>
  <c r="D243" i="1" s="1"/>
  <c r="I242" i="1"/>
  <c r="G242" i="1"/>
  <c r="B242" i="1"/>
  <c r="I241" i="1"/>
  <c r="G241" i="1"/>
  <c r="B241" i="1"/>
  <c r="I240" i="1"/>
  <c r="S240" i="1" s="1"/>
  <c r="G240" i="1"/>
  <c r="B240" i="1"/>
  <c r="I239" i="1"/>
  <c r="S239" i="1" s="1"/>
  <c r="G239" i="1"/>
  <c r="B239" i="1"/>
  <c r="I238" i="1"/>
  <c r="G238" i="1"/>
  <c r="B238" i="1"/>
  <c r="O238" i="1" s="1"/>
  <c r="I237" i="1"/>
  <c r="G237" i="1"/>
  <c r="B237" i="1"/>
  <c r="K237" i="1" s="1"/>
  <c r="I236" i="1"/>
  <c r="S236" i="1" s="1"/>
  <c r="G236" i="1"/>
  <c r="B236" i="1"/>
  <c r="D236" i="1" s="1"/>
  <c r="I235" i="1"/>
  <c r="S235" i="1" s="1"/>
  <c r="G235" i="1"/>
  <c r="B235" i="1"/>
  <c r="I234" i="1"/>
  <c r="G234" i="1"/>
  <c r="B234" i="1"/>
  <c r="D234" i="1" s="1"/>
  <c r="I233" i="1"/>
  <c r="G233" i="1"/>
  <c r="B233" i="1"/>
  <c r="O233" i="1" s="1"/>
  <c r="I232" i="1"/>
  <c r="S232" i="1" s="1"/>
  <c r="G232" i="1"/>
  <c r="B232" i="1"/>
  <c r="I231" i="1"/>
  <c r="S231" i="1" s="1"/>
  <c r="G231" i="1"/>
  <c r="B231" i="1"/>
  <c r="I230" i="1"/>
  <c r="G230" i="1"/>
  <c r="B230" i="1"/>
  <c r="L230" i="1" s="1"/>
  <c r="I229" i="1"/>
  <c r="G229" i="1"/>
  <c r="B229" i="1"/>
  <c r="C229" i="1" s="1"/>
  <c r="I228" i="1"/>
  <c r="S228" i="1" s="1"/>
  <c r="G228" i="1"/>
  <c r="B228" i="1"/>
  <c r="I227" i="1"/>
  <c r="S227" i="1" s="1"/>
  <c r="G227" i="1"/>
  <c r="B227" i="1"/>
  <c r="I226" i="1"/>
  <c r="G226" i="1"/>
  <c r="B226" i="1"/>
  <c r="L226" i="1" s="1"/>
  <c r="I225" i="1"/>
  <c r="S225" i="1" s="1"/>
  <c r="G225" i="1"/>
  <c r="B225" i="1"/>
  <c r="K225" i="1" s="1"/>
  <c r="I224" i="1"/>
  <c r="S224" i="1" s="1"/>
  <c r="G224" i="1"/>
  <c r="B224" i="1"/>
  <c r="C224" i="1" s="1"/>
  <c r="I223" i="1"/>
  <c r="S223" i="1" s="1"/>
  <c r="G223" i="1"/>
  <c r="B223" i="1"/>
  <c r="I222" i="1"/>
  <c r="R222" i="1" s="1"/>
  <c r="G222" i="1"/>
  <c r="B222" i="1"/>
  <c r="O222" i="1" s="1"/>
  <c r="I221" i="1"/>
  <c r="G221" i="1"/>
  <c r="B221" i="1"/>
  <c r="K221" i="1" s="1"/>
  <c r="I220" i="1"/>
  <c r="S220" i="1" s="1"/>
  <c r="G220" i="1"/>
  <c r="B220" i="1"/>
  <c r="D220" i="1" s="1"/>
  <c r="I219" i="1"/>
  <c r="S219" i="1" s="1"/>
  <c r="G219" i="1"/>
  <c r="B219" i="1"/>
  <c r="L218" i="1"/>
  <c r="I218" i="1"/>
  <c r="R218" i="1" s="1"/>
  <c r="G218" i="1"/>
  <c r="B218" i="1"/>
  <c r="C218" i="1" s="1"/>
  <c r="K217" i="1"/>
  <c r="I217" i="1"/>
  <c r="G217" i="1"/>
  <c r="B217" i="1"/>
  <c r="I216" i="1"/>
  <c r="S216" i="1" s="1"/>
  <c r="G216" i="1"/>
  <c r="B216" i="1"/>
  <c r="C216" i="1" s="1"/>
  <c r="I215" i="1"/>
  <c r="S215" i="1" s="1"/>
  <c r="G215" i="1"/>
  <c r="B215" i="1"/>
  <c r="I214" i="1"/>
  <c r="G214" i="1"/>
  <c r="B214" i="1"/>
  <c r="D214" i="1" s="1"/>
  <c r="I213" i="1"/>
  <c r="G213" i="1"/>
  <c r="B213" i="1"/>
  <c r="I212" i="1"/>
  <c r="S212" i="1" s="1"/>
  <c r="G212" i="1"/>
  <c r="B212" i="1"/>
  <c r="D212" i="1" s="1"/>
  <c r="I211" i="1"/>
  <c r="S211" i="1" s="1"/>
  <c r="G211" i="1"/>
  <c r="B211" i="1"/>
  <c r="I210" i="1"/>
  <c r="G210" i="1"/>
  <c r="B210" i="1"/>
  <c r="I209" i="1"/>
  <c r="G209" i="1"/>
  <c r="B209" i="1"/>
  <c r="I208" i="1"/>
  <c r="S208" i="1" s="1"/>
  <c r="G208" i="1"/>
  <c r="B208" i="1"/>
  <c r="I207" i="1"/>
  <c r="S207" i="1" s="1"/>
  <c r="G207" i="1"/>
  <c r="B207" i="1"/>
  <c r="D207" i="1" s="1"/>
  <c r="I206" i="1"/>
  <c r="G206" i="1"/>
  <c r="B206" i="1"/>
  <c r="O206" i="1" s="1"/>
  <c r="I205" i="1"/>
  <c r="G205" i="1"/>
  <c r="B205" i="1"/>
  <c r="I204" i="1"/>
  <c r="S204" i="1" s="1"/>
  <c r="G204" i="1"/>
  <c r="B204" i="1"/>
  <c r="I203" i="1"/>
  <c r="S203" i="1" s="1"/>
  <c r="G203" i="1"/>
  <c r="B203" i="1"/>
  <c r="I202" i="1"/>
  <c r="G202" i="1"/>
  <c r="B202" i="1"/>
  <c r="D202" i="1" s="1"/>
  <c r="I201" i="1"/>
  <c r="G201" i="1"/>
  <c r="B201" i="1"/>
  <c r="I200" i="1"/>
  <c r="S200" i="1" s="1"/>
  <c r="G200" i="1"/>
  <c r="B200" i="1"/>
  <c r="I199" i="1"/>
  <c r="S199" i="1" s="1"/>
  <c r="G199" i="1"/>
  <c r="B199" i="1"/>
  <c r="I198" i="1"/>
  <c r="G198" i="1"/>
  <c r="B198" i="1"/>
  <c r="I197" i="1"/>
  <c r="G197" i="1"/>
  <c r="B197" i="1"/>
  <c r="I196" i="1"/>
  <c r="S196" i="1" s="1"/>
  <c r="G196" i="1"/>
  <c r="B196" i="1"/>
  <c r="I195" i="1"/>
  <c r="G195" i="1"/>
  <c r="B195" i="1"/>
  <c r="D195" i="1" s="1"/>
  <c r="I194" i="1"/>
  <c r="G194" i="1"/>
  <c r="B194" i="1"/>
  <c r="L194" i="1" s="1"/>
  <c r="I193" i="1"/>
  <c r="G193" i="1"/>
  <c r="B193" i="1"/>
  <c r="D193" i="1" s="1"/>
  <c r="I192" i="1"/>
  <c r="S192" i="1" s="1"/>
  <c r="G192" i="1"/>
  <c r="B192" i="1"/>
  <c r="I191" i="1"/>
  <c r="S191" i="1" s="1"/>
  <c r="G191" i="1"/>
  <c r="B191" i="1"/>
  <c r="D191" i="1" s="1"/>
  <c r="I190" i="1"/>
  <c r="G190" i="1"/>
  <c r="B190" i="1"/>
  <c r="O190" i="1" s="1"/>
  <c r="I189" i="1"/>
  <c r="S189" i="1" s="1"/>
  <c r="G189" i="1"/>
  <c r="B189" i="1"/>
  <c r="K189" i="1" s="1"/>
  <c r="I188" i="1"/>
  <c r="S188" i="1" s="1"/>
  <c r="G188" i="1"/>
  <c r="B188" i="1"/>
  <c r="I187" i="1"/>
  <c r="S187" i="1" s="1"/>
  <c r="G187" i="1"/>
  <c r="B187" i="1"/>
  <c r="I186" i="1"/>
  <c r="R186" i="1" s="1"/>
  <c r="G186" i="1"/>
  <c r="B186" i="1"/>
  <c r="L186" i="1" s="1"/>
  <c r="I185" i="1"/>
  <c r="G185" i="1"/>
  <c r="B185" i="1"/>
  <c r="K185" i="1" s="1"/>
  <c r="I184" i="1"/>
  <c r="S184" i="1" s="1"/>
  <c r="G184" i="1"/>
  <c r="B184" i="1"/>
  <c r="C184" i="1" s="1"/>
  <c r="I183" i="1"/>
  <c r="S183" i="1" s="1"/>
  <c r="G183" i="1"/>
  <c r="B183" i="1"/>
  <c r="I182" i="1"/>
  <c r="G182" i="1"/>
  <c r="B182" i="1"/>
  <c r="D182" i="1" s="1"/>
  <c r="I181" i="1"/>
  <c r="G181" i="1"/>
  <c r="B181" i="1"/>
  <c r="D181" i="1" s="1"/>
  <c r="I180" i="1"/>
  <c r="S180" i="1" s="1"/>
  <c r="G180" i="1"/>
  <c r="B180" i="1"/>
  <c r="D180" i="1" s="1"/>
  <c r="I179" i="1"/>
  <c r="S179" i="1" s="1"/>
  <c r="G179" i="1"/>
  <c r="B179" i="1"/>
  <c r="D179" i="1" s="1"/>
  <c r="I178" i="1"/>
  <c r="G178" i="1"/>
  <c r="B178" i="1"/>
  <c r="I177" i="1"/>
  <c r="G177" i="1"/>
  <c r="B177" i="1"/>
  <c r="I176" i="1"/>
  <c r="S176" i="1" s="1"/>
  <c r="G176" i="1"/>
  <c r="B176" i="1"/>
  <c r="I175" i="1"/>
  <c r="S175" i="1" s="1"/>
  <c r="G175" i="1"/>
  <c r="B175" i="1"/>
  <c r="D175" i="1" s="1"/>
  <c r="I174" i="1"/>
  <c r="G174" i="1"/>
  <c r="B174" i="1"/>
  <c r="O174" i="1" s="1"/>
  <c r="I173" i="1"/>
  <c r="S173" i="1" s="1"/>
  <c r="G173" i="1"/>
  <c r="B173" i="1"/>
  <c r="I172" i="1"/>
  <c r="S172" i="1" s="1"/>
  <c r="G172" i="1"/>
  <c r="B172" i="1"/>
  <c r="I171" i="1"/>
  <c r="S171" i="1" s="1"/>
  <c r="G171" i="1"/>
  <c r="B171" i="1"/>
  <c r="D171" i="1" s="1"/>
  <c r="I170" i="1"/>
  <c r="G170" i="1"/>
  <c r="B170" i="1"/>
  <c r="D170" i="1" s="1"/>
  <c r="I169" i="1"/>
  <c r="S169" i="1" s="1"/>
  <c r="G169" i="1"/>
  <c r="B169" i="1"/>
  <c r="I168" i="1"/>
  <c r="S168" i="1" s="1"/>
  <c r="G168" i="1"/>
  <c r="B168" i="1"/>
  <c r="I167" i="1"/>
  <c r="S167" i="1" s="1"/>
  <c r="G167" i="1"/>
  <c r="B167" i="1"/>
  <c r="L166" i="1"/>
  <c r="I166" i="1"/>
  <c r="G166" i="1"/>
  <c r="B166" i="1"/>
  <c r="K165" i="1"/>
  <c r="I165" i="1"/>
  <c r="G165" i="1"/>
  <c r="B165" i="1"/>
  <c r="I164" i="1"/>
  <c r="S164" i="1" s="1"/>
  <c r="G164" i="1"/>
  <c r="B164" i="1"/>
  <c r="D164" i="1" s="1"/>
  <c r="I163" i="1"/>
  <c r="G163" i="1"/>
  <c r="B163" i="1"/>
  <c r="D163" i="1" s="1"/>
  <c r="I162" i="1"/>
  <c r="G162" i="1"/>
  <c r="B162" i="1"/>
  <c r="L162" i="1" s="1"/>
  <c r="I161" i="1"/>
  <c r="G161" i="1"/>
  <c r="B161" i="1"/>
  <c r="O161" i="1" s="1"/>
  <c r="I160" i="1"/>
  <c r="S160" i="1" s="1"/>
  <c r="G160" i="1"/>
  <c r="B160" i="1"/>
  <c r="C160" i="1" s="1"/>
  <c r="I159" i="1"/>
  <c r="S159" i="1" s="1"/>
  <c r="G159" i="1"/>
  <c r="B159" i="1"/>
  <c r="D159" i="1" s="1"/>
  <c r="I158" i="1"/>
  <c r="G158" i="1"/>
  <c r="B158" i="1"/>
  <c r="I157" i="1"/>
  <c r="G157" i="1"/>
  <c r="B157" i="1"/>
  <c r="K157" i="1" s="1"/>
  <c r="I156" i="1"/>
  <c r="S156" i="1" s="1"/>
  <c r="G156" i="1"/>
  <c r="B156" i="1"/>
  <c r="I155" i="1"/>
  <c r="S155" i="1" s="1"/>
  <c r="G155" i="1"/>
  <c r="B155" i="1"/>
  <c r="I154" i="1"/>
  <c r="R154" i="1" s="1"/>
  <c r="G154" i="1"/>
  <c r="B154" i="1"/>
  <c r="L154" i="1" s="1"/>
  <c r="I153" i="1"/>
  <c r="G153" i="1"/>
  <c r="B153" i="1"/>
  <c r="I152" i="1"/>
  <c r="S152" i="1" s="1"/>
  <c r="G152" i="1"/>
  <c r="B152" i="1"/>
  <c r="C152" i="1" s="1"/>
  <c r="I151" i="1"/>
  <c r="S151" i="1" s="1"/>
  <c r="G151" i="1"/>
  <c r="B151" i="1"/>
  <c r="I150" i="1"/>
  <c r="G150" i="1"/>
  <c r="B150" i="1"/>
  <c r="O150" i="1" s="1"/>
  <c r="I149" i="1"/>
  <c r="G149" i="1"/>
  <c r="B149" i="1"/>
  <c r="I148" i="1"/>
  <c r="S148" i="1" s="1"/>
  <c r="G148" i="1"/>
  <c r="B148" i="1"/>
  <c r="I147" i="1"/>
  <c r="S147" i="1" s="1"/>
  <c r="G147" i="1"/>
  <c r="B147" i="1"/>
  <c r="I146" i="1"/>
  <c r="G146" i="1"/>
  <c r="B146" i="1"/>
  <c r="I145" i="1"/>
  <c r="G145" i="1"/>
  <c r="B145" i="1"/>
  <c r="I144" i="1"/>
  <c r="S144" i="1" s="1"/>
  <c r="G144" i="1"/>
  <c r="B144" i="1"/>
  <c r="I143" i="1"/>
  <c r="S143" i="1" s="1"/>
  <c r="G143" i="1"/>
  <c r="B143" i="1"/>
  <c r="D143" i="1" s="1"/>
  <c r="I142" i="1"/>
  <c r="G142" i="1"/>
  <c r="B142" i="1"/>
  <c r="C142" i="1" s="1"/>
  <c r="K141" i="1"/>
  <c r="I141" i="1"/>
  <c r="G141" i="1"/>
  <c r="B141" i="1"/>
  <c r="D141" i="1" s="1"/>
  <c r="I140" i="1"/>
  <c r="S140" i="1" s="1"/>
  <c r="G140" i="1"/>
  <c r="B140" i="1"/>
  <c r="I139" i="1"/>
  <c r="S139" i="1" s="1"/>
  <c r="G139" i="1"/>
  <c r="B139" i="1"/>
  <c r="I138" i="1"/>
  <c r="S138" i="1" s="1"/>
  <c r="G138" i="1"/>
  <c r="B138" i="1"/>
  <c r="C138" i="1" s="1"/>
  <c r="I137" i="1"/>
  <c r="G137" i="1"/>
  <c r="B137" i="1"/>
  <c r="D137" i="1" s="1"/>
  <c r="I136" i="1"/>
  <c r="S136" i="1" s="1"/>
  <c r="G136" i="1"/>
  <c r="B136" i="1"/>
  <c r="I135" i="1"/>
  <c r="S135" i="1" s="1"/>
  <c r="G135" i="1"/>
  <c r="B135" i="1"/>
  <c r="I134" i="1"/>
  <c r="S134" i="1" s="1"/>
  <c r="G134" i="1"/>
  <c r="B134" i="1"/>
  <c r="I133" i="1"/>
  <c r="G133" i="1"/>
  <c r="B133" i="1"/>
  <c r="I132" i="1"/>
  <c r="S132" i="1" s="1"/>
  <c r="G132" i="1"/>
  <c r="B132" i="1"/>
  <c r="I131" i="1"/>
  <c r="S131" i="1" s="1"/>
  <c r="G131" i="1"/>
  <c r="B131" i="1"/>
  <c r="D131" i="1" s="1"/>
  <c r="I130" i="1"/>
  <c r="S130" i="1" s="1"/>
  <c r="G130" i="1"/>
  <c r="B130" i="1"/>
  <c r="I129" i="1"/>
  <c r="S129" i="1" s="1"/>
  <c r="G129" i="1"/>
  <c r="B129" i="1"/>
  <c r="I128" i="1"/>
  <c r="S128" i="1" s="1"/>
  <c r="G128" i="1"/>
  <c r="B128" i="1"/>
  <c r="I127" i="1"/>
  <c r="G127" i="1"/>
  <c r="B127" i="1"/>
  <c r="C127" i="1" s="1"/>
  <c r="L126" i="1"/>
  <c r="I126" i="1"/>
  <c r="S126" i="1" s="1"/>
  <c r="G126" i="1"/>
  <c r="B126" i="1"/>
  <c r="O126" i="1" s="1"/>
  <c r="I125" i="1"/>
  <c r="G125" i="1"/>
  <c r="B125" i="1"/>
  <c r="I124" i="1"/>
  <c r="S124" i="1" s="1"/>
  <c r="G124" i="1"/>
  <c r="B124" i="1"/>
  <c r="I123" i="1"/>
  <c r="S123" i="1" s="1"/>
  <c r="G123" i="1"/>
  <c r="B123" i="1"/>
  <c r="D123" i="1" s="1"/>
  <c r="I122" i="1"/>
  <c r="S122" i="1" s="1"/>
  <c r="G122" i="1"/>
  <c r="B122" i="1"/>
  <c r="K121" i="1"/>
  <c r="I121" i="1"/>
  <c r="G121" i="1"/>
  <c r="B121" i="1"/>
  <c r="D121" i="1" s="1"/>
  <c r="I120" i="1"/>
  <c r="S120" i="1" s="1"/>
  <c r="G120" i="1"/>
  <c r="B120" i="1"/>
  <c r="C120" i="1" s="1"/>
  <c r="I119" i="1"/>
  <c r="S119" i="1" s="1"/>
  <c r="G119" i="1"/>
  <c r="B119" i="1"/>
  <c r="I118" i="1"/>
  <c r="S118" i="1" s="1"/>
  <c r="G118" i="1"/>
  <c r="B118" i="1"/>
  <c r="I117" i="1"/>
  <c r="G117" i="1"/>
  <c r="B117" i="1"/>
  <c r="I116" i="1"/>
  <c r="S116" i="1" s="1"/>
  <c r="G116" i="1"/>
  <c r="B116" i="1"/>
  <c r="D116" i="1" s="1"/>
  <c r="I115" i="1"/>
  <c r="S115" i="1" s="1"/>
  <c r="G115" i="1"/>
  <c r="B115" i="1"/>
  <c r="D115" i="1" s="1"/>
  <c r="I114" i="1"/>
  <c r="S114" i="1" s="1"/>
  <c r="G114" i="1"/>
  <c r="B114" i="1"/>
  <c r="I113" i="1"/>
  <c r="G113" i="1"/>
  <c r="B113" i="1"/>
  <c r="K113" i="1" s="1"/>
  <c r="I112" i="1"/>
  <c r="S112" i="1" s="1"/>
  <c r="G112" i="1"/>
  <c r="B112" i="1"/>
  <c r="C112" i="1" s="1"/>
  <c r="I111" i="1"/>
  <c r="S111" i="1" s="1"/>
  <c r="G111" i="1"/>
  <c r="B111" i="1"/>
  <c r="C111" i="1" s="1"/>
  <c r="I110" i="1"/>
  <c r="S110" i="1" s="1"/>
  <c r="G110" i="1"/>
  <c r="B110" i="1"/>
  <c r="I109" i="1"/>
  <c r="G109" i="1"/>
  <c r="B109" i="1"/>
  <c r="I108" i="1"/>
  <c r="S108" i="1" s="1"/>
  <c r="G108" i="1"/>
  <c r="B108" i="1"/>
  <c r="I107" i="1"/>
  <c r="S107" i="1" s="1"/>
  <c r="G107" i="1"/>
  <c r="B107" i="1"/>
  <c r="D107" i="1" s="1"/>
  <c r="I106" i="1"/>
  <c r="S106" i="1" s="1"/>
  <c r="G106" i="1"/>
  <c r="B106" i="1"/>
  <c r="C106" i="1" s="1"/>
  <c r="I105" i="1"/>
  <c r="G105" i="1"/>
  <c r="B105" i="1"/>
  <c r="D105" i="1" s="1"/>
  <c r="I104" i="1"/>
  <c r="S104" i="1" s="1"/>
  <c r="G104" i="1"/>
  <c r="B104" i="1"/>
  <c r="I103" i="1"/>
  <c r="S103" i="1" s="1"/>
  <c r="G103" i="1"/>
  <c r="B103" i="1"/>
  <c r="I102" i="1"/>
  <c r="S102" i="1" s="1"/>
  <c r="G102" i="1"/>
  <c r="B102" i="1"/>
  <c r="I101" i="1"/>
  <c r="G101" i="1"/>
  <c r="B101" i="1"/>
  <c r="I100" i="1"/>
  <c r="S100" i="1" s="1"/>
  <c r="G100" i="1"/>
  <c r="B100" i="1"/>
  <c r="D100" i="1" s="1"/>
  <c r="I99" i="1"/>
  <c r="G99" i="1"/>
  <c r="B99" i="1"/>
  <c r="I98" i="1"/>
  <c r="S98" i="1" s="1"/>
  <c r="G98" i="1"/>
  <c r="B98" i="1"/>
  <c r="I97" i="1"/>
  <c r="G97" i="1"/>
  <c r="B97" i="1"/>
  <c r="I96" i="1"/>
  <c r="S96" i="1" s="1"/>
  <c r="G96" i="1"/>
  <c r="B96" i="1"/>
  <c r="I95" i="1"/>
  <c r="G95" i="1"/>
  <c r="B95" i="1"/>
  <c r="I94" i="1"/>
  <c r="S94" i="1" s="1"/>
  <c r="G94" i="1"/>
  <c r="B94" i="1"/>
  <c r="I93" i="1"/>
  <c r="G93" i="1"/>
  <c r="B93" i="1"/>
  <c r="I92" i="1"/>
  <c r="S92" i="1" s="1"/>
  <c r="G92" i="1"/>
  <c r="B92" i="1"/>
  <c r="I91" i="1"/>
  <c r="S91" i="1" s="1"/>
  <c r="G91" i="1"/>
  <c r="B91" i="1"/>
  <c r="D91" i="1" s="1"/>
  <c r="I90" i="1"/>
  <c r="S90" i="1" s="1"/>
  <c r="G90" i="1"/>
  <c r="B90" i="1"/>
  <c r="I89" i="1"/>
  <c r="S89" i="1" s="1"/>
  <c r="G89" i="1"/>
  <c r="B89" i="1"/>
  <c r="K89" i="1" s="1"/>
  <c r="I88" i="1"/>
  <c r="S88" i="1" s="1"/>
  <c r="G88" i="1"/>
  <c r="B88" i="1"/>
  <c r="I87" i="1"/>
  <c r="S87" i="1" s="1"/>
  <c r="G87" i="1"/>
  <c r="B87" i="1"/>
  <c r="I86" i="1"/>
  <c r="S86" i="1" s="1"/>
  <c r="G86" i="1"/>
  <c r="B86" i="1"/>
  <c r="L86" i="1" s="1"/>
  <c r="I85" i="1"/>
  <c r="G85" i="1"/>
  <c r="B85" i="1"/>
  <c r="D85" i="1" s="1"/>
  <c r="I84" i="1"/>
  <c r="S84" i="1" s="1"/>
  <c r="G84" i="1"/>
  <c r="B84" i="1"/>
  <c r="D84" i="1" s="1"/>
  <c r="I83" i="1"/>
  <c r="S83" i="1" s="1"/>
  <c r="G83" i="1"/>
  <c r="B83" i="1"/>
  <c r="D83" i="1" s="1"/>
  <c r="I82" i="1"/>
  <c r="S82" i="1" s="1"/>
  <c r="G82" i="1"/>
  <c r="B82" i="1"/>
  <c r="I81" i="1"/>
  <c r="G81" i="1"/>
  <c r="B81" i="1"/>
  <c r="K81" i="1" s="1"/>
  <c r="I80" i="1"/>
  <c r="S80" i="1" s="1"/>
  <c r="G80" i="1"/>
  <c r="B80" i="1"/>
  <c r="C80" i="1" s="1"/>
  <c r="I79" i="1"/>
  <c r="S79" i="1" s="1"/>
  <c r="G79" i="1"/>
  <c r="B79" i="1"/>
  <c r="I78" i="1"/>
  <c r="S78" i="1" s="1"/>
  <c r="G78" i="1"/>
  <c r="B78" i="1"/>
  <c r="L78" i="1" s="1"/>
  <c r="I77" i="1"/>
  <c r="G77" i="1"/>
  <c r="B77" i="1"/>
  <c r="I76" i="1"/>
  <c r="S76" i="1" s="1"/>
  <c r="G76" i="1"/>
  <c r="B76" i="1"/>
  <c r="I75" i="1"/>
  <c r="S75" i="1" s="1"/>
  <c r="G75" i="1"/>
  <c r="B75" i="1"/>
  <c r="I74" i="1"/>
  <c r="S74" i="1" s="1"/>
  <c r="G74" i="1"/>
  <c r="B74" i="1"/>
  <c r="C74" i="1" s="1"/>
  <c r="I73" i="1"/>
  <c r="G73" i="1"/>
  <c r="B73" i="1"/>
  <c r="K73" i="1" s="1"/>
  <c r="I72" i="1"/>
  <c r="S72" i="1" s="1"/>
  <c r="G72" i="1"/>
  <c r="B72" i="1"/>
  <c r="I71" i="1"/>
  <c r="S71" i="1" s="1"/>
  <c r="G71" i="1"/>
  <c r="B71" i="1"/>
  <c r="I70" i="1"/>
  <c r="S70" i="1" s="1"/>
  <c r="G70" i="1"/>
  <c r="B70" i="1"/>
  <c r="I69" i="1"/>
  <c r="G69" i="1"/>
  <c r="B69" i="1"/>
  <c r="I68" i="1"/>
  <c r="S68" i="1" s="1"/>
  <c r="G68" i="1"/>
  <c r="B68" i="1"/>
  <c r="D68" i="1" s="1"/>
  <c r="I67" i="1"/>
  <c r="S67" i="1" s="1"/>
  <c r="G67" i="1"/>
  <c r="B67" i="1"/>
  <c r="I66" i="1"/>
  <c r="S66" i="1" s="1"/>
  <c r="G66" i="1"/>
  <c r="B66" i="1"/>
  <c r="I65" i="1"/>
  <c r="G65" i="1"/>
  <c r="B65" i="1"/>
  <c r="I64" i="1"/>
  <c r="S64" i="1" s="1"/>
  <c r="G64" i="1"/>
  <c r="B64" i="1"/>
  <c r="I63" i="1"/>
  <c r="S63" i="1" s="1"/>
  <c r="G63" i="1"/>
  <c r="B63" i="1"/>
  <c r="C63" i="1" s="1"/>
  <c r="I62" i="1"/>
  <c r="S62" i="1" s="1"/>
  <c r="G62" i="1"/>
  <c r="B62" i="1"/>
  <c r="I61" i="1"/>
  <c r="S61" i="1" s="1"/>
  <c r="G61" i="1"/>
  <c r="B61" i="1"/>
  <c r="I60" i="1"/>
  <c r="S60" i="1" s="1"/>
  <c r="G60" i="1"/>
  <c r="B60" i="1"/>
  <c r="I59" i="1"/>
  <c r="S59" i="1" s="1"/>
  <c r="G59" i="1"/>
  <c r="B59" i="1"/>
  <c r="D59" i="1" s="1"/>
  <c r="I58" i="1"/>
  <c r="S58" i="1" s="1"/>
  <c r="G58" i="1"/>
  <c r="B58" i="1"/>
  <c r="I57" i="1"/>
  <c r="G57" i="1"/>
  <c r="B57" i="1"/>
  <c r="K57" i="1" s="1"/>
  <c r="I56" i="1"/>
  <c r="G56" i="1"/>
  <c r="B56" i="1"/>
  <c r="I55" i="1"/>
  <c r="S55" i="1" s="1"/>
  <c r="G55" i="1"/>
  <c r="B55" i="1"/>
  <c r="I54" i="1"/>
  <c r="S54" i="1" s="1"/>
  <c r="G54" i="1"/>
  <c r="B54" i="1"/>
  <c r="I53" i="1"/>
  <c r="S53" i="1" s="1"/>
  <c r="G53" i="1"/>
  <c r="B53" i="1"/>
  <c r="I52" i="1"/>
  <c r="G52" i="1"/>
  <c r="B52" i="1"/>
  <c r="I51" i="1"/>
  <c r="S51" i="1" s="1"/>
  <c r="G51" i="1"/>
  <c r="B51" i="1"/>
  <c r="I50" i="1"/>
  <c r="S50" i="1" s="1"/>
  <c r="G50" i="1"/>
  <c r="B50" i="1"/>
  <c r="I49" i="1"/>
  <c r="S49" i="1" s="1"/>
  <c r="G49" i="1"/>
  <c r="B49" i="1"/>
  <c r="I48" i="1"/>
  <c r="G48" i="1"/>
  <c r="B48" i="1"/>
  <c r="I47" i="1"/>
  <c r="S47" i="1" s="1"/>
  <c r="G47" i="1"/>
  <c r="B47" i="1"/>
  <c r="C47" i="1" s="1"/>
  <c r="I46" i="1"/>
  <c r="S46" i="1" s="1"/>
  <c r="G46" i="1"/>
  <c r="B46" i="1"/>
  <c r="D46" i="1" s="1"/>
  <c r="I45" i="1"/>
  <c r="G45" i="1"/>
  <c r="B45" i="1"/>
  <c r="I44" i="1"/>
  <c r="G44" i="1"/>
  <c r="B44" i="1"/>
  <c r="I43" i="1"/>
  <c r="S43" i="1" s="1"/>
  <c r="G43" i="1"/>
  <c r="B43" i="1"/>
  <c r="I42" i="1"/>
  <c r="S42" i="1" s="1"/>
  <c r="G42" i="1"/>
  <c r="B42" i="1"/>
  <c r="D42" i="1" s="1"/>
  <c r="I41" i="1"/>
  <c r="G41" i="1"/>
  <c r="B41" i="1"/>
  <c r="I40" i="1"/>
  <c r="G40" i="1"/>
  <c r="B40" i="1"/>
  <c r="C40" i="1" s="1"/>
  <c r="I39" i="1"/>
  <c r="S39" i="1" s="1"/>
  <c r="G39" i="1"/>
  <c r="B39" i="1"/>
  <c r="I38" i="1"/>
  <c r="S38" i="1" s="1"/>
  <c r="G38" i="1"/>
  <c r="B38" i="1"/>
  <c r="D38" i="1" s="1"/>
  <c r="I37" i="1"/>
  <c r="S37" i="1" s="1"/>
  <c r="G37" i="1"/>
  <c r="B37" i="1"/>
  <c r="I36" i="1"/>
  <c r="G36" i="1"/>
  <c r="B36" i="1"/>
  <c r="I35" i="1"/>
  <c r="S35" i="1" s="1"/>
  <c r="G35" i="1"/>
  <c r="B35" i="1"/>
  <c r="C35" i="1" s="1"/>
  <c r="I34" i="1"/>
  <c r="S34" i="1" s="1"/>
  <c r="G34" i="1"/>
  <c r="B34" i="1"/>
  <c r="I33" i="1"/>
  <c r="G33" i="1"/>
  <c r="B33" i="1"/>
  <c r="I32" i="1"/>
  <c r="G32" i="1"/>
  <c r="B32" i="1"/>
  <c r="I31" i="1"/>
  <c r="S31" i="1" s="1"/>
  <c r="G31" i="1"/>
  <c r="B31" i="1"/>
  <c r="I30" i="1"/>
  <c r="S30" i="1" s="1"/>
  <c r="G30" i="1"/>
  <c r="B30" i="1"/>
  <c r="C30" i="1" s="1"/>
  <c r="I29" i="1"/>
  <c r="S29" i="1" s="1"/>
  <c r="G29" i="1"/>
  <c r="B29" i="1"/>
  <c r="I28" i="1"/>
  <c r="G28" i="1"/>
  <c r="B28" i="1"/>
  <c r="I27" i="1"/>
  <c r="S27" i="1" s="1"/>
  <c r="G27" i="1"/>
  <c r="B27" i="1"/>
  <c r="I26" i="1"/>
  <c r="S26" i="1" s="1"/>
  <c r="G26" i="1"/>
  <c r="B26" i="1"/>
  <c r="D26" i="1" s="1"/>
  <c r="I25" i="1"/>
  <c r="G25" i="1"/>
  <c r="B25" i="1"/>
  <c r="O24" i="1"/>
  <c r="I24" i="1"/>
  <c r="G24" i="1"/>
  <c r="B24" i="1"/>
  <c r="I23" i="1"/>
  <c r="S23" i="1" s="1"/>
  <c r="G23" i="1"/>
  <c r="B23" i="1"/>
  <c r="I22" i="1"/>
  <c r="S22" i="1" s="1"/>
  <c r="G22" i="1"/>
  <c r="B22" i="1"/>
  <c r="I21" i="1"/>
  <c r="S21" i="1" s="1"/>
  <c r="G21" i="1"/>
  <c r="B21" i="1"/>
  <c r="I20" i="1"/>
  <c r="G20" i="1"/>
  <c r="B20" i="1"/>
  <c r="C20" i="1" s="1"/>
  <c r="I19" i="1"/>
  <c r="R19" i="1" s="1"/>
  <c r="G19" i="1"/>
  <c r="B19" i="1"/>
  <c r="I18" i="1"/>
  <c r="G18" i="1"/>
  <c r="B18" i="1"/>
  <c r="I17" i="1"/>
  <c r="G17" i="1"/>
  <c r="B17" i="1"/>
  <c r="I16" i="1"/>
  <c r="G16" i="1"/>
  <c r="B16" i="1"/>
  <c r="O16" i="1" s="1"/>
  <c r="I15" i="1"/>
  <c r="S15" i="1" s="1"/>
  <c r="G15" i="1"/>
  <c r="B15" i="1"/>
  <c r="I14" i="1"/>
  <c r="S14" i="1" s="1"/>
  <c r="G14" i="1"/>
  <c r="B14" i="1"/>
  <c r="L14" i="1" s="1"/>
  <c r="I13" i="1"/>
  <c r="S13" i="1" s="1"/>
  <c r="G13" i="1"/>
  <c r="B13" i="1"/>
  <c r="I12" i="1"/>
  <c r="G12" i="1"/>
  <c r="B12" i="1"/>
  <c r="I11" i="1"/>
  <c r="S11" i="1" s="1"/>
  <c r="G11" i="1"/>
  <c r="B11" i="1"/>
  <c r="I10" i="1"/>
  <c r="S10" i="1" s="1"/>
  <c r="G10" i="1"/>
  <c r="B10" i="1"/>
  <c r="I9" i="1"/>
  <c r="S9" i="1" s="1"/>
  <c r="G9" i="1"/>
  <c r="B9" i="1"/>
  <c r="I8" i="1"/>
  <c r="G8" i="1"/>
  <c r="B8" i="1"/>
  <c r="I7" i="1"/>
  <c r="S7" i="1" s="1"/>
  <c r="G7" i="1"/>
  <c r="B7" i="1"/>
  <c r="I6" i="1"/>
  <c r="S6" i="1" s="1"/>
  <c r="G6" i="1"/>
  <c r="B6" i="1"/>
  <c r="D6" i="1" s="1"/>
  <c r="I5" i="1"/>
  <c r="S5" i="1" s="1"/>
  <c r="G5" i="1"/>
  <c r="B5" i="1"/>
  <c r="I4" i="1"/>
  <c r="G4" i="1"/>
  <c r="B4" i="1"/>
  <c r="I3" i="1"/>
  <c r="R3" i="1" s="1"/>
  <c r="G3" i="1"/>
  <c r="B3" i="1"/>
  <c r="S2" i="1"/>
  <c r="X14" i="1" s="1"/>
  <c r="G2" i="1"/>
  <c r="B2" i="1"/>
  <c r="R270" i="1" l="1"/>
  <c r="S270" i="1"/>
  <c r="R278" i="1"/>
  <c r="S278" i="1"/>
  <c r="D444" i="1"/>
  <c r="C444" i="1"/>
  <c r="D486" i="1"/>
  <c r="C486" i="1"/>
  <c r="D500" i="1"/>
  <c r="C500" i="1"/>
  <c r="R629" i="1"/>
  <c r="S629" i="1"/>
  <c r="J731" i="1"/>
  <c r="R731" i="1"/>
  <c r="D132" i="1"/>
  <c r="C132" i="1"/>
  <c r="C321" i="1"/>
  <c r="K321" i="1"/>
  <c r="C704" i="1"/>
  <c r="L704" i="1"/>
  <c r="D725" i="1"/>
  <c r="S685" i="1"/>
  <c r="J643" i="1"/>
  <c r="R643" i="1"/>
  <c r="L645" i="1"/>
  <c r="D645" i="1"/>
  <c r="R681" i="1"/>
  <c r="S681" i="1"/>
  <c r="R689" i="1"/>
  <c r="S689" i="1"/>
  <c r="C703" i="1"/>
  <c r="K703" i="1"/>
  <c r="R624" i="1"/>
  <c r="R248" i="1"/>
  <c r="S248" i="1"/>
  <c r="J373" i="1"/>
  <c r="S373" i="1"/>
  <c r="S442" i="1"/>
  <c r="R442" i="1"/>
  <c r="O566" i="1"/>
  <c r="L566" i="1"/>
  <c r="C566" i="1"/>
  <c r="L587" i="1"/>
  <c r="D587" i="1"/>
  <c r="S719" i="1"/>
  <c r="R719" i="1"/>
  <c r="C729" i="1"/>
  <c r="J329" i="1"/>
  <c r="R329" i="1"/>
  <c r="J333" i="1"/>
  <c r="S333" i="1"/>
  <c r="S463" i="1"/>
  <c r="J463" i="1"/>
  <c r="L567" i="1"/>
  <c r="O567" i="1"/>
  <c r="J614" i="1"/>
  <c r="S614" i="1"/>
  <c r="D566" i="1"/>
  <c r="S693" i="1"/>
  <c r="S633" i="1"/>
  <c r="C330" i="1"/>
  <c r="S609" i="1"/>
  <c r="S478" i="1"/>
  <c r="S406" i="1"/>
  <c r="S186" i="1"/>
  <c r="O137" i="1"/>
  <c r="L138" i="1"/>
  <c r="K229" i="1"/>
  <c r="K297" i="1"/>
  <c r="L298" i="1"/>
  <c r="K337" i="1"/>
  <c r="L505" i="1"/>
  <c r="K627" i="1"/>
  <c r="O637" i="1"/>
  <c r="C669" i="1"/>
  <c r="C318" i="1"/>
  <c r="C131" i="1"/>
  <c r="D382" i="1"/>
  <c r="R720" i="1"/>
  <c r="R660" i="1"/>
  <c r="R598" i="1"/>
  <c r="R537" i="1"/>
  <c r="R394" i="1"/>
  <c r="R345" i="1"/>
  <c r="R189" i="1"/>
  <c r="S582" i="1"/>
  <c r="S574" i="1"/>
  <c r="S510" i="1"/>
  <c r="S494" i="1"/>
  <c r="S477" i="1"/>
  <c r="S389" i="1"/>
  <c r="S342" i="1"/>
  <c r="S269" i="1"/>
  <c r="S3" i="1"/>
  <c r="R563" i="1"/>
  <c r="R398" i="1"/>
  <c r="R253" i="1"/>
  <c r="S617" i="1"/>
  <c r="S542" i="1"/>
  <c r="S501" i="1"/>
  <c r="S390" i="1"/>
  <c r="C606" i="1"/>
  <c r="C544" i="1"/>
  <c r="C297" i="1"/>
  <c r="C212" i="1"/>
  <c r="R686" i="1"/>
  <c r="R582" i="1"/>
  <c r="R534" i="1"/>
  <c r="R173" i="1"/>
  <c r="S694" i="1"/>
  <c r="S686" i="1"/>
  <c r="S678" i="1"/>
  <c r="S634" i="1"/>
  <c r="S626" i="1"/>
  <c r="S613" i="1"/>
  <c r="S602" i="1"/>
  <c r="S550" i="1"/>
  <c r="S486" i="1"/>
  <c r="S437" i="1"/>
  <c r="S398" i="1"/>
  <c r="R4" i="1"/>
  <c r="S4" i="1"/>
  <c r="R8" i="1"/>
  <c r="S8" i="1"/>
  <c r="R12" i="1"/>
  <c r="S12" i="1"/>
  <c r="R16" i="1"/>
  <c r="S16" i="1"/>
  <c r="R20" i="1"/>
  <c r="S20" i="1"/>
  <c r="R24" i="1"/>
  <c r="S24" i="1"/>
  <c r="R25" i="1"/>
  <c r="S25" i="1"/>
  <c r="J33" i="1"/>
  <c r="S33" i="1"/>
  <c r="J41" i="1"/>
  <c r="S41" i="1"/>
  <c r="J45" i="1"/>
  <c r="S45" i="1"/>
  <c r="S81" i="1"/>
  <c r="R81" i="1"/>
  <c r="R170" i="1"/>
  <c r="S170" i="1"/>
  <c r="R174" i="1"/>
  <c r="S174" i="1"/>
  <c r="R178" i="1"/>
  <c r="S178" i="1"/>
  <c r="R182" i="1"/>
  <c r="S182" i="1"/>
  <c r="L378" i="1"/>
  <c r="D378" i="1"/>
  <c r="J385" i="1"/>
  <c r="S385" i="1"/>
  <c r="R468" i="1"/>
  <c r="S468" i="1"/>
  <c r="J468" i="1"/>
  <c r="O510" i="1"/>
  <c r="L510" i="1"/>
  <c r="S632" i="1"/>
  <c r="R632" i="1"/>
  <c r="R636" i="1"/>
  <c r="S636" i="1"/>
  <c r="R637" i="1"/>
  <c r="S637" i="1"/>
  <c r="L649" i="1"/>
  <c r="D649" i="1"/>
  <c r="J651" i="1"/>
  <c r="S651" i="1"/>
  <c r="J655" i="1"/>
  <c r="S655" i="1"/>
  <c r="R659" i="1"/>
  <c r="S659" i="1"/>
  <c r="D661" i="1"/>
  <c r="C661" i="1"/>
  <c r="R663" i="1"/>
  <c r="S663" i="1"/>
  <c r="S667" i="1"/>
  <c r="R667" i="1"/>
  <c r="R669" i="1"/>
  <c r="S669" i="1"/>
  <c r="R673" i="1"/>
  <c r="S673" i="1"/>
  <c r="R677" i="1"/>
  <c r="S677" i="1"/>
  <c r="C634" i="1"/>
  <c r="R462" i="1"/>
  <c r="R45" i="1"/>
  <c r="R85" i="1"/>
  <c r="S85" i="1"/>
  <c r="R190" i="1"/>
  <c r="S190" i="1"/>
  <c r="R194" i="1"/>
  <c r="S194" i="1"/>
  <c r="R198" i="1"/>
  <c r="S198" i="1"/>
  <c r="R202" i="1"/>
  <c r="S202" i="1"/>
  <c r="R206" i="1"/>
  <c r="S206" i="1"/>
  <c r="R210" i="1"/>
  <c r="S210" i="1"/>
  <c r="R214" i="1"/>
  <c r="S214" i="1"/>
  <c r="R234" i="1"/>
  <c r="S234" i="1"/>
  <c r="R238" i="1"/>
  <c r="S238" i="1"/>
  <c r="R242" i="1"/>
  <c r="S242" i="1"/>
  <c r="R246" i="1"/>
  <c r="S246" i="1"/>
  <c r="R288" i="1"/>
  <c r="S288" i="1"/>
  <c r="D344" i="1"/>
  <c r="C344" i="1"/>
  <c r="J350" i="1"/>
  <c r="R350" i="1"/>
  <c r="K352" i="1"/>
  <c r="O352" i="1"/>
  <c r="J371" i="1"/>
  <c r="S371" i="1"/>
  <c r="R371" i="1"/>
  <c r="K377" i="1"/>
  <c r="O377" i="1"/>
  <c r="J421" i="1"/>
  <c r="S421" i="1"/>
  <c r="R421" i="1"/>
  <c r="J430" i="1"/>
  <c r="R430" i="1"/>
  <c r="J435" i="1"/>
  <c r="S435" i="1"/>
  <c r="R448" i="1"/>
  <c r="S448" i="1"/>
  <c r="J457" i="1"/>
  <c r="S457" i="1"/>
  <c r="R457" i="1"/>
  <c r="R467" i="1"/>
  <c r="S467" i="1"/>
  <c r="J467" i="1"/>
  <c r="J490" i="1"/>
  <c r="S490" i="1"/>
  <c r="D509" i="1"/>
  <c r="K509" i="1"/>
  <c r="J612" i="1"/>
  <c r="S612" i="1"/>
  <c r="C614" i="1"/>
  <c r="D614" i="1"/>
  <c r="R616" i="1"/>
  <c r="S616" i="1"/>
  <c r="R620" i="1"/>
  <c r="S620" i="1"/>
  <c r="R621" i="1"/>
  <c r="S621" i="1"/>
  <c r="L629" i="1"/>
  <c r="O629" i="1"/>
  <c r="J635" i="1"/>
  <c r="S635" i="1"/>
  <c r="R641" i="1"/>
  <c r="S641" i="1"/>
  <c r="R645" i="1"/>
  <c r="S645" i="1"/>
  <c r="J646" i="1"/>
  <c r="J672" i="1"/>
  <c r="S672" i="1"/>
  <c r="J676" i="1"/>
  <c r="S676" i="1"/>
  <c r="J688" i="1"/>
  <c r="S688" i="1"/>
  <c r="J692" i="1"/>
  <c r="S692" i="1"/>
  <c r="R700" i="1"/>
  <c r="S700" i="1"/>
  <c r="J718" i="1"/>
  <c r="R718" i="1"/>
  <c r="C629" i="1"/>
  <c r="D671" i="1"/>
  <c r="D161" i="1"/>
  <c r="R651" i="1"/>
  <c r="R458" i="1"/>
  <c r="R426" i="1"/>
  <c r="S730" i="1"/>
  <c r="S714" i="1"/>
  <c r="S662" i="1"/>
  <c r="S646" i="1"/>
  <c r="S430" i="1"/>
  <c r="R97" i="1"/>
  <c r="S97" i="1"/>
  <c r="D99" i="1"/>
  <c r="C99" i="1"/>
  <c r="R101" i="1"/>
  <c r="S101" i="1"/>
  <c r="R105" i="1"/>
  <c r="S105" i="1"/>
  <c r="R109" i="1"/>
  <c r="S109" i="1"/>
  <c r="R113" i="1"/>
  <c r="S113" i="1"/>
  <c r="R117" i="1"/>
  <c r="S117" i="1"/>
  <c r="R121" i="1"/>
  <c r="S121" i="1"/>
  <c r="R127" i="1"/>
  <c r="S127" i="1"/>
  <c r="D139" i="1"/>
  <c r="C139" i="1"/>
  <c r="S141" i="1"/>
  <c r="R141" i="1"/>
  <c r="R142" i="1"/>
  <c r="S142" i="1"/>
  <c r="R146" i="1"/>
  <c r="S146" i="1"/>
  <c r="R150" i="1"/>
  <c r="S150" i="1"/>
  <c r="R158" i="1"/>
  <c r="S158" i="1"/>
  <c r="R193" i="1"/>
  <c r="S193" i="1"/>
  <c r="R197" i="1"/>
  <c r="S197" i="1"/>
  <c r="R201" i="1"/>
  <c r="S201" i="1"/>
  <c r="R205" i="1"/>
  <c r="S205" i="1"/>
  <c r="R209" i="1"/>
  <c r="S209" i="1"/>
  <c r="R213" i="1"/>
  <c r="S213" i="1"/>
  <c r="R217" i="1"/>
  <c r="S217" i="1"/>
  <c r="S233" i="1"/>
  <c r="R233" i="1"/>
  <c r="R237" i="1"/>
  <c r="S237" i="1"/>
  <c r="R241" i="1"/>
  <c r="S241" i="1"/>
  <c r="R245" i="1"/>
  <c r="S245" i="1"/>
  <c r="R249" i="1"/>
  <c r="S249" i="1"/>
  <c r="J301" i="1"/>
  <c r="S301" i="1"/>
  <c r="R301" i="1"/>
  <c r="J313" i="1"/>
  <c r="S313" i="1"/>
  <c r="J317" i="1"/>
  <c r="S317" i="1"/>
  <c r="R349" i="1"/>
  <c r="S349" i="1"/>
  <c r="K364" i="1"/>
  <c r="D364" i="1"/>
  <c r="D368" i="1"/>
  <c r="K368" i="1"/>
  <c r="R408" i="1"/>
  <c r="S408" i="1"/>
  <c r="O422" i="1"/>
  <c r="C422" i="1"/>
  <c r="R434" i="1"/>
  <c r="S434" i="1"/>
  <c r="R439" i="1"/>
  <c r="S439" i="1"/>
  <c r="J443" i="1"/>
  <c r="S443" i="1"/>
  <c r="R489" i="1"/>
  <c r="S489" i="1"/>
  <c r="R493" i="1"/>
  <c r="S493" i="1"/>
  <c r="J499" i="1"/>
  <c r="S499" i="1"/>
  <c r="O506" i="1"/>
  <c r="C506" i="1"/>
  <c r="R522" i="1"/>
  <c r="S522" i="1"/>
  <c r="J565" i="1"/>
  <c r="S565" i="1"/>
  <c r="S571" i="1"/>
  <c r="R571" i="1"/>
  <c r="J596" i="1"/>
  <c r="S596" i="1"/>
  <c r="R600" i="1"/>
  <c r="S600" i="1"/>
  <c r="R601" i="1"/>
  <c r="S601" i="1"/>
  <c r="D613" i="1"/>
  <c r="C613" i="1"/>
  <c r="J619" i="1"/>
  <c r="S619" i="1"/>
  <c r="R625" i="1"/>
  <c r="S625" i="1"/>
  <c r="J683" i="1"/>
  <c r="S683" i="1"/>
  <c r="J687" i="1"/>
  <c r="S687" i="1"/>
  <c r="J699" i="1"/>
  <c r="S699" i="1"/>
  <c r="J703" i="1"/>
  <c r="S703" i="1"/>
  <c r="J704" i="1"/>
  <c r="S704" i="1"/>
  <c r="C698" i="1"/>
  <c r="D508" i="1"/>
  <c r="D353" i="1"/>
  <c r="R470" i="1"/>
  <c r="R443" i="1"/>
  <c r="S726" i="1"/>
  <c r="S710" i="1"/>
  <c r="S470" i="1"/>
  <c r="S358" i="1"/>
  <c r="J17" i="1"/>
  <c r="S17" i="1"/>
  <c r="R17" i="1"/>
  <c r="C48" i="1"/>
  <c r="O48" i="1"/>
  <c r="O94" i="1"/>
  <c r="L94" i="1"/>
  <c r="R165" i="1"/>
  <c r="S165" i="1"/>
  <c r="R166" i="1"/>
  <c r="S166" i="1"/>
  <c r="R356" i="1"/>
  <c r="S356" i="1"/>
  <c r="S357" i="1"/>
  <c r="R357" i="1"/>
  <c r="J361" i="1"/>
  <c r="S361" i="1"/>
  <c r="R386" i="1"/>
  <c r="S386" i="1"/>
  <c r="J387" i="1"/>
  <c r="S387" i="1"/>
  <c r="R387" i="1"/>
  <c r="J399" i="1"/>
  <c r="S399" i="1"/>
  <c r="R407" i="1"/>
  <c r="S407" i="1"/>
  <c r="J417" i="1"/>
  <c r="S417" i="1"/>
  <c r="R418" i="1"/>
  <c r="S418" i="1"/>
  <c r="S419" i="1"/>
  <c r="R419" i="1"/>
  <c r="J419" i="1"/>
  <c r="R473" i="1"/>
  <c r="S473" i="1"/>
  <c r="J479" i="1"/>
  <c r="S479" i="1"/>
  <c r="R479" i="1"/>
  <c r="J483" i="1"/>
  <c r="S483" i="1"/>
  <c r="O485" i="1"/>
  <c r="D485" i="1"/>
  <c r="R488" i="1"/>
  <c r="S488" i="1"/>
  <c r="J488" i="1"/>
  <c r="J513" i="1"/>
  <c r="S513" i="1"/>
  <c r="J517" i="1"/>
  <c r="S517" i="1"/>
  <c r="J521" i="1"/>
  <c r="S521" i="1"/>
  <c r="J529" i="1"/>
  <c r="S529" i="1"/>
  <c r="R535" i="1"/>
  <c r="S535" i="1"/>
  <c r="R539" i="1"/>
  <c r="S539" i="1"/>
  <c r="S543" i="1"/>
  <c r="R543" i="1"/>
  <c r="S547" i="1"/>
  <c r="R547" i="1"/>
  <c r="R551" i="1"/>
  <c r="S551" i="1"/>
  <c r="D557" i="1"/>
  <c r="C557" i="1"/>
  <c r="O558" i="1"/>
  <c r="D558" i="1"/>
  <c r="D562" i="1"/>
  <c r="C562" i="1"/>
  <c r="J570" i="1"/>
  <c r="R570" i="1"/>
  <c r="S570" i="1"/>
  <c r="R575" i="1"/>
  <c r="S575" i="1"/>
  <c r="R579" i="1"/>
  <c r="S579" i="1"/>
  <c r="R605" i="1"/>
  <c r="S605" i="1"/>
  <c r="C697" i="1"/>
  <c r="C649" i="1"/>
  <c r="C485" i="1"/>
  <c r="D630" i="1"/>
  <c r="D506" i="1"/>
  <c r="D352" i="1"/>
  <c r="R638" i="1"/>
  <c r="R596" i="1"/>
  <c r="R555" i="1"/>
  <c r="R499" i="1"/>
  <c r="R469" i="1"/>
  <c r="R358" i="1"/>
  <c r="S706" i="1"/>
  <c r="S666" i="1"/>
  <c r="S658" i="1"/>
  <c r="S650" i="1"/>
  <c r="S638" i="1"/>
  <c r="S526" i="1"/>
  <c r="S462" i="1"/>
  <c r="S414" i="1"/>
  <c r="S350" i="1"/>
  <c r="S154" i="1"/>
  <c r="C706" i="1"/>
  <c r="C645" i="1"/>
  <c r="C529" i="1"/>
  <c r="C473" i="1"/>
  <c r="C433" i="1"/>
  <c r="C382" i="1"/>
  <c r="C314" i="1"/>
  <c r="C234" i="1"/>
  <c r="C154" i="1"/>
  <c r="C42" i="1"/>
  <c r="D714" i="1"/>
  <c r="D659" i="1"/>
  <c r="R724" i="1"/>
  <c r="R698" i="1"/>
  <c r="R682" i="1"/>
  <c r="R671" i="1"/>
  <c r="R648" i="1"/>
  <c r="R618" i="1"/>
  <c r="R586" i="1"/>
  <c r="R533" i="1"/>
  <c r="R497" i="1"/>
  <c r="R465" i="1"/>
  <c r="R437" i="1"/>
  <c r="R390" i="1"/>
  <c r="R377" i="1"/>
  <c r="R169" i="1"/>
  <c r="S732" i="1"/>
  <c r="S728" i="1"/>
  <c r="S724" i="1"/>
  <c r="S720" i="1"/>
  <c r="S708" i="1"/>
  <c r="S680" i="1"/>
  <c r="S660" i="1"/>
  <c r="S656" i="1"/>
  <c r="S652" i="1"/>
  <c r="S644" i="1"/>
  <c r="S640" i="1"/>
  <c r="S628" i="1"/>
  <c r="S624" i="1"/>
  <c r="S608" i="1"/>
  <c r="S604" i="1"/>
  <c r="S592" i="1"/>
  <c r="S562" i="1"/>
  <c r="S546" i="1"/>
  <c r="S538" i="1"/>
  <c r="S506" i="1"/>
  <c r="S466" i="1"/>
  <c r="S450" i="1"/>
  <c r="S410" i="1"/>
  <c r="S402" i="1"/>
  <c r="S274" i="1"/>
  <c r="S266" i="1"/>
  <c r="R28" i="1"/>
  <c r="S28" i="1"/>
  <c r="R32" i="1"/>
  <c r="S32" i="1"/>
  <c r="R36" i="1"/>
  <c r="S36" i="1"/>
  <c r="R40" i="1"/>
  <c r="S40" i="1"/>
  <c r="R44" i="1"/>
  <c r="S44" i="1"/>
  <c r="R48" i="1"/>
  <c r="S48" i="1"/>
  <c r="R57" i="1"/>
  <c r="S57" i="1"/>
  <c r="R65" i="1"/>
  <c r="S65" i="1"/>
  <c r="R69" i="1"/>
  <c r="S69" i="1"/>
  <c r="R73" i="1"/>
  <c r="S73" i="1"/>
  <c r="R95" i="1"/>
  <c r="S95" i="1"/>
  <c r="R125" i="1"/>
  <c r="S125" i="1"/>
  <c r="R145" i="1"/>
  <c r="S145" i="1"/>
  <c r="R149" i="1"/>
  <c r="S149" i="1"/>
  <c r="R153" i="1"/>
  <c r="S153" i="1"/>
  <c r="R157" i="1"/>
  <c r="S157" i="1"/>
  <c r="R161" i="1"/>
  <c r="S161" i="1"/>
  <c r="R162" i="1"/>
  <c r="S162" i="1"/>
  <c r="R177" i="1"/>
  <c r="S177" i="1"/>
  <c r="R181" i="1"/>
  <c r="S181" i="1"/>
  <c r="R185" i="1"/>
  <c r="S185" i="1"/>
  <c r="R226" i="1"/>
  <c r="S226" i="1"/>
  <c r="R258" i="1"/>
  <c r="S258" i="1"/>
  <c r="R262" i="1"/>
  <c r="S262" i="1"/>
  <c r="R316" i="1"/>
  <c r="S316" i="1"/>
  <c r="R348" i="1"/>
  <c r="S348" i="1"/>
  <c r="R352" i="1"/>
  <c r="S352" i="1"/>
  <c r="J379" i="1"/>
  <c r="S379" i="1"/>
  <c r="J451" i="1"/>
  <c r="S451" i="1"/>
  <c r="R455" i="1"/>
  <c r="S455" i="1"/>
  <c r="R511" i="1"/>
  <c r="S511" i="1"/>
  <c r="R559" i="1"/>
  <c r="S559" i="1"/>
  <c r="R52" i="1"/>
  <c r="S52" i="1"/>
  <c r="R56" i="1"/>
  <c r="S56" i="1"/>
  <c r="R77" i="1"/>
  <c r="S77" i="1"/>
  <c r="R93" i="1"/>
  <c r="S93" i="1"/>
  <c r="J95" i="1"/>
  <c r="R133" i="1"/>
  <c r="S133" i="1"/>
  <c r="R137" i="1"/>
  <c r="S137" i="1"/>
  <c r="R221" i="1"/>
  <c r="S221" i="1"/>
  <c r="R229" i="1"/>
  <c r="S229" i="1"/>
  <c r="R230" i="1"/>
  <c r="S230" i="1"/>
  <c r="R247" i="1"/>
  <c r="S247" i="1"/>
  <c r="R261" i="1"/>
  <c r="S261" i="1"/>
  <c r="R265" i="1"/>
  <c r="S265" i="1"/>
  <c r="R336" i="1"/>
  <c r="S336" i="1"/>
  <c r="R347" i="1"/>
  <c r="S347" i="1"/>
  <c r="J351" i="1"/>
  <c r="S351" i="1"/>
  <c r="J363" i="1"/>
  <c r="S363" i="1"/>
  <c r="R411" i="1"/>
  <c r="S411" i="1"/>
  <c r="J415" i="1"/>
  <c r="S415" i="1"/>
  <c r="R423" i="1"/>
  <c r="S423" i="1"/>
  <c r="J427" i="1"/>
  <c r="S427" i="1"/>
  <c r="R436" i="1"/>
  <c r="S436" i="1"/>
  <c r="J455" i="1"/>
  <c r="R464" i="1"/>
  <c r="S464" i="1"/>
  <c r="J491" i="1"/>
  <c r="S491" i="1"/>
  <c r="R507" i="1"/>
  <c r="S507" i="1"/>
  <c r="J515" i="1"/>
  <c r="S515" i="1"/>
  <c r="R523" i="1"/>
  <c r="S523" i="1"/>
  <c r="R567" i="1"/>
  <c r="S567" i="1"/>
  <c r="R572" i="1"/>
  <c r="S572" i="1"/>
  <c r="J679" i="1"/>
  <c r="J680" i="1"/>
  <c r="C730" i="1"/>
  <c r="C705" i="1"/>
  <c r="C458" i="1"/>
  <c r="C380" i="1"/>
  <c r="D730" i="1"/>
  <c r="D705" i="1"/>
  <c r="D602" i="1"/>
  <c r="D531" i="1"/>
  <c r="D249" i="1"/>
  <c r="R723" i="1"/>
  <c r="R715" i="1"/>
  <c r="R694" i="1"/>
  <c r="R644" i="1"/>
  <c r="R630" i="1"/>
  <c r="R614" i="1"/>
  <c r="R585" i="1"/>
  <c r="R527" i="1"/>
  <c r="R491" i="1"/>
  <c r="R478" i="1"/>
  <c r="R463" i="1"/>
  <c r="R451" i="1"/>
  <c r="R281" i="1"/>
  <c r="R225" i="1"/>
  <c r="R61" i="1"/>
  <c r="S731" i="1"/>
  <c r="S727" i="1"/>
  <c r="S723" i="1"/>
  <c r="S715" i="1"/>
  <c r="S707" i="1"/>
  <c r="S679" i="1"/>
  <c r="S675" i="1"/>
  <c r="S671" i="1"/>
  <c r="S643" i="1"/>
  <c r="S639" i="1"/>
  <c r="S623" i="1"/>
  <c r="S607" i="1"/>
  <c r="S603" i="1"/>
  <c r="S591" i="1"/>
  <c r="S537" i="1"/>
  <c r="S481" i="1"/>
  <c r="S465" i="1"/>
  <c r="S449" i="1"/>
  <c r="S409" i="1"/>
  <c r="S401" i="1"/>
  <c r="S393" i="1"/>
  <c r="S377" i="1"/>
  <c r="S353" i="1"/>
  <c r="S337" i="1"/>
  <c r="S329" i="1"/>
  <c r="S289" i="1"/>
  <c r="S281" i="1"/>
  <c r="S273" i="1"/>
  <c r="S254" i="1"/>
  <c r="S222" i="1"/>
  <c r="J2" i="1"/>
  <c r="R2" i="1"/>
  <c r="X10" i="1" s="1"/>
  <c r="J6" i="1"/>
  <c r="R6" i="1"/>
  <c r="J10" i="1"/>
  <c r="R10" i="1"/>
  <c r="J14" i="1"/>
  <c r="R14" i="1"/>
  <c r="C22" i="1"/>
  <c r="D22" i="1"/>
  <c r="J26" i="1"/>
  <c r="R26" i="1"/>
  <c r="J30" i="1"/>
  <c r="R30" i="1"/>
  <c r="J34" i="1"/>
  <c r="R34" i="1"/>
  <c r="J38" i="1"/>
  <c r="R38" i="1"/>
  <c r="J43" i="1"/>
  <c r="R43" i="1"/>
  <c r="J47" i="1"/>
  <c r="R47" i="1"/>
  <c r="L54" i="1"/>
  <c r="C54" i="1"/>
  <c r="J60" i="1"/>
  <c r="R60" i="1"/>
  <c r="O62" i="1"/>
  <c r="L62" i="1"/>
  <c r="J64" i="1"/>
  <c r="R64" i="1"/>
  <c r="J68" i="1"/>
  <c r="R68" i="1"/>
  <c r="J72" i="1"/>
  <c r="R72" i="1"/>
  <c r="D75" i="1"/>
  <c r="C75" i="1"/>
  <c r="J83" i="1"/>
  <c r="R83" i="1"/>
  <c r="J88" i="1"/>
  <c r="R88" i="1"/>
  <c r="J99" i="1"/>
  <c r="R99" i="1"/>
  <c r="J103" i="1"/>
  <c r="R103" i="1"/>
  <c r="J108" i="1"/>
  <c r="R108" i="1"/>
  <c r="O110" i="1"/>
  <c r="C110" i="1"/>
  <c r="J122" i="1"/>
  <c r="R122" i="1"/>
  <c r="J126" i="1"/>
  <c r="R126" i="1"/>
  <c r="J128" i="1"/>
  <c r="R128" i="1"/>
  <c r="J132" i="1"/>
  <c r="R132" i="1"/>
  <c r="J136" i="1"/>
  <c r="R136" i="1"/>
  <c r="J143" i="1"/>
  <c r="R143" i="1"/>
  <c r="J147" i="1"/>
  <c r="R147" i="1"/>
  <c r="J151" i="1"/>
  <c r="R151" i="1"/>
  <c r="D153" i="1"/>
  <c r="K153" i="1"/>
  <c r="J155" i="1"/>
  <c r="R155" i="1"/>
  <c r="J160" i="1"/>
  <c r="R160" i="1"/>
  <c r="J168" i="1"/>
  <c r="R168" i="1"/>
  <c r="J172" i="1"/>
  <c r="R172" i="1"/>
  <c r="J176" i="1"/>
  <c r="R176" i="1"/>
  <c r="J180" i="1"/>
  <c r="R180" i="1"/>
  <c r="J184" i="1"/>
  <c r="R184" i="1"/>
  <c r="J191" i="1"/>
  <c r="R191" i="1"/>
  <c r="D203" i="1"/>
  <c r="C203" i="1"/>
  <c r="D211" i="1"/>
  <c r="C211" i="1"/>
  <c r="J219" i="1"/>
  <c r="R219" i="1"/>
  <c r="J223" i="1"/>
  <c r="R223" i="1"/>
  <c r="J231" i="1"/>
  <c r="R231" i="1"/>
  <c r="J235" i="1"/>
  <c r="R235" i="1"/>
  <c r="J239" i="1"/>
  <c r="R239" i="1"/>
  <c r="J243" i="1"/>
  <c r="R243" i="1"/>
  <c r="J251" i="1"/>
  <c r="R251" i="1"/>
  <c r="O254" i="1"/>
  <c r="D254" i="1"/>
  <c r="C254" i="1"/>
  <c r="J256" i="1"/>
  <c r="R256" i="1"/>
  <c r="J260" i="1"/>
  <c r="R260" i="1"/>
  <c r="J264" i="1"/>
  <c r="R264" i="1"/>
  <c r="D266" i="1"/>
  <c r="C266" i="1"/>
  <c r="J268" i="1"/>
  <c r="R268" i="1"/>
  <c r="J272" i="1"/>
  <c r="R272" i="1"/>
  <c r="J276" i="1"/>
  <c r="R276" i="1"/>
  <c r="J280" i="1"/>
  <c r="R280" i="1"/>
  <c r="D282" i="1"/>
  <c r="C282" i="1"/>
  <c r="J284" i="1"/>
  <c r="R284" i="1"/>
  <c r="J293" i="1"/>
  <c r="R293" i="1"/>
  <c r="J297" i="1"/>
  <c r="R297" i="1"/>
  <c r="J298" i="1"/>
  <c r="R298" i="1"/>
  <c r="J299" i="1"/>
  <c r="R299" i="1"/>
  <c r="J303" i="1"/>
  <c r="R303" i="1"/>
  <c r="J307" i="1"/>
  <c r="R307" i="1"/>
  <c r="O310" i="1"/>
  <c r="D310" i="1"/>
  <c r="C310" i="1"/>
  <c r="J320" i="1"/>
  <c r="R320" i="1"/>
  <c r="J321" i="1"/>
  <c r="R321" i="1"/>
  <c r="J322" i="1"/>
  <c r="R322" i="1"/>
  <c r="J323" i="1"/>
  <c r="R323" i="1"/>
  <c r="K325" i="1"/>
  <c r="C325" i="1"/>
  <c r="J327" i="1"/>
  <c r="R327" i="1"/>
  <c r="D329" i="1"/>
  <c r="K329" i="1"/>
  <c r="J331" i="1"/>
  <c r="R331" i="1"/>
  <c r="C333" i="1"/>
  <c r="D333" i="1"/>
  <c r="O334" i="1"/>
  <c r="C334" i="1"/>
  <c r="J340" i="1"/>
  <c r="R340" i="1"/>
  <c r="R344" i="1"/>
  <c r="J344" i="1"/>
  <c r="C372" i="1"/>
  <c r="D372" i="1"/>
  <c r="K372" i="1"/>
  <c r="J374" i="1"/>
  <c r="R374" i="1"/>
  <c r="D376" i="1"/>
  <c r="C376" i="1"/>
  <c r="J380" i="1"/>
  <c r="R380" i="1"/>
  <c r="J391" i="1"/>
  <c r="R391" i="1"/>
  <c r="D393" i="1"/>
  <c r="C393" i="1"/>
  <c r="J395" i="1"/>
  <c r="R395" i="1"/>
  <c r="J403" i="1"/>
  <c r="R403" i="1"/>
  <c r="O405" i="1"/>
  <c r="C405" i="1"/>
  <c r="J412" i="1"/>
  <c r="R412" i="1"/>
  <c r="O414" i="1"/>
  <c r="D414" i="1"/>
  <c r="C414" i="1"/>
  <c r="J416" i="1"/>
  <c r="R416" i="1"/>
  <c r="J425" i="1"/>
  <c r="R425" i="1"/>
  <c r="J429" i="1"/>
  <c r="R429" i="1"/>
  <c r="J433" i="1"/>
  <c r="R433" i="1"/>
  <c r="J440" i="1"/>
  <c r="R440" i="1"/>
  <c r="D442" i="1"/>
  <c r="C442" i="1"/>
  <c r="R444" i="1"/>
  <c r="J444" i="1"/>
  <c r="J454" i="1"/>
  <c r="R454" i="1"/>
  <c r="D457" i="1"/>
  <c r="C457" i="1"/>
  <c r="J459" i="1"/>
  <c r="R459" i="1"/>
  <c r="D464" i="1"/>
  <c r="C464" i="1"/>
  <c r="J474" i="1"/>
  <c r="R474" i="1"/>
  <c r="J475" i="1"/>
  <c r="R475" i="1"/>
  <c r="O478" i="1"/>
  <c r="D478" i="1"/>
  <c r="O489" i="1"/>
  <c r="C489" i="1"/>
  <c r="J495" i="1"/>
  <c r="R495" i="1"/>
  <c r="O497" i="1"/>
  <c r="C497" i="1"/>
  <c r="J505" i="1"/>
  <c r="R505" i="1"/>
  <c r="J508" i="1"/>
  <c r="R508" i="1"/>
  <c r="R519" i="1"/>
  <c r="J519" i="1"/>
  <c r="J541" i="1"/>
  <c r="R541" i="1"/>
  <c r="J545" i="1"/>
  <c r="R545" i="1"/>
  <c r="J553" i="1"/>
  <c r="R553" i="1"/>
  <c r="J557" i="1"/>
  <c r="R557" i="1"/>
  <c r="D560" i="1"/>
  <c r="C560" i="1"/>
  <c r="J568" i="1"/>
  <c r="R568" i="1"/>
  <c r="O570" i="1"/>
  <c r="C570" i="1"/>
  <c r="O574" i="1"/>
  <c r="D574" i="1"/>
  <c r="C574" i="1"/>
  <c r="J576" i="1"/>
  <c r="R576" i="1"/>
  <c r="J580" i="1"/>
  <c r="R580" i="1"/>
  <c r="J584" i="1"/>
  <c r="R584" i="1"/>
  <c r="D588" i="1"/>
  <c r="C588" i="1"/>
  <c r="J590" i="1"/>
  <c r="R590" i="1"/>
  <c r="D605" i="1"/>
  <c r="C605" i="1"/>
  <c r="J631" i="1"/>
  <c r="R631" i="1"/>
  <c r="C639" i="1"/>
  <c r="K639" i="1"/>
  <c r="K643" i="1"/>
  <c r="D643" i="1"/>
  <c r="J654" i="1"/>
  <c r="R654" i="1"/>
  <c r="O670" i="1"/>
  <c r="C670" i="1"/>
  <c r="D670" i="1"/>
  <c r="O678" i="1"/>
  <c r="D678" i="1"/>
  <c r="J691" i="1"/>
  <c r="R691" i="1"/>
  <c r="J695" i="1"/>
  <c r="R695" i="1"/>
  <c r="C708" i="1"/>
  <c r="L708" i="1"/>
  <c r="J722" i="1"/>
  <c r="R722" i="1"/>
  <c r="C598" i="1"/>
  <c r="C564" i="1"/>
  <c r="C478" i="1"/>
  <c r="C462" i="1"/>
  <c r="C446" i="1"/>
  <c r="C170" i="1"/>
  <c r="D693" i="1"/>
  <c r="D517" i="1"/>
  <c r="D446" i="1"/>
  <c r="D401" i="1"/>
  <c r="D309" i="1"/>
  <c r="D110" i="1"/>
  <c r="R687" i="1"/>
  <c r="R672" i="1"/>
  <c r="R662" i="1"/>
  <c r="R608" i="1"/>
  <c r="R549" i="1"/>
  <c r="R409" i="1"/>
  <c r="R289" i="1"/>
  <c r="J5" i="1"/>
  <c r="R5" i="1"/>
  <c r="J9" i="1"/>
  <c r="R9" i="1"/>
  <c r="J13" i="1"/>
  <c r="R13" i="1"/>
  <c r="J18" i="1"/>
  <c r="R18" i="1"/>
  <c r="J19" i="1"/>
  <c r="J23" i="1"/>
  <c r="R23" i="1"/>
  <c r="J25" i="1"/>
  <c r="J29" i="1"/>
  <c r="R29" i="1"/>
  <c r="J37" i="1"/>
  <c r="R37" i="1"/>
  <c r="J42" i="1"/>
  <c r="R42" i="1"/>
  <c r="J46" i="1"/>
  <c r="R46" i="1"/>
  <c r="R51" i="1"/>
  <c r="J51" i="1"/>
  <c r="J59" i="1"/>
  <c r="R59" i="1"/>
  <c r="R63" i="1"/>
  <c r="J63" i="1"/>
  <c r="J116" i="1"/>
  <c r="R116" i="1"/>
  <c r="O118" i="1"/>
  <c r="D118" i="1"/>
  <c r="L118" i="1"/>
  <c r="J120" i="1"/>
  <c r="R120" i="1"/>
  <c r="J127" i="1"/>
  <c r="J131" i="1"/>
  <c r="R131" i="1"/>
  <c r="J135" i="1"/>
  <c r="R135" i="1"/>
  <c r="D148" i="1"/>
  <c r="C148" i="1"/>
  <c r="L198" i="1"/>
  <c r="C198" i="1"/>
  <c r="J200" i="1"/>
  <c r="R200" i="1"/>
  <c r="J204" i="1"/>
  <c r="R204" i="1"/>
  <c r="J208" i="1"/>
  <c r="R208" i="1"/>
  <c r="J212" i="1"/>
  <c r="R212" i="1"/>
  <c r="J216" i="1"/>
  <c r="R216" i="1"/>
  <c r="J228" i="1"/>
  <c r="R228" i="1"/>
  <c r="J247" i="1"/>
  <c r="J248" i="1"/>
  <c r="J255" i="1"/>
  <c r="R255" i="1"/>
  <c r="J259" i="1"/>
  <c r="R259" i="1"/>
  <c r="J263" i="1"/>
  <c r="R263" i="1"/>
  <c r="O265" i="1"/>
  <c r="C265" i="1"/>
  <c r="J267" i="1"/>
  <c r="R267" i="1"/>
  <c r="J271" i="1"/>
  <c r="R271" i="1"/>
  <c r="J275" i="1"/>
  <c r="R275" i="1"/>
  <c r="J279" i="1"/>
  <c r="R279" i="1"/>
  <c r="J283" i="1"/>
  <c r="R283" i="1"/>
  <c r="J287" i="1"/>
  <c r="R287" i="1"/>
  <c r="J288" i="1"/>
  <c r="J292" i="1"/>
  <c r="R292" i="1"/>
  <c r="J296" i="1"/>
  <c r="R296" i="1"/>
  <c r="J302" i="1"/>
  <c r="R302" i="1"/>
  <c r="J318" i="1"/>
  <c r="R318" i="1"/>
  <c r="J319" i="1"/>
  <c r="R319" i="1"/>
  <c r="J326" i="1"/>
  <c r="R326" i="1"/>
  <c r="J330" i="1"/>
  <c r="R330" i="1"/>
  <c r="D345" i="1"/>
  <c r="C345" i="1"/>
  <c r="J354" i="1"/>
  <c r="R354" i="1"/>
  <c r="J355" i="1"/>
  <c r="R355" i="1"/>
  <c r="K358" i="1"/>
  <c r="D358" i="1"/>
  <c r="J360" i="1"/>
  <c r="R360" i="1"/>
  <c r="D362" i="1"/>
  <c r="C362" i="1"/>
  <c r="J364" i="1"/>
  <c r="R364" i="1"/>
  <c r="J368" i="1"/>
  <c r="R368" i="1"/>
  <c r="J369" i="1"/>
  <c r="R369" i="1"/>
  <c r="D400" i="1"/>
  <c r="C400" i="1"/>
  <c r="D404" i="1"/>
  <c r="C404" i="1"/>
  <c r="J407" i="1"/>
  <c r="J408" i="1"/>
  <c r="J411" i="1"/>
  <c r="K417" i="1"/>
  <c r="D417" i="1"/>
  <c r="D420" i="1"/>
  <c r="C420" i="1"/>
  <c r="J424" i="1"/>
  <c r="R424" i="1"/>
  <c r="D426" i="1"/>
  <c r="C426" i="1"/>
  <c r="J428" i="1"/>
  <c r="R428" i="1"/>
  <c r="D430" i="1"/>
  <c r="C430" i="1"/>
  <c r="J432" i="1"/>
  <c r="R432" i="1"/>
  <c r="J438" i="1"/>
  <c r="R438" i="1"/>
  <c r="J439" i="1"/>
  <c r="C445" i="1"/>
  <c r="K445" i="1"/>
  <c r="J447" i="1"/>
  <c r="R447" i="1"/>
  <c r="J448" i="1"/>
  <c r="J453" i="1"/>
  <c r="R453" i="1"/>
  <c r="D456" i="1"/>
  <c r="C456" i="1"/>
  <c r="J472" i="1"/>
  <c r="R472" i="1"/>
  <c r="O476" i="1"/>
  <c r="C476" i="1"/>
  <c r="J480" i="1"/>
  <c r="R480" i="1"/>
  <c r="J484" i="1"/>
  <c r="R484" i="1"/>
  <c r="J492" i="1"/>
  <c r="R492" i="1"/>
  <c r="O496" i="1"/>
  <c r="D496" i="1"/>
  <c r="C496" i="1"/>
  <c r="J500" i="1"/>
  <c r="R500" i="1"/>
  <c r="J504" i="1"/>
  <c r="R504" i="1"/>
  <c r="D512" i="1"/>
  <c r="C512" i="1"/>
  <c r="J514" i="1"/>
  <c r="R514" i="1"/>
  <c r="J518" i="1"/>
  <c r="R518" i="1"/>
  <c r="J532" i="1"/>
  <c r="R532" i="1"/>
  <c r="J536" i="1"/>
  <c r="R536" i="1"/>
  <c r="O538" i="1"/>
  <c r="D538" i="1"/>
  <c r="L538" i="1"/>
  <c r="C538" i="1"/>
  <c r="J540" i="1"/>
  <c r="R540" i="1"/>
  <c r="J544" i="1"/>
  <c r="R544" i="1"/>
  <c r="J548" i="1"/>
  <c r="R548" i="1"/>
  <c r="J552" i="1"/>
  <c r="R552" i="1"/>
  <c r="J556" i="1"/>
  <c r="R556" i="1"/>
  <c r="C559" i="1"/>
  <c r="D559" i="1"/>
  <c r="J561" i="1"/>
  <c r="R561" i="1"/>
  <c r="C563" i="1"/>
  <c r="D563" i="1"/>
  <c r="L581" i="1"/>
  <c r="D581" i="1"/>
  <c r="J583" i="1"/>
  <c r="R583" i="1"/>
  <c r="K585" i="1"/>
  <c r="D585" i="1"/>
  <c r="O586" i="1"/>
  <c r="D586" i="1"/>
  <c r="C586" i="1"/>
  <c r="J589" i="1"/>
  <c r="R589" i="1"/>
  <c r="L591" i="1"/>
  <c r="D591" i="1"/>
  <c r="J593" i="1"/>
  <c r="R593" i="1"/>
  <c r="J594" i="1"/>
  <c r="R594" i="1"/>
  <c r="J595" i="1"/>
  <c r="R595" i="1"/>
  <c r="L597" i="1"/>
  <c r="O597" i="1"/>
  <c r="D597" i="1"/>
  <c r="C597" i="1"/>
  <c r="J599" i="1"/>
  <c r="R599" i="1"/>
  <c r="J602" i="1"/>
  <c r="J606" i="1"/>
  <c r="R606" i="1"/>
  <c r="L609" i="1"/>
  <c r="D609" i="1"/>
  <c r="D618" i="1"/>
  <c r="C618" i="1"/>
  <c r="J622" i="1"/>
  <c r="R622" i="1"/>
  <c r="J627" i="1"/>
  <c r="R627" i="1"/>
  <c r="L638" i="1"/>
  <c r="D638" i="1"/>
  <c r="J649" i="1"/>
  <c r="R649" i="1"/>
  <c r="L651" i="1"/>
  <c r="D651" i="1"/>
  <c r="R653" i="1"/>
  <c r="J653" i="1"/>
  <c r="J657" i="1"/>
  <c r="R657" i="1"/>
  <c r="J661" i="1"/>
  <c r="R661" i="1"/>
  <c r="J665" i="1"/>
  <c r="R665" i="1"/>
  <c r="J705" i="1"/>
  <c r="R705" i="1"/>
  <c r="C707" i="1"/>
  <c r="K707" i="1"/>
  <c r="J717" i="1"/>
  <c r="R717" i="1"/>
  <c r="J721" i="1"/>
  <c r="R721" i="1"/>
  <c r="J725" i="1"/>
  <c r="R725" i="1"/>
  <c r="J729" i="1"/>
  <c r="R729" i="1"/>
  <c r="C678" i="1"/>
  <c r="C664" i="1"/>
  <c r="C569" i="1"/>
  <c r="C542" i="1"/>
  <c r="C528" i="1"/>
  <c r="C477" i="1"/>
  <c r="C421" i="1"/>
  <c r="C309" i="1"/>
  <c r="C253" i="1"/>
  <c r="C206" i="1"/>
  <c r="D707" i="1"/>
  <c r="D577" i="1"/>
  <c r="D550" i="1"/>
  <c r="D468" i="1"/>
  <c r="D54" i="1"/>
  <c r="R714" i="1"/>
  <c r="R704" i="1"/>
  <c r="R650" i="1"/>
  <c r="R635" i="1"/>
  <c r="R628" i="1"/>
  <c r="R607" i="1"/>
  <c r="R558" i="1"/>
  <c r="R486" i="1"/>
  <c r="R406" i="1"/>
  <c r="R385" i="1"/>
  <c r="R373" i="1"/>
  <c r="R317" i="1"/>
  <c r="R33" i="1"/>
  <c r="J54" i="1"/>
  <c r="R54" i="1"/>
  <c r="D56" i="1"/>
  <c r="O56" i="1"/>
  <c r="C56" i="1"/>
  <c r="J58" i="1"/>
  <c r="R58" i="1"/>
  <c r="J62" i="1"/>
  <c r="R62" i="1"/>
  <c r="J66" i="1"/>
  <c r="R66" i="1"/>
  <c r="J70" i="1"/>
  <c r="R70" i="1"/>
  <c r="J75" i="1"/>
  <c r="R75" i="1"/>
  <c r="J80" i="1"/>
  <c r="R80" i="1"/>
  <c r="J91" i="1"/>
  <c r="R91" i="1"/>
  <c r="J106" i="1"/>
  <c r="R106" i="1"/>
  <c r="J110" i="1"/>
  <c r="R110" i="1"/>
  <c r="J111" i="1"/>
  <c r="R111" i="1"/>
  <c r="J115" i="1"/>
  <c r="R115" i="1"/>
  <c r="J119" i="1"/>
  <c r="R119" i="1"/>
  <c r="J124" i="1"/>
  <c r="R124" i="1"/>
  <c r="J130" i="1"/>
  <c r="R130" i="1"/>
  <c r="J134" i="1"/>
  <c r="R134" i="1"/>
  <c r="J140" i="1"/>
  <c r="R140" i="1"/>
  <c r="D147" i="1"/>
  <c r="C147" i="1"/>
  <c r="D155" i="1"/>
  <c r="C155" i="1"/>
  <c r="J164" i="1"/>
  <c r="R164" i="1"/>
  <c r="J188" i="1"/>
  <c r="R188" i="1"/>
  <c r="J195" i="1"/>
  <c r="R195" i="1"/>
  <c r="D197" i="1"/>
  <c r="K197" i="1"/>
  <c r="J199" i="1"/>
  <c r="R199" i="1"/>
  <c r="J203" i="1"/>
  <c r="R203" i="1"/>
  <c r="J207" i="1"/>
  <c r="R207" i="1"/>
  <c r="J211" i="1"/>
  <c r="R211" i="1"/>
  <c r="J215" i="1"/>
  <c r="R215" i="1"/>
  <c r="O217" i="1"/>
  <c r="D217" i="1"/>
  <c r="J305" i="1"/>
  <c r="R305" i="1"/>
  <c r="J309" i="1"/>
  <c r="R309" i="1"/>
  <c r="J310" i="1"/>
  <c r="R310" i="1"/>
  <c r="J311" i="1"/>
  <c r="R311" i="1"/>
  <c r="D313" i="1"/>
  <c r="C313" i="1"/>
  <c r="K313" i="1"/>
  <c r="J315" i="1"/>
  <c r="R315" i="1"/>
  <c r="J316" i="1"/>
  <c r="D320" i="1"/>
  <c r="C320" i="1"/>
  <c r="J325" i="1"/>
  <c r="R325" i="1"/>
  <c r="J334" i="1"/>
  <c r="R334" i="1"/>
  <c r="J335" i="1"/>
  <c r="R335" i="1"/>
  <c r="J346" i="1"/>
  <c r="R346" i="1"/>
  <c r="J347" i="1"/>
  <c r="O356" i="1"/>
  <c r="C356" i="1"/>
  <c r="O357" i="1"/>
  <c r="D357" i="1"/>
  <c r="J359" i="1"/>
  <c r="R359" i="1"/>
  <c r="O361" i="1"/>
  <c r="D361" i="1"/>
  <c r="J367" i="1"/>
  <c r="R367" i="1"/>
  <c r="J372" i="1"/>
  <c r="R372" i="1"/>
  <c r="J376" i="1"/>
  <c r="R376" i="1"/>
  <c r="J383" i="1"/>
  <c r="R383" i="1"/>
  <c r="J388" i="1"/>
  <c r="R388" i="1"/>
  <c r="J397" i="1"/>
  <c r="R397" i="1"/>
  <c r="J405" i="1"/>
  <c r="R405" i="1"/>
  <c r="K409" i="1"/>
  <c r="C409" i="1"/>
  <c r="O410" i="1"/>
  <c r="D410" i="1"/>
  <c r="J423" i="1"/>
  <c r="J431" i="1"/>
  <c r="R431" i="1"/>
  <c r="J446" i="1"/>
  <c r="R446" i="1"/>
  <c r="D448" i="1"/>
  <c r="C448" i="1"/>
  <c r="O449" i="1"/>
  <c r="D449" i="1"/>
  <c r="D450" i="1"/>
  <c r="C450" i="1"/>
  <c r="R452" i="1"/>
  <c r="J452" i="1"/>
  <c r="J525" i="1"/>
  <c r="R525" i="1"/>
  <c r="J530" i="1"/>
  <c r="R530" i="1"/>
  <c r="J531" i="1"/>
  <c r="R531" i="1"/>
  <c r="K537" i="1"/>
  <c r="C537" i="1"/>
  <c r="O590" i="1"/>
  <c r="L590" i="1"/>
  <c r="C607" i="1"/>
  <c r="D607" i="1"/>
  <c r="J611" i="1"/>
  <c r="R611" i="1"/>
  <c r="J615" i="1"/>
  <c r="R615" i="1"/>
  <c r="J626" i="1"/>
  <c r="K635" i="1"/>
  <c r="D635" i="1"/>
  <c r="D654" i="1"/>
  <c r="C654" i="1"/>
  <c r="J664" i="1"/>
  <c r="R664" i="1"/>
  <c r="O666" i="1"/>
  <c r="D666" i="1"/>
  <c r="C666" i="1"/>
  <c r="J670" i="1"/>
  <c r="R670" i="1"/>
  <c r="J674" i="1"/>
  <c r="R674" i="1"/>
  <c r="C687" i="1"/>
  <c r="D687" i="1"/>
  <c r="D695" i="1"/>
  <c r="K695" i="1"/>
  <c r="J697" i="1"/>
  <c r="R697" i="1"/>
  <c r="J702" i="1"/>
  <c r="R702" i="1"/>
  <c r="J716" i="1"/>
  <c r="R716" i="1"/>
  <c r="O718" i="1"/>
  <c r="D718" i="1"/>
  <c r="C718" i="1"/>
  <c r="C517" i="1"/>
  <c r="C410" i="1"/>
  <c r="C388" i="1"/>
  <c r="C357" i="1"/>
  <c r="C329" i="1"/>
  <c r="C202" i="1"/>
  <c r="D719" i="1"/>
  <c r="D571" i="1"/>
  <c r="D537" i="1"/>
  <c r="D465" i="1"/>
  <c r="D421" i="1"/>
  <c r="R726" i="1"/>
  <c r="R703" i="1"/>
  <c r="R683" i="1"/>
  <c r="R676" i="1"/>
  <c r="R640" i="1"/>
  <c r="R634" i="1"/>
  <c r="R603" i="1"/>
  <c r="R592" i="1"/>
  <c r="R521" i="1"/>
  <c r="R494" i="1"/>
  <c r="R415" i="1"/>
  <c r="R401" i="1"/>
  <c r="R393" i="1"/>
  <c r="R342" i="1"/>
  <c r="R313" i="1"/>
  <c r="J7" i="1"/>
  <c r="R7" i="1"/>
  <c r="J11" i="1"/>
  <c r="R11" i="1"/>
  <c r="J15" i="1"/>
  <c r="R15" i="1"/>
  <c r="J21" i="1"/>
  <c r="R21" i="1"/>
  <c r="J27" i="1"/>
  <c r="R27" i="1"/>
  <c r="J31" i="1"/>
  <c r="R31" i="1"/>
  <c r="J35" i="1"/>
  <c r="R35" i="1"/>
  <c r="J39" i="1"/>
  <c r="R39" i="1"/>
  <c r="O40" i="1"/>
  <c r="J49" i="1"/>
  <c r="R49" i="1"/>
  <c r="J53" i="1"/>
  <c r="R53" i="1"/>
  <c r="D67" i="1"/>
  <c r="C67" i="1"/>
  <c r="J74" i="1"/>
  <c r="R74" i="1"/>
  <c r="J78" i="1"/>
  <c r="R78" i="1"/>
  <c r="J79" i="1"/>
  <c r="R79" i="1"/>
  <c r="J84" i="1"/>
  <c r="R84" i="1"/>
  <c r="J90" i="1"/>
  <c r="R90" i="1"/>
  <c r="J94" i="1"/>
  <c r="R94" i="1"/>
  <c r="J96" i="1"/>
  <c r="R96" i="1"/>
  <c r="J100" i="1"/>
  <c r="R100" i="1"/>
  <c r="J104" i="1"/>
  <c r="R104" i="1"/>
  <c r="K105" i="1"/>
  <c r="L110" i="1"/>
  <c r="J114" i="1"/>
  <c r="R114" i="1"/>
  <c r="J118" i="1"/>
  <c r="R118" i="1"/>
  <c r="J156" i="1"/>
  <c r="R156" i="1"/>
  <c r="J163" i="1"/>
  <c r="R163" i="1"/>
  <c r="J187" i="1"/>
  <c r="R187" i="1"/>
  <c r="J192" i="1"/>
  <c r="R192" i="1"/>
  <c r="O193" i="1"/>
  <c r="D196" i="1"/>
  <c r="C196" i="1"/>
  <c r="J224" i="1"/>
  <c r="R224" i="1"/>
  <c r="O225" i="1"/>
  <c r="D228" i="1"/>
  <c r="C228" i="1"/>
  <c r="J232" i="1"/>
  <c r="R232" i="1"/>
  <c r="J236" i="1"/>
  <c r="R236" i="1"/>
  <c r="J240" i="1"/>
  <c r="R240" i="1"/>
  <c r="J244" i="1"/>
  <c r="R244" i="1"/>
  <c r="J252" i="1"/>
  <c r="R252" i="1"/>
  <c r="J285" i="1"/>
  <c r="R285" i="1"/>
  <c r="J290" i="1"/>
  <c r="R290" i="1"/>
  <c r="J294" i="1"/>
  <c r="R294" i="1"/>
  <c r="J300" i="1"/>
  <c r="R300" i="1"/>
  <c r="O302" i="1"/>
  <c r="L302" i="1"/>
  <c r="J304" i="1"/>
  <c r="R304" i="1"/>
  <c r="J308" i="1"/>
  <c r="R308" i="1"/>
  <c r="L310" i="1"/>
  <c r="J314" i="1"/>
  <c r="R314" i="1"/>
  <c r="J332" i="1"/>
  <c r="R332" i="1"/>
  <c r="K333" i="1"/>
  <c r="L334" i="1"/>
  <c r="J341" i="1"/>
  <c r="R341" i="1"/>
  <c r="O353" i="1"/>
  <c r="C353" i="1"/>
  <c r="D354" i="1"/>
  <c r="C354" i="1"/>
  <c r="J362" i="1"/>
  <c r="R362" i="1"/>
  <c r="O373" i="1"/>
  <c r="C373" i="1"/>
  <c r="K373" i="1"/>
  <c r="D373" i="1"/>
  <c r="J375" i="1"/>
  <c r="R375" i="1"/>
  <c r="O378" i="1"/>
  <c r="C378" i="1"/>
  <c r="J381" i="1"/>
  <c r="R381" i="1"/>
  <c r="J382" i="1"/>
  <c r="R382" i="1"/>
  <c r="D384" i="1"/>
  <c r="C384" i="1"/>
  <c r="O389" i="1"/>
  <c r="C389" i="1"/>
  <c r="D389" i="1"/>
  <c r="J392" i="1"/>
  <c r="R392" i="1"/>
  <c r="J396" i="1"/>
  <c r="R396" i="1"/>
  <c r="R400" i="1"/>
  <c r="J400" i="1"/>
  <c r="J441" i="1"/>
  <c r="R441" i="1"/>
  <c r="J445" i="1"/>
  <c r="R445" i="1"/>
  <c r="O453" i="1"/>
  <c r="D453" i="1"/>
  <c r="J456" i="1"/>
  <c r="R456" i="1"/>
  <c r="J460" i="1"/>
  <c r="R460" i="1"/>
  <c r="O465" i="1"/>
  <c r="K469" i="1"/>
  <c r="L470" i="1"/>
  <c r="J476" i="1"/>
  <c r="R476" i="1"/>
  <c r="L478" i="1"/>
  <c r="O480" i="1"/>
  <c r="C480" i="1"/>
  <c r="J482" i="1"/>
  <c r="R482" i="1"/>
  <c r="O484" i="1"/>
  <c r="C484" i="1"/>
  <c r="J487" i="1"/>
  <c r="R487" i="1"/>
  <c r="K489" i="1"/>
  <c r="L490" i="1"/>
  <c r="J496" i="1"/>
  <c r="R496" i="1"/>
  <c r="K497" i="1"/>
  <c r="L498" i="1"/>
  <c r="J502" i="1"/>
  <c r="R502" i="1"/>
  <c r="D504" i="1"/>
  <c r="C504" i="1"/>
  <c r="J509" i="1"/>
  <c r="R509" i="1"/>
  <c r="J512" i="1"/>
  <c r="R512" i="1"/>
  <c r="J516" i="1"/>
  <c r="R516" i="1"/>
  <c r="J520" i="1"/>
  <c r="R520" i="1"/>
  <c r="D522" i="1"/>
  <c r="C522" i="1"/>
  <c r="J524" i="1"/>
  <c r="R524" i="1"/>
  <c r="J528" i="1"/>
  <c r="R528" i="1"/>
  <c r="D532" i="1"/>
  <c r="C532" i="1"/>
  <c r="J554" i="1"/>
  <c r="R554" i="1"/>
  <c r="K565" i="1"/>
  <c r="C565" i="1"/>
  <c r="J569" i="1"/>
  <c r="R569" i="1"/>
  <c r="L570" i="1"/>
  <c r="K573" i="1"/>
  <c r="J581" i="1"/>
  <c r="R581" i="1"/>
  <c r="J587" i="1"/>
  <c r="R587" i="1"/>
  <c r="O589" i="1"/>
  <c r="K589" i="1"/>
  <c r="J642" i="1"/>
  <c r="R642" i="1"/>
  <c r="J647" i="1"/>
  <c r="R647" i="1"/>
  <c r="L657" i="1"/>
  <c r="D657" i="1"/>
  <c r="C665" i="1"/>
  <c r="L665" i="1"/>
  <c r="J668" i="1"/>
  <c r="R668" i="1"/>
  <c r="K681" i="1"/>
  <c r="D681" i="1"/>
  <c r="O682" i="1"/>
  <c r="C682" i="1"/>
  <c r="J684" i="1"/>
  <c r="R684" i="1"/>
  <c r="J696" i="1"/>
  <c r="R696" i="1"/>
  <c r="L709" i="1"/>
  <c r="D709" i="1"/>
  <c r="C709" i="1"/>
  <c r="J711" i="1"/>
  <c r="R711" i="1"/>
  <c r="O713" i="1"/>
  <c r="D713" i="1"/>
  <c r="C713" i="1"/>
  <c r="C701" i="1"/>
  <c r="C657" i="1"/>
  <c r="C638" i="1"/>
  <c r="C585" i="1"/>
  <c r="C554" i="1"/>
  <c r="C533" i="1"/>
  <c r="C516" i="1"/>
  <c r="C452" i="1"/>
  <c r="C432" i="1"/>
  <c r="C408" i="1"/>
  <c r="C370" i="1"/>
  <c r="C352" i="1"/>
  <c r="C217" i="1"/>
  <c r="C118" i="1"/>
  <c r="C68" i="1"/>
  <c r="D731" i="1"/>
  <c r="D694" i="1"/>
  <c r="D665" i="1"/>
  <c r="D590" i="1"/>
  <c r="D409" i="1"/>
  <c r="D366" i="1"/>
  <c r="D325" i="1"/>
  <c r="D237" i="1"/>
  <c r="R710" i="1"/>
  <c r="R699" i="1"/>
  <c r="R688" i="1"/>
  <c r="R666" i="1"/>
  <c r="R655" i="1"/>
  <c r="R639" i="1"/>
  <c r="R623" i="1"/>
  <c r="R612" i="1"/>
  <c r="R591" i="1"/>
  <c r="R565" i="1"/>
  <c r="R542" i="1"/>
  <c r="R529" i="1"/>
  <c r="R515" i="1"/>
  <c r="R501" i="1"/>
  <c r="R449" i="1"/>
  <c r="R435" i="1"/>
  <c r="R422" i="1"/>
  <c r="R414" i="1"/>
  <c r="R399" i="1"/>
  <c r="R366" i="1"/>
  <c r="R351" i="1"/>
  <c r="R333" i="1"/>
  <c r="J701" i="1"/>
  <c r="R701" i="1"/>
  <c r="J709" i="1"/>
  <c r="R709" i="1"/>
  <c r="J713" i="1"/>
  <c r="R713" i="1"/>
  <c r="D703" i="1"/>
  <c r="R728" i="1"/>
  <c r="R707" i="1"/>
  <c r="J22" i="1"/>
  <c r="R22" i="1"/>
  <c r="J50" i="1"/>
  <c r="R50" i="1"/>
  <c r="J55" i="1"/>
  <c r="R55" i="1"/>
  <c r="J67" i="1"/>
  <c r="R67" i="1"/>
  <c r="J71" i="1"/>
  <c r="R71" i="1"/>
  <c r="J76" i="1"/>
  <c r="R76" i="1"/>
  <c r="O78" i="1"/>
  <c r="D78" i="1"/>
  <c r="C78" i="1"/>
  <c r="J82" i="1"/>
  <c r="R82" i="1"/>
  <c r="J86" i="1"/>
  <c r="R86" i="1"/>
  <c r="J87" i="1"/>
  <c r="R87" i="1"/>
  <c r="J92" i="1"/>
  <c r="R92" i="1"/>
  <c r="J98" i="1"/>
  <c r="R98" i="1"/>
  <c r="J102" i="1"/>
  <c r="R102" i="1"/>
  <c r="J107" i="1"/>
  <c r="R107" i="1"/>
  <c r="J112" i="1"/>
  <c r="R112" i="1"/>
  <c r="J123" i="1"/>
  <c r="R123" i="1"/>
  <c r="J138" i="1"/>
  <c r="R138" i="1"/>
  <c r="J139" i="1"/>
  <c r="R139" i="1"/>
  <c r="J144" i="1"/>
  <c r="R144" i="1"/>
  <c r="J148" i="1"/>
  <c r="R148" i="1"/>
  <c r="J152" i="1"/>
  <c r="R152" i="1"/>
  <c r="J159" i="1"/>
  <c r="R159" i="1"/>
  <c r="J167" i="1"/>
  <c r="R167" i="1"/>
  <c r="J171" i="1"/>
  <c r="R171" i="1"/>
  <c r="J175" i="1"/>
  <c r="R175" i="1"/>
  <c r="J179" i="1"/>
  <c r="R179" i="1"/>
  <c r="J183" i="1"/>
  <c r="R183" i="1"/>
  <c r="D187" i="1"/>
  <c r="C187" i="1"/>
  <c r="J196" i="1"/>
  <c r="R196" i="1"/>
  <c r="J220" i="1"/>
  <c r="R220" i="1"/>
  <c r="J227" i="1"/>
  <c r="R227" i="1"/>
  <c r="J282" i="1"/>
  <c r="R282" i="1"/>
  <c r="J286" i="1"/>
  <c r="R286" i="1"/>
  <c r="J291" i="1"/>
  <c r="R291" i="1"/>
  <c r="K293" i="1"/>
  <c r="C293" i="1"/>
  <c r="J295" i="1"/>
  <c r="R295" i="1"/>
  <c r="J306" i="1"/>
  <c r="R306" i="1"/>
  <c r="J312" i="1"/>
  <c r="R312" i="1"/>
  <c r="J324" i="1"/>
  <c r="R324" i="1"/>
  <c r="J328" i="1"/>
  <c r="R328" i="1"/>
  <c r="J338" i="1"/>
  <c r="R338" i="1"/>
  <c r="J339" i="1"/>
  <c r="R339" i="1"/>
  <c r="J343" i="1"/>
  <c r="R343" i="1"/>
  <c r="J365" i="1"/>
  <c r="R365" i="1"/>
  <c r="J370" i="1"/>
  <c r="R370" i="1"/>
  <c r="J384" i="1"/>
  <c r="R384" i="1"/>
  <c r="J404" i="1"/>
  <c r="R404" i="1"/>
  <c r="J413" i="1"/>
  <c r="R413" i="1"/>
  <c r="J420" i="1"/>
  <c r="R420" i="1"/>
  <c r="D434" i="1"/>
  <c r="C434" i="1"/>
  <c r="J461" i="1"/>
  <c r="R461" i="1"/>
  <c r="J471" i="1"/>
  <c r="R471" i="1"/>
  <c r="O474" i="1"/>
  <c r="D474" i="1"/>
  <c r="O494" i="1"/>
  <c r="D494" i="1"/>
  <c r="J498" i="1"/>
  <c r="R498" i="1"/>
  <c r="J503" i="1"/>
  <c r="R503" i="1"/>
  <c r="J560" i="1"/>
  <c r="R560" i="1"/>
  <c r="J564" i="1"/>
  <c r="R564" i="1"/>
  <c r="J573" i="1"/>
  <c r="R573" i="1"/>
  <c r="J578" i="1"/>
  <c r="R578" i="1"/>
  <c r="J588" i="1"/>
  <c r="R588" i="1"/>
  <c r="K673" i="1"/>
  <c r="D673" i="1"/>
  <c r="C725" i="1"/>
  <c r="C714" i="1"/>
  <c r="C702" i="1"/>
  <c r="C650" i="1"/>
  <c r="C592" i="1"/>
  <c r="C558" i="1"/>
  <c r="C530" i="1"/>
  <c r="C508" i="1"/>
  <c r="C501" i="1"/>
  <c r="C474" i="1"/>
  <c r="C424" i="1"/>
  <c r="C249" i="1"/>
  <c r="D721" i="1"/>
  <c r="D667" i="1"/>
  <c r="D473" i="1"/>
  <c r="D293" i="1"/>
  <c r="R732" i="1"/>
  <c r="R706" i="1"/>
  <c r="R690" i="1"/>
  <c r="R658" i="1"/>
  <c r="R652" i="1"/>
  <c r="R610" i="1"/>
  <c r="R574" i="1"/>
  <c r="R517" i="1"/>
  <c r="R417" i="1"/>
  <c r="R389" i="1"/>
  <c r="R361" i="1"/>
  <c r="R337" i="1"/>
  <c r="R41" i="1"/>
  <c r="L4" i="1"/>
  <c r="D4" i="1"/>
  <c r="D5" i="1"/>
  <c r="C5" i="1"/>
  <c r="O21" i="1"/>
  <c r="D21" i="1"/>
  <c r="C21" i="1"/>
  <c r="O27" i="1"/>
  <c r="D27" i="1"/>
  <c r="O33" i="1"/>
  <c r="D33" i="1"/>
  <c r="C33" i="1"/>
  <c r="O39" i="1"/>
  <c r="D39" i="1"/>
  <c r="C39" i="1"/>
  <c r="O53" i="1"/>
  <c r="C53" i="1"/>
  <c r="O65" i="1"/>
  <c r="C65" i="1"/>
  <c r="O72" i="1"/>
  <c r="D72" i="1"/>
  <c r="K77" i="1"/>
  <c r="C77" i="1"/>
  <c r="O98" i="1"/>
  <c r="D98" i="1"/>
  <c r="C98" i="1"/>
  <c r="O103" i="1"/>
  <c r="D103" i="1"/>
  <c r="C103" i="1"/>
  <c r="O104" i="1"/>
  <c r="D104" i="1"/>
  <c r="K109" i="1"/>
  <c r="C109" i="1"/>
  <c r="O129" i="1"/>
  <c r="C129" i="1"/>
  <c r="D129" i="1"/>
  <c r="O130" i="1"/>
  <c r="D130" i="1"/>
  <c r="C130" i="1"/>
  <c r="O134" i="1"/>
  <c r="D134" i="1"/>
  <c r="O135" i="1"/>
  <c r="D135" i="1"/>
  <c r="C135" i="1"/>
  <c r="O136" i="1"/>
  <c r="D136" i="1"/>
  <c r="O145" i="1"/>
  <c r="D145" i="1"/>
  <c r="C145" i="1"/>
  <c r="D146" i="1"/>
  <c r="C146" i="1"/>
  <c r="O169" i="1"/>
  <c r="C169" i="1"/>
  <c r="O177" i="1"/>
  <c r="D177" i="1"/>
  <c r="C177" i="1"/>
  <c r="O201" i="1"/>
  <c r="C201" i="1"/>
  <c r="D201" i="1"/>
  <c r="D223" i="1"/>
  <c r="C223" i="1"/>
  <c r="D239" i="1"/>
  <c r="C239" i="1"/>
  <c r="O240" i="1"/>
  <c r="D240" i="1"/>
  <c r="K257" i="1"/>
  <c r="D257" i="1"/>
  <c r="O262" i="1"/>
  <c r="D262" i="1"/>
  <c r="O290" i="1"/>
  <c r="D290" i="1"/>
  <c r="L295" i="1"/>
  <c r="D295" i="1"/>
  <c r="C295" i="1"/>
  <c r="O324" i="1"/>
  <c r="D324" i="1"/>
  <c r="L415" i="1"/>
  <c r="D415" i="1"/>
  <c r="C415" i="1"/>
  <c r="O429" i="1"/>
  <c r="D429" i="1"/>
  <c r="K429" i="1"/>
  <c r="L439" i="1"/>
  <c r="D439" i="1"/>
  <c r="C439" i="1"/>
  <c r="D525" i="1"/>
  <c r="K525" i="1"/>
  <c r="O580" i="1"/>
  <c r="D580" i="1"/>
  <c r="O3" i="1"/>
  <c r="D3" i="1"/>
  <c r="O7" i="1"/>
  <c r="D7" i="1"/>
  <c r="C7" i="1"/>
  <c r="L8" i="1"/>
  <c r="D8" i="1"/>
  <c r="L12" i="1"/>
  <c r="D12" i="1"/>
  <c r="C12" i="1"/>
  <c r="L13" i="1"/>
  <c r="D13" i="1"/>
  <c r="C13" i="1"/>
  <c r="L28" i="1"/>
  <c r="D28" i="1"/>
  <c r="C28" i="1"/>
  <c r="L32" i="1"/>
  <c r="D32" i="1"/>
  <c r="D34" i="1"/>
  <c r="C34" i="1"/>
  <c r="O66" i="1"/>
  <c r="D66" i="1"/>
  <c r="C66" i="1"/>
  <c r="O70" i="1"/>
  <c r="D70" i="1"/>
  <c r="O71" i="1"/>
  <c r="D71" i="1"/>
  <c r="C71" i="1"/>
  <c r="O97" i="1"/>
  <c r="C97" i="1"/>
  <c r="O102" i="1"/>
  <c r="D102" i="1"/>
  <c r="O176" i="1"/>
  <c r="D176" i="1"/>
  <c r="O178" i="1"/>
  <c r="D178" i="1"/>
  <c r="C178" i="1"/>
  <c r="O208" i="1"/>
  <c r="D208" i="1"/>
  <c r="O209" i="1"/>
  <c r="D209" i="1"/>
  <c r="C209" i="1"/>
  <c r="O210" i="1"/>
  <c r="D210" i="1"/>
  <c r="C210" i="1"/>
  <c r="O258" i="1"/>
  <c r="D258" i="1"/>
  <c r="D259" i="1"/>
  <c r="C259" i="1"/>
  <c r="D263" i="1"/>
  <c r="C263" i="1"/>
  <c r="D267" i="1"/>
  <c r="C267" i="1"/>
  <c r="O273" i="1"/>
  <c r="D273" i="1"/>
  <c r="K273" i="1"/>
  <c r="K285" i="1"/>
  <c r="D285" i="1"/>
  <c r="L291" i="1"/>
  <c r="D291" i="1"/>
  <c r="C291" i="1"/>
  <c r="O304" i="1"/>
  <c r="D304" i="1"/>
  <c r="L341" i="1"/>
  <c r="D341" i="1"/>
  <c r="K341" i="1"/>
  <c r="O402" i="1"/>
  <c r="D402" i="1"/>
  <c r="L402" i="1"/>
  <c r="L447" i="1"/>
  <c r="D447" i="1"/>
  <c r="C447" i="1"/>
  <c r="O454" i="1"/>
  <c r="D454" i="1"/>
  <c r="L503" i="1"/>
  <c r="D503" i="1"/>
  <c r="C503" i="1"/>
  <c r="O514" i="1"/>
  <c r="D514" i="1"/>
  <c r="L535" i="1"/>
  <c r="D535" i="1"/>
  <c r="C535" i="1"/>
  <c r="O535" i="1"/>
  <c r="K541" i="1"/>
  <c r="D541" i="1"/>
  <c r="L576" i="1"/>
  <c r="D576" i="1"/>
  <c r="O576" i="1"/>
  <c r="O612" i="1"/>
  <c r="D612" i="1"/>
  <c r="K623" i="1"/>
  <c r="C623" i="1"/>
  <c r="D631" i="1"/>
  <c r="C631" i="1"/>
  <c r="L631" i="1"/>
  <c r="O676" i="1"/>
  <c r="D676" i="1"/>
  <c r="O683" i="1"/>
  <c r="C683" i="1"/>
  <c r="C691" i="1"/>
  <c r="K691" i="1"/>
  <c r="L723" i="1"/>
  <c r="C723" i="1"/>
  <c r="D727" i="1"/>
  <c r="C727" i="1"/>
  <c r="C576" i="1"/>
  <c r="C549" i="1"/>
  <c r="C437" i="1"/>
  <c r="C416" i="1"/>
  <c r="C346" i="1"/>
  <c r="C341" i="1"/>
  <c r="C304" i="1"/>
  <c r="C277" i="1"/>
  <c r="C261" i="1"/>
  <c r="C240" i="1"/>
  <c r="C191" i="1"/>
  <c r="C176" i="1"/>
  <c r="C134" i="1"/>
  <c r="C91" i="1"/>
  <c r="C84" i="1"/>
  <c r="C70" i="1"/>
  <c r="C27" i="1"/>
  <c r="C14" i="1"/>
  <c r="C6" i="1"/>
  <c r="D723" i="1"/>
  <c r="D623" i="1"/>
  <c r="D617" i="1"/>
  <c r="D553" i="1"/>
  <c r="D545" i="1"/>
  <c r="D438" i="1"/>
  <c r="D277" i="1"/>
  <c r="D65" i="1"/>
  <c r="K2" i="1"/>
  <c r="D2" i="1"/>
  <c r="C2" i="1"/>
  <c r="O11" i="1"/>
  <c r="D11" i="1"/>
  <c r="O19" i="1"/>
  <c r="D19" i="1"/>
  <c r="L20" i="1"/>
  <c r="D20" i="1"/>
  <c r="L24" i="1"/>
  <c r="D24" i="1"/>
  <c r="O25" i="1"/>
  <c r="D25" i="1"/>
  <c r="C25" i="1"/>
  <c r="O31" i="1"/>
  <c r="D31" i="1"/>
  <c r="O45" i="1"/>
  <c r="D45" i="1"/>
  <c r="C45" i="1"/>
  <c r="O51" i="1"/>
  <c r="D51" i="1"/>
  <c r="L52" i="1"/>
  <c r="D52" i="1"/>
  <c r="O57" i="1"/>
  <c r="C57" i="1"/>
  <c r="D57" i="1"/>
  <c r="O58" i="1"/>
  <c r="D58" i="1"/>
  <c r="O63" i="1"/>
  <c r="D63" i="1"/>
  <c r="O64" i="1"/>
  <c r="D64" i="1"/>
  <c r="K69" i="1"/>
  <c r="C69" i="1"/>
  <c r="D76" i="1"/>
  <c r="C76" i="1"/>
  <c r="O89" i="1"/>
  <c r="C89" i="1"/>
  <c r="O90" i="1"/>
  <c r="D90" i="1"/>
  <c r="O95" i="1"/>
  <c r="D95" i="1"/>
  <c r="O96" i="1"/>
  <c r="D96" i="1"/>
  <c r="K101" i="1"/>
  <c r="C101" i="1"/>
  <c r="D101" i="1"/>
  <c r="D108" i="1"/>
  <c r="C108" i="1"/>
  <c r="O121" i="1"/>
  <c r="C121" i="1"/>
  <c r="O122" i="1"/>
  <c r="D122" i="1"/>
  <c r="O127" i="1"/>
  <c r="D127" i="1"/>
  <c r="O128" i="1"/>
  <c r="D128" i="1"/>
  <c r="K133" i="1"/>
  <c r="C133" i="1"/>
  <c r="O144" i="1"/>
  <c r="D144" i="1"/>
  <c r="K149" i="1"/>
  <c r="C149" i="1"/>
  <c r="O157" i="1"/>
  <c r="D157" i="1"/>
  <c r="C157" i="1"/>
  <c r="O158" i="1"/>
  <c r="D158" i="1"/>
  <c r="O168" i="1"/>
  <c r="D168" i="1"/>
  <c r="O181" i="1"/>
  <c r="C181" i="1"/>
  <c r="O189" i="1"/>
  <c r="D189" i="1"/>
  <c r="C189" i="1"/>
  <c r="O200" i="1"/>
  <c r="D200" i="1"/>
  <c r="O213" i="1"/>
  <c r="C213" i="1"/>
  <c r="O221" i="1"/>
  <c r="D221" i="1"/>
  <c r="O232" i="1"/>
  <c r="D232" i="1"/>
  <c r="O272" i="1"/>
  <c r="D272" i="1"/>
  <c r="O280" i="1"/>
  <c r="D280" i="1"/>
  <c r="O284" i="1"/>
  <c r="D284" i="1"/>
  <c r="O288" i="1"/>
  <c r="D288" i="1"/>
  <c r="O294" i="1"/>
  <c r="D294" i="1"/>
  <c r="L294" i="1"/>
  <c r="L303" i="1"/>
  <c r="D303" i="1"/>
  <c r="C303" i="1"/>
  <c r="L307" i="1"/>
  <c r="D307" i="1"/>
  <c r="C307" i="1"/>
  <c r="O322" i="1"/>
  <c r="D322" i="1"/>
  <c r="L323" i="1"/>
  <c r="D323" i="1"/>
  <c r="C323" i="1"/>
  <c r="L327" i="1"/>
  <c r="D327" i="1"/>
  <c r="C327" i="1"/>
  <c r="O340" i="1"/>
  <c r="D340" i="1"/>
  <c r="K360" i="1"/>
  <c r="D360" i="1"/>
  <c r="L375" i="1"/>
  <c r="D375" i="1"/>
  <c r="C375" i="1"/>
  <c r="L391" i="1"/>
  <c r="D391" i="1"/>
  <c r="C391" i="1"/>
  <c r="L395" i="1"/>
  <c r="D395" i="1"/>
  <c r="C395" i="1"/>
  <c r="L399" i="1"/>
  <c r="D399" i="1"/>
  <c r="C399" i="1"/>
  <c r="D435" i="1"/>
  <c r="C435" i="1"/>
  <c r="O472" i="1"/>
  <c r="D472" i="1"/>
  <c r="O502" i="1"/>
  <c r="L502" i="1"/>
  <c r="L511" i="1"/>
  <c r="D511" i="1"/>
  <c r="C511" i="1"/>
  <c r="O518" i="1"/>
  <c r="D518" i="1"/>
  <c r="L519" i="1"/>
  <c r="D519" i="1"/>
  <c r="C519" i="1"/>
  <c r="L524" i="1"/>
  <c r="D524" i="1"/>
  <c r="O534" i="1"/>
  <c r="L534" i="1"/>
  <c r="L539" i="1"/>
  <c r="C539" i="1"/>
  <c r="L540" i="1"/>
  <c r="D540" i="1"/>
  <c r="L552" i="1"/>
  <c r="D552" i="1"/>
  <c r="L556" i="1"/>
  <c r="D556" i="1"/>
  <c r="L575" i="1"/>
  <c r="C575" i="1"/>
  <c r="O575" i="1"/>
  <c r="L579" i="1"/>
  <c r="C579" i="1"/>
  <c r="O579" i="1"/>
  <c r="L583" i="1"/>
  <c r="D583" i="1"/>
  <c r="C583" i="1"/>
  <c r="O594" i="1"/>
  <c r="D594" i="1"/>
  <c r="L595" i="1"/>
  <c r="C595" i="1"/>
  <c r="O600" i="1"/>
  <c r="D600" i="1"/>
  <c r="K603" i="1"/>
  <c r="C603" i="1"/>
  <c r="K611" i="1"/>
  <c r="C611" i="1"/>
  <c r="O616" i="1"/>
  <c r="D616" i="1"/>
  <c r="O620" i="1"/>
  <c r="D620" i="1"/>
  <c r="L621" i="1"/>
  <c r="D621" i="1"/>
  <c r="L626" i="1"/>
  <c r="D626" i="1"/>
  <c r="O628" i="1"/>
  <c r="D628" i="1"/>
  <c r="L642" i="1"/>
  <c r="D642" i="1"/>
  <c r="O656" i="1"/>
  <c r="D656" i="1"/>
  <c r="L663" i="1"/>
  <c r="D663" i="1"/>
  <c r="C663" i="1"/>
  <c r="O675" i="1"/>
  <c r="C675" i="1"/>
  <c r="D679" i="1"/>
  <c r="C679" i="1"/>
  <c r="O680" i="1"/>
  <c r="D680" i="1"/>
  <c r="L690" i="1"/>
  <c r="D690" i="1"/>
  <c r="K711" i="1"/>
  <c r="D711" i="1"/>
  <c r="C711" i="1"/>
  <c r="L717" i="1"/>
  <c r="D717" i="1"/>
  <c r="O722" i="1"/>
  <c r="D722" i="1"/>
  <c r="C686" i="1"/>
  <c r="C681" i="1"/>
  <c r="C676" i="1"/>
  <c r="C628" i="1"/>
  <c r="C622" i="1"/>
  <c r="C617" i="1"/>
  <c r="C612" i="1"/>
  <c r="C601" i="1"/>
  <c r="C596" i="1"/>
  <c r="C580" i="1"/>
  <c r="C553" i="1"/>
  <c r="C548" i="1"/>
  <c r="C521" i="1"/>
  <c r="C510" i="1"/>
  <c r="C436" i="1"/>
  <c r="C425" i="1"/>
  <c r="C350" i="1"/>
  <c r="C340" i="1"/>
  <c r="C324" i="1"/>
  <c r="C302" i="1"/>
  <c r="C281" i="1"/>
  <c r="C276" i="1"/>
  <c r="C260" i="1"/>
  <c r="C244" i="1"/>
  <c r="C238" i="1"/>
  <c r="C233" i="1"/>
  <c r="C222" i="1"/>
  <c r="C190" i="1"/>
  <c r="C182" i="1"/>
  <c r="C175" i="1"/>
  <c r="C168" i="1"/>
  <c r="C126" i="1"/>
  <c r="C104" i="1"/>
  <c r="C96" i="1"/>
  <c r="C90" i="1"/>
  <c r="C83" i="1"/>
  <c r="C62" i="1"/>
  <c r="C32" i="1"/>
  <c r="C26" i="1"/>
  <c r="C19" i="1"/>
  <c r="C11" i="1"/>
  <c r="C4" i="1"/>
  <c r="D686" i="1"/>
  <c r="D629" i="1"/>
  <c r="D622" i="1"/>
  <c r="D601" i="1"/>
  <c r="D593" i="1"/>
  <c r="D579" i="1"/>
  <c r="D565" i="1"/>
  <c r="D513" i="1"/>
  <c r="D502" i="1"/>
  <c r="D437" i="1"/>
  <c r="D428" i="1"/>
  <c r="D289" i="1"/>
  <c r="D269" i="1"/>
  <c r="D233" i="1"/>
  <c r="D213" i="1"/>
  <c r="D174" i="1"/>
  <c r="D97" i="1"/>
  <c r="D62" i="1"/>
  <c r="K10" i="1"/>
  <c r="D10" i="1"/>
  <c r="L16" i="1"/>
  <c r="D16" i="1"/>
  <c r="O17" i="1"/>
  <c r="D17" i="1"/>
  <c r="C17" i="1"/>
  <c r="L18" i="1"/>
  <c r="D18" i="1"/>
  <c r="C18" i="1"/>
  <c r="O23" i="1"/>
  <c r="D23" i="1"/>
  <c r="C23" i="1"/>
  <c r="O37" i="1"/>
  <c r="D37" i="1"/>
  <c r="C37" i="1"/>
  <c r="O43" i="1"/>
  <c r="D43" i="1"/>
  <c r="L44" i="1"/>
  <c r="D44" i="1"/>
  <c r="C44" i="1"/>
  <c r="L48" i="1"/>
  <c r="D48" i="1"/>
  <c r="O49" i="1"/>
  <c r="D49" i="1"/>
  <c r="C49" i="1"/>
  <c r="D50" i="1"/>
  <c r="C50" i="1"/>
  <c r="O55" i="1"/>
  <c r="D55" i="1"/>
  <c r="C55" i="1"/>
  <c r="K61" i="1"/>
  <c r="D61" i="1"/>
  <c r="C61" i="1"/>
  <c r="O81" i="1"/>
  <c r="D81" i="1"/>
  <c r="C81" i="1"/>
  <c r="O82" i="1"/>
  <c r="D82" i="1"/>
  <c r="C82" i="1"/>
  <c r="O86" i="1"/>
  <c r="D86" i="1"/>
  <c r="O87" i="1"/>
  <c r="D87" i="1"/>
  <c r="C87" i="1"/>
  <c r="O88" i="1"/>
  <c r="D88" i="1"/>
  <c r="K93" i="1"/>
  <c r="D93" i="1"/>
  <c r="C93" i="1"/>
  <c r="O113" i="1"/>
  <c r="D113" i="1"/>
  <c r="C113" i="1"/>
  <c r="O114" i="1"/>
  <c r="D114" i="1"/>
  <c r="C114" i="1"/>
  <c r="O119" i="1"/>
  <c r="D119" i="1"/>
  <c r="C119" i="1"/>
  <c r="O120" i="1"/>
  <c r="D120" i="1"/>
  <c r="K125" i="1"/>
  <c r="D125" i="1"/>
  <c r="C125" i="1"/>
  <c r="D156" i="1"/>
  <c r="C156" i="1"/>
  <c r="K161" i="1"/>
  <c r="C161" i="1"/>
  <c r="O162" i="1"/>
  <c r="D162" i="1"/>
  <c r="C162" i="1"/>
  <c r="O165" i="1"/>
  <c r="C165" i="1"/>
  <c r="O166" i="1"/>
  <c r="D166" i="1"/>
  <c r="D167" i="1"/>
  <c r="C167" i="1"/>
  <c r="D172" i="1"/>
  <c r="C172" i="1"/>
  <c r="K173" i="1"/>
  <c r="C173" i="1"/>
  <c r="D173" i="1"/>
  <c r="D188" i="1"/>
  <c r="C188" i="1"/>
  <c r="K193" i="1"/>
  <c r="C193" i="1"/>
  <c r="O194" i="1"/>
  <c r="D194" i="1"/>
  <c r="C194" i="1"/>
  <c r="O197" i="1"/>
  <c r="C197" i="1"/>
  <c r="O198" i="1"/>
  <c r="D198" i="1"/>
  <c r="D199" i="1"/>
  <c r="C199" i="1"/>
  <c r="D204" i="1"/>
  <c r="C204" i="1"/>
  <c r="K205" i="1"/>
  <c r="C205" i="1"/>
  <c r="O226" i="1"/>
  <c r="D226" i="1"/>
  <c r="D227" i="1"/>
  <c r="C227" i="1"/>
  <c r="O229" i="1"/>
  <c r="D229" i="1"/>
  <c r="O230" i="1"/>
  <c r="D230" i="1"/>
  <c r="D231" i="1"/>
  <c r="C231" i="1"/>
  <c r="D235" i="1"/>
  <c r="C235" i="1"/>
  <c r="O242" i="1"/>
  <c r="D242" i="1"/>
  <c r="D255" i="1"/>
  <c r="C255" i="1"/>
  <c r="D271" i="1"/>
  <c r="C271" i="1"/>
  <c r="O300" i="1"/>
  <c r="D300" i="1"/>
  <c r="K301" i="1"/>
  <c r="D301" i="1"/>
  <c r="O306" i="1"/>
  <c r="D306" i="1"/>
  <c r="L306" i="1"/>
  <c r="O316" i="1"/>
  <c r="D316" i="1"/>
  <c r="L319" i="1"/>
  <c r="D319" i="1"/>
  <c r="C319" i="1"/>
  <c r="O326" i="1"/>
  <c r="D326" i="1"/>
  <c r="L326" i="1"/>
  <c r="O336" i="1"/>
  <c r="D336" i="1"/>
  <c r="O338" i="1"/>
  <c r="D338" i="1"/>
  <c r="L339" i="1"/>
  <c r="C339" i="1"/>
  <c r="L343" i="1"/>
  <c r="D343" i="1"/>
  <c r="C343" i="1"/>
  <c r="O349" i="1"/>
  <c r="D349" i="1"/>
  <c r="L349" i="1"/>
  <c r="D359" i="1"/>
  <c r="C359" i="1"/>
  <c r="L363" i="1"/>
  <c r="D363" i="1"/>
  <c r="C363" i="1"/>
  <c r="L371" i="1"/>
  <c r="D371" i="1"/>
  <c r="C371" i="1"/>
  <c r="L383" i="1"/>
  <c r="D383" i="1"/>
  <c r="C383" i="1"/>
  <c r="O390" i="1"/>
  <c r="D390" i="1"/>
  <c r="O394" i="1"/>
  <c r="L394" i="1"/>
  <c r="O398" i="1"/>
  <c r="D398" i="1"/>
  <c r="O413" i="1"/>
  <c r="D413" i="1"/>
  <c r="L427" i="1"/>
  <c r="D427" i="1"/>
  <c r="C427" i="1"/>
  <c r="O427" i="1"/>
  <c r="L451" i="1"/>
  <c r="D451" i="1"/>
  <c r="C451" i="1"/>
  <c r="O457" i="1"/>
  <c r="K457" i="1"/>
  <c r="K461" i="1"/>
  <c r="D461" i="1"/>
  <c r="O462" i="1"/>
  <c r="D462" i="1"/>
  <c r="L463" i="1"/>
  <c r="D463" i="1"/>
  <c r="C463" i="1"/>
  <c r="O466" i="1"/>
  <c r="D466" i="1"/>
  <c r="L467" i="1"/>
  <c r="D467" i="1"/>
  <c r="C467" i="1"/>
  <c r="O469" i="1"/>
  <c r="D469" i="1"/>
  <c r="O471" i="1"/>
  <c r="D471" i="1"/>
  <c r="C471" i="1"/>
  <c r="O488" i="1"/>
  <c r="D488" i="1"/>
  <c r="O490" i="1"/>
  <c r="D490" i="1"/>
  <c r="D491" i="1"/>
  <c r="C491" i="1"/>
  <c r="L523" i="1"/>
  <c r="C523" i="1"/>
  <c r="O523" i="1"/>
  <c r="L527" i="1"/>
  <c r="C527" i="1"/>
  <c r="O527" i="1"/>
  <c r="L543" i="1"/>
  <c r="C543" i="1"/>
  <c r="O543" i="1"/>
  <c r="L547" i="1"/>
  <c r="C547" i="1"/>
  <c r="O547" i="1"/>
  <c r="D551" i="1"/>
  <c r="C551" i="1"/>
  <c r="L555" i="1"/>
  <c r="C555" i="1"/>
  <c r="O555" i="1"/>
  <c r="L571" i="1"/>
  <c r="C571" i="1"/>
  <c r="L572" i="1"/>
  <c r="D572" i="1"/>
  <c r="O578" i="1"/>
  <c r="D578" i="1"/>
  <c r="L599" i="1"/>
  <c r="D599" i="1"/>
  <c r="C599" i="1"/>
  <c r="O608" i="1"/>
  <c r="D608" i="1"/>
  <c r="L610" i="1"/>
  <c r="D610" i="1"/>
  <c r="L615" i="1"/>
  <c r="D615" i="1"/>
  <c r="C615" i="1"/>
  <c r="K619" i="1"/>
  <c r="C619" i="1"/>
  <c r="L633" i="1"/>
  <c r="O633" i="1"/>
  <c r="L647" i="1"/>
  <c r="D647" i="1"/>
  <c r="C647" i="1"/>
  <c r="L653" i="1"/>
  <c r="D653" i="1"/>
  <c r="L655" i="1"/>
  <c r="C655" i="1"/>
  <c r="O674" i="1"/>
  <c r="D674" i="1"/>
  <c r="K685" i="1"/>
  <c r="D685" i="1"/>
  <c r="O685" i="1"/>
  <c r="L693" i="1"/>
  <c r="O693" i="1"/>
  <c r="K699" i="1"/>
  <c r="C699" i="1"/>
  <c r="L715" i="1"/>
  <c r="C715" i="1"/>
  <c r="O716" i="1"/>
  <c r="D716" i="1"/>
  <c r="O720" i="1"/>
  <c r="D720" i="1"/>
  <c r="O729" i="1"/>
  <c r="L729" i="1"/>
  <c r="C722" i="1"/>
  <c r="C717" i="1"/>
  <c r="C690" i="1"/>
  <c r="C685" i="1"/>
  <c r="C680" i="1"/>
  <c r="C674" i="1"/>
  <c r="C653" i="1"/>
  <c r="C648" i="1"/>
  <c r="C642" i="1"/>
  <c r="C626" i="1"/>
  <c r="C621" i="1"/>
  <c r="C616" i="1"/>
  <c r="C610" i="1"/>
  <c r="C600" i="1"/>
  <c r="C594" i="1"/>
  <c r="C584" i="1"/>
  <c r="C578" i="1"/>
  <c r="C573" i="1"/>
  <c r="C552" i="1"/>
  <c r="C541" i="1"/>
  <c r="C525" i="1"/>
  <c r="C520" i="1"/>
  <c r="C514" i="1"/>
  <c r="C509" i="1"/>
  <c r="C488" i="1"/>
  <c r="C482" i="1"/>
  <c r="C472" i="1"/>
  <c r="C466" i="1"/>
  <c r="C461" i="1"/>
  <c r="C440" i="1"/>
  <c r="C429" i="1"/>
  <c r="C413" i="1"/>
  <c r="C402" i="1"/>
  <c r="C392" i="1"/>
  <c r="C360" i="1"/>
  <c r="C349" i="1"/>
  <c r="C338" i="1"/>
  <c r="C322" i="1"/>
  <c r="C317" i="1"/>
  <c r="C306" i="1"/>
  <c r="C301" i="1"/>
  <c r="C290" i="1"/>
  <c r="C285" i="1"/>
  <c r="C280" i="1"/>
  <c r="C269" i="1"/>
  <c r="C258" i="1"/>
  <c r="C242" i="1"/>
  <c r="C237" i="1"/>
  <c r="C232" i="1"/>
  <c r="C226" i="1"/>
  <c r="C221" i="1"/>
  <c r="C208" i="1"/>
  <c r="C195" i="1"/>
  <c r="C180" i="1"/>
  <c r="C174" i="1"/>
  <c r="C166" i="1"/>
  <c r="C159" i="1"/>
  <c r="C144" i="1"/>
  <c r="C123" i="1"/>
  <c r="C116" i="1"/>
  <c r="C102" i="1"/>
  <c r="C95" i="1"/>
  <c r="C88" i="1"/>
  <c r="C59" i="1"/>
  <c r="C52" i="1"/>
  <c r="C46" i="1"/>
  <c r="C38" i="1"/>
  <c r="C31" i="1"/>
  <c r="C24" i="1"/>
  <c r="C16" i="1"/>
  <c r="C10" i="1"/>
  <c r="C3" i="1"/>
  <c r="D726" i="1"/>
  <c r="D691" i="1"/>
  <c r="D683" i="1"/>
  <c r="D662" i="1"/>
  <c r="D655" i="1"/>
  <c r="D641" i="1"/>
  <c r="D627" i="1"/>
  <c r="D619" i="1"/>
  <c r="D606" i="1"/>
  <c r="D570" i="1"/>
  <c r="D555" i="1"/>
  <c r="D549" i="1"/>
  <c r="D534" i="1"/>
  <c r="D527" i="1"/>
  <c r="D521" i="1"/>
  <c r="D510" i="1"/>
  <c r="D501" i="1"/>
  <c r="D492" i="1"/>
  <c r="D481" i="1"/>
  <c r="D406" i="1"/>
  <c r="D396" i="1"/>
  <c r="D339" i="1"/>
  <c r="D321" i="1"/>
  <c r="D302" i="1"/>
  <c r="D281" i="1"/>
  <c r="D265" i="1"/>
  <c r="D246" i="1"/>
  <c r="D225" i="1"/>
  <c r="D206" i="1"/>
  <c r="D190" i="1"/>
  <c r="D169" i="1"/>
  <c r="D150" i="1"/>
  <c r="D133" i="1"/>
  <c r="D94" i="1"/>
  <c r="D77" i="1"/>
  <c r="L3" i="1"/>
  <c r="O4" i="1"/>
  <c r="K6" i="1"/>
  <c r="L9" i="1"/>
  <c r="D9" i="1"/>
  <c r="C9" i="1"/>
  <c r="O12" i="1"/>
  <c r="O15" i="1"/>
  <c r="D15" i="1"/>
  <c r="O29" i="1"/>
  <c r="D29" i="1"/>
  <c r="C29" i="1"/>
  <c r="O32" i="1"/>
  <c r="O35" i="1"/>
  <c r="D35" i="1"/>
  <c r="L36" i="1"/>
  <c r="D36" i="1"/>
  <c r="L40" i="1"/>
  <c r="D40" i="1"/>
  <c r="O41" i="1"/>
  <c r="D41" i="1"/>
  <c r="C41" i="1"/>
  <c r="O47" i="1"/>
  <c r="D47" i="1"/>
  <c r="D60" i="1"/>
  <c r="C60" i="1"/>
  <c r="K65" i="1"/>
  <c r="L70" i="1"/>
  <c r="O73" i="1"/>
  <c r="C73" i="1"/>
  <c r="D73" i="1"/>
  <c r="O74" i="1"/>
  <c r="D74" i="1"/>
  <c r="O79" i="1"/>
  <c r="D79" i="1"/>
  <c r="O80" i="1"/>
  <c r="D80" i="1"/>
  <c r="K85" i="1"/>
  <c r="C85" i="1"/>
  <c r="D92" i="1"/>
  <c r="C92" i="1"/>
  <c r="K97" i="1"/>
  <c r="L102" i="1"/>
  <c r="O105" i="1"/>
  <c r="C105" i="1"/>
  <c r="O106" i="1"/>
  <c r="D106" i="1"/>
  <c r="O111" i="1"/>
  <c r="D111" i="1"/>
  <c r="O112" i="1"/>
  <c r="D112" i="1"/>
  <c r="K117" i="1"/>
  <c r="C117" i="1"/>
  <c r="D117" i="1"/>
  <c r="D124" i="1"/>
  <c r="C124" i="1"/>
  <c r="K129" i="1"/>
  <c r="L134" i="1"/>
  <c r="K137" i="1"/>
  <c r="C137" i="1"/>
  <c r="O138" i="1"/>
  <c r="D138" i="1"/>
  <c r="D140" i="1"/>
  <c r="C140" i="1"/>
  <c r="O141" i="1"/>
  <c r="C141" i="1"/>
  <c r="O142" i="1"/>
  <c r="D142" i="1"/>
  <c r="K145" i="1"/>
  <c r="D151" i="1"/>
  <c r="C151" i="1"/>
  <c r="O152" i="1"/>
  <c r="D152" i="1"/>
  <c r="O153" i="1"/>
  <c r="C153" i="1"/>
  <c r="O154" i="1"/>
  <c r="D154" i="1"/>
  <c r="O160" i="1"/>
  <c r="D160" i="1"/>
  <c r="K177" i="1"/>
  <c r="D183" i="1"/>
  <c r="C183" i="1"/>
  <c r="O184" i="1"/>
  <c r="D184" i="1"/>
  <c r="O185" i="1"/>
  <c r="C185" i="1"/>
  <c r="D185" i="1"/>
  <c r="O186" i="1"/>
  <c r="D186" i="1"/>
  <c r="O192" i="1"/>
  <c r="D192" i="1"/>
  <c r="K209" i="1"/>
  <c r="D215" i="1"/>
  <c r="C215" i="1"/>
  <c r="O216" i="1"/>
  <c r="D216" i="1"/>
  <c r="O218" i="1"/>
  <c r="D218" i="1"/>
  <c r="D219" i="1"/>
  <c r="C219" i="1"/>
  <c r="O224" i="1"/>
  <c r="D224" i="1"/>
  <c r="O241" i="1"/>
  <c r="D241" i="1"/>
  <c r="K241" i="1"/>
  <c r="O245" i="1"/>
  <c r="D245" i="1"/>
  <c r="O253" i="1"/>
  <c r="D253" i="1"/>
  <c r="O257" i="1"/>
  <c r="L258" i="1"/>
  <c r="K261" i="1"/>
  <c r="L262" i="1"/>
  <c r="O264" i="1"/>
  <c r="D264" i="1"/>
  <c r="O270" i="1"/>
  <c r="D270" i="1"/>
  <c r="O274" i="1"/>
  <c r="D274" i="1"/>
  <c r="O286" i="1"/>
  <c r="D286" i="1"/>
  <c r="L290" i="1"/>
  <c r="O292" i="1"/>
  <c r="D292" i="1"/>
  <c r="D305" i="1"/>
  <c r="K305" i="1"/>
  <c r="O312" i="1"/>
  <c r="D312" i="1"/>
  <c r="O314" i="1"/>
  <c r="D314" i="1"/>
  <c r="L315" i="1"/>
  <c r="D315" i="1"/>
  <c r="C315" i="1"/>
  <c r="O332" i="1"/>
  <c r="D332" i="1"/>
  <c r="L335" i="1"/>
  <c r="D335" i="1"/>
  <c r="C335" i="1"/>
  <c r="O342" i="1"/>
  <c r="L342" i="1"/>
  <c r="D347" i="1"/>
  <c r="C347" i="1"/>
  <c r="K348" i="1"/>
  <c r="D348" i="1"/>
  <c r="L367" i="1"/>
  <c r="D367" i="1"/>
  <c r="C367" i="1"/>
  <c r="O369" i="1"/>
  <c r="D369" i="1"/>
  <c r="O381" i="1"/>
  <c r="D381" i="1"/>
  <c r="K393" i="1"/>
  <c r="O393" i="1"/>
  <c r="L403" i="1"/>
  <c r="D403" i="1"/>
  <c r="C403" i="1"/>
  <c r="L407" i="1"/>
  <c r="D407" i="1"/>
  <c r="C407" i="1"/>
  <c r="L411" i="1"/>
  <c r="D411" i="1"/>
  <c r="C411" i="1"/>
  <c r="O418" i="1"/>
  <c r="D418" i="1"/>
  <c r="L419" i="1"/>
  <c r="D419" i="1"/>
  <c r="C419" i="1"/>
  <c r="O437" i="1"/>
  <c r="L438" i="1"/>
  <c r="O441" i="1"/>
  <c r="D441" i="1"/>
  <c r="K441" i="1"/>
  <c r="L455" i="1"/>
  <c r="D455" i="1"/>
  <c r="C455" i="1"/>
  <c r="O487" i="1"/>
  <c r="D487" i="1"/>
  <c r="C487" i="1"/>
  <c r="K513" i="1"/>
  <c r="D515" i="1"/>
  <c r="C515" i="1"/>
  <c r="O522" i="1"/>
  <c r="L522" i="1"/>
  <c r="O526" i="1"/>
  <c r="L526" i="1"/>
  <c r="L536" i="1"/>
  <c r="D536" i="1"/>
  <c r="O542" i="1"/>
  <c r="L542" i="1"/>
  <c r="O546" i="1"/>
  <c r="D546" i="1"/>
  <c r="L546" i="1"/>
  <c r="O632" i="1"/>
  <c r="D632" i="1"/>
  <c r="L632" i="1"/>
  <c r="O636" i="1"/>
  <c r="D636" i="1"/>
  <c r="L637" i="1"/>
  <c r="D637" i="1"/>
  <c r="O640" i="1"/>
  <c r="D640" i="1"/>
  <c r="O644" i="1"/>
  <c r="D644" i="1"/>
  <c r="O658" i="1"/>
  <c r="D658" i="1"/>
  <c r="L659" i="1"/>
  <c r="C659" i="1"/>
  <c r="O660" i="1"/>
  <c r="D660" i="1"/>
  <c r="O672" i="1"/>
  <c r="D672" i="1"/>
  <c r="O684" i="1"/>
  <c r="D684" i="1"/>
  <c r="L688" i="1"/>
  <c r="D688" i="1"/>
  <c r="O692" i="1"/>
  <c r="D692" i="1"/>
  <c r="O708" i="1"/>
  <c r="D708" i="1"/>
  <c r="O724" i="1"/>
  <c r="D724" i="1"/>
  <c r="O728" i="1"/>
  <c r="D728" i="1"/>
  <c r="C726" i="1"/>
  <c r="C721" i="1"/>
  <c r="C716" i="1"/>
  <c r="C710" i="1"/>
  <c r="C700" i="1"/>
  <c r="C689" i="1"/>
  <c r="C684" i="1"/>
  <c r="C673" i="1"/>
  <c r="C662" i="1"/>
  <c r="C652" i="1"/>
  <c r="C646" i="1"/>
  <c r="C641" i="1"/>
  <c r="C636" i="1"/>
  <c r="C625" i="1"/>
  <c r="C620" i="1"/>
  <c r="C609" i="1"/>
  <c r="C604" i="1"/>
  <c r="C593" i="1"/>
  <c r="C582" i="1"/>
  <c r="C577" i="1"/>
  <c r="C572" i="1"/>
  <c r="C561" i="1"/>
  <c r="C556" i="1"/>
  <c r="C545" i="1"/>
  <c r="C540" i="1"/>
  <c r="C534" i="1"/>
  <c r="C524" i="1"/>
  <c r="C518" i="1"/>
  <c r="C502" i="1"/>
  <c r="C492" i="1"/>
  <c r="C470" i="1"/>
  <c r="C465" i="1"/>
  <c r="C460" i="1"/>
  <c r="C454" i="1"/>
  <c r="C449" i="1"/>
  <c r="C438" i="1"/>
  <c r="C417" i="1"/>
  <c r="C412" i="1"/>
  <c r="C406" i="1"/>
  <c r="C401" i="1"/>
  <c r="C390" i="1"/>
  <c r="C385" i="1"/>
  <c r="C374" i="1"/>
  <c r="C369" i="1"/>
  <c r="C364" i="1"/>
  <c r="C358" i="1"/>
  <c r="C348" i="1"/>
  <c r="C342" i="1"/>
  <c r="C337" i="1"/>
  <c r="C332" i="1"/>
  <c r="C326" i="1"/>
  <c r="C316" i="1"/>
  <c r="C305" i="1"/>
  <c r="C300" i="1"/>
  <c r="C294" i="1"/>
  <c r="C284" i="1"/>
  <c r="C278" i="1"/>
  <c r="C273" i="1"/>
  <c r="C268" i="1"/>
  <c r="C262" i="1"/>
  <c r="C257" i="1"/>
  <c r="C252" i="1"/>
  <c r="C241" i="1"/>
  <c r="C236" i="1"/>
  <c r="C230" i="1"/>
  <c r="C225" i="1"/>
  <c r="C220" i="1"/>
  <c r="C214" i="1"/>
  <c r="C207" i="1"/>
  <c r="C200" i="1"/>
  <c r="C192" i="1"/>
  <c r="C186" i="1"/>
  <c r="C179" i="1"/>
  <c r="C171" i="1"/>
  <c r="C164" i="1"/>
  <c r="C158" i="1"/>
  <c r="C150" i="1"/>
  <c r="C143" i="1"/>
  <c r="C136" i="1"/>
  <c r="C128" i="1"/>
  <c r="C122" i="1"/>
  <c r="C115" i="1"/>
  <c r="C107" i="1"/>
  <c r="C100" i="1"/>
  <c r="C94" i="1"/>
  <c r="C86" i="1"/>
  <c r="C79" i="1"/>
  <c r="C72" i="1"/>
  <c r="C64" i="1"/>
  <c r="C58" i="1"/>
  <c r="C51" i="1"/>
  <c r="C43" i="1"/>
  <c r="C36" i="1"/>
  <c r="C15" i="1"/>
  <c r="C8" i="1"/>
  <c r="D697" i="1"/>
  <c r="D682" i="1"/>
  <c r="D675" i="1"/>
  <c r="D639" i="1"/>
  <c r="D633" i="1"/>
  <c r="D611" i="1"/>
  <c r="D603" i="1"/>
  <c r="D582" i="1"/>
  <c r="D575" i="1"/>
  <c r="D569" i="1"/>
  <c r="D561" i="1"/>
  <c r="D554" i="1"/>
  <c r="D547" i="1"/>
  <c r="D539" i="1"/>
  <c r="D533" i="1"/>
  <c r="D526" i="1"/>
  <c r="D489" i="1"/>
  <c r="D480" i="1"/>
  <c r="D470" i="1"/>
  <c r="D394" i="1"/>
  <c r="D385" i="1"/>
  <c r="D374" i="1"/>
  <c r="D346" i="1"/>
  <c r="D334" i="1"/>
  <c r="D318" i="1"/>
  <c r="D261" i="1"/>
  <c r="D238" i="1"/>
  <c r="D222" i="1"/>
  <c r="D205" i="1"/>
  <c r="D165" i="1"/>
  <c r="D149" i="1"/>
  <c r="D126" i="1"/>
  <c r="D109" i="1"/>
  <c r="D89" i="1"/>
  <c r="D69" i="1"/>
  <c r="D53" i="1"/>
  <c r="D14" i="1"/>
  <c r="O248" i="1"/>
  <c r="D248" i="1"/>
  <c r="O250" i="1"/>
  <c r="D250" i="1"/>
  <c r="O256" i="1"/>
  <c r="D256" i="1"/>
  <c r="L279" i="1"/>
  <c r="D279" i="1"/>
  <c r="L283" i="1"/>
  <c r="D283" i="1"/>
  <c r="L287" i="1"/>
  <c r="D287" i="1"/>
  <c r="O296" i="1"/>
  <c r="D296" i="1"/>
  <c r="O298" i="1"/>
  <c r="D298" i="1"/>
  <c r="L299" i="1"/>
  <c r="D299" i="1"/>
  <c r="O308" i="1"/>
  <c r="D308" i="1"/>
  <c r="L311" i="1"/>
  <c r="D311" i="1"/>
  <c r="O328" i="1"/>
  <c r="D328" i="1"/>
  <c r="O330" i="1"/>
  <c r="D330" i="1"/>
  <c r="L331" i="1"/>
  <c r="D331" i="1"/>
  <c r="O355" i="1"/>
  <c r="D355" i="1"/>
  <c r="O365" i="1"/>
  <c r="D365" i="1"/>
  <c r="L379" i="1"/>
  <c r="D379" i="1"/>
  <c r="O386" i="1"/>
  <c r="D386" i="1"/>
  <c r="L387" i="1"/>
  <c r="D387" i="1"/>
  <c r="O397" i="1"/>
  <c r="D397" i="1"/>
  <c r="L423" i="1"/>
  <c r="D423" i="1"/>
  <c r="L431" i="1"/>
  <c r="D431" i="1"/>
  <c r="L443" i="1"/>
  <c r="D443" i="1"/>
  <c r="O445" i="1"/>
  <c r="D445" i="1"/>
  <c r="L459" i="1"/>
  <c r="D459" i="1"/>
  <c r="O477" i="1"/>
  <c r="D477" i="1"/>
  <c r="O483" i="1"/>
  <c r="D483" i="1"/>
  <c r="K493" i="1"/>
  <c r="D493" i="1"/>
  <c r="O498" i="1"/>
  <c r="D498" i="1"/>
  <c r="O499" i="1"/>
  <c r="D499" i="1"/>
  <c r="L507" i="1"/>
  <c r="D507" i="1"/>
  <c r="L568" i="1"/>
  <c r="D568" i="1"/>
  <c r="O624" i="1"/>
  <c r="D624" i="1"/>
  <c r="L664" i="1"/>
  <c r="D664" i="1"/>
  <c r="L668" i="1"/>
  <c r="D668" i="1"/>
  <c r="O696" i="1"/>
  <c r="D696" i="1"/>
  <c r="O704" i="1"/>
  <c r="D704" i="1"/>
  <c r="O712" i="1"/>
  <c r="D712" i="1"/>
  <c r="K732" i="1"/>
  <c r="D732" i="1"/>
  <c r="C731" i="1"/>
  <c r="C695" i="1"/>
  <c r="C651" i="1"/>
  <c r="C643" i="1"/>
  <c r="C635" i="1"/>
  <c r="C591" i="1"/>
  <c r="C587" i="1"/>
  <c r="C567" i="1"/>
  <c r="C531" i="1"/>
  <c r="C507" i="1"/>
  <c r="C499" i="1"/>
  <c r="C495" i="1"/>
  <c r="C483" i="1"/>
  <c r="C479" i="1"/>
  <c r="C475" i="1"/>
  <c r="C459" i="1"/>
  <c r="C443" i="1"/>
  <c r="C431" i="1"/>
  <c r="C423" i="1"/>
  <c r="C387" i="1"/>
  <c r="C379" i="1"/>
  <c r="C355" i="1"/>
  <c r="C351" i="1"/>
  <c r="C331" i="1"/>
  <c r="C311" i="1"/>
  <c r="C299" i="1"/>
  <c r="C287" i="1"/>
  <c r="C283" i="1"/>
  <c r="C279" i="1"/>
  <c r="C275" i="1"/>
  <c r="C251" i="1"/>
  <c r="C247" i="1"/>
  <c r="C243" i="1"/>
  <c r="D701" i="1"/>
  <c r="D589" i="1"/>
  <c r="D567" i="1"/>
  <c r="D530" i="1"/>
  <c r="D497" i="1"/>
  <c r="D484" i="1"/>
  <c r="D476" i="1"/>
  <c r="D433" i="1"/>
  <c r="D405" i="1"/>
  <c r="D377" i="1"/>
  <c r="D356" i="1"/>
  <c r="O85" i="1"/>
  <c r="O101" i="1"/>
  <c r="O125" i="1"/>
  <c r="O345" i="1"/>
  <c r="L345" i="1"/>
  <c r="O425" i="1"/>
  <c r="K425" i="1"/>
  <c r="L435" i="1"/>
  <c r="O435" i="1"/>
  <c r="L515" i="1"/>
  <c r="O515" i="1"/>
  <c r="O604" i="1"/>
  <c r="L604" i="1"/>
  <c r="L15" i="1"/>
  <c r="O61" i="1"/>
  <c r="O77" i="1"/>
  <c r="O117" i="1"/>
  <c r="L7" i="1"/>
  <c r="O8" i="1"/>
  <c r="L17" i="1"/>
  <c r="L19" i="1"/>
  <c r="O20" i="1"/>
  <c r="L33" i="1"/>
  <c r="L35" i="1"/>
  <c r="O36" i="1"/>
  <c r="L49" i="1"/>
  <c r="L51" i="1"/>
  <c r="O52" i="1"/>
  <c r="O146" i="1"/>
  <c r="L146" i="1"/>
  <c r="O149" i="1"/>
  <c r="L150" i="1"/>
  <c r="O170" i="1"/>
  <c r="L170" i="1"/>
  <c r="O182" i="1"/>
  <c r="L182" i="1"/>
  <c r="O205" i="1"/>
  <c r="L206" i="1"/>
  <c r="O234" i="1"/>
  <c r="L234" i="1"/>
  <c r="O246" i="1"/>
  <c r="L246" i="1"/>
  <c r="O269" i="1"/>
  <c r="L270" i="1"/>
  <c r="O348" i="1"/>
  <c r="L365" i="1"/>
  <c r="O401" i="1"/>
  <c r="L720" i="1"/>
  <c r="L722" i="1"/>
  <c r="L29" i="1"/>
  <c r="L31" i="1"/>
  <c r="L45" i="1"/>
  <c r="L47" i="1"/>
  <c r="O93" i="1"/>
  <c r="L11" i="1"/>
  <c r="L21" i="1"/>
  <c r="L37" i="1"/>
  <c r="L55" i="1"/>
  <c r="O430" i="1"/>
  <c r="L430" i="1"/>
  <c r="O458" i="1"/>
  <c r="L458" i="1"/>
  <c r="O482" i="1"/>
  <c r="L482" i="1"/>
  <c r="L644" i="1"/>
  <c r="O701" i="1"/>
  <c r="O69" i="1"/>
  <c r="O109" i="1"/>
  <c r="O133" i="1"/>
  <c r="L23" i="1"/>
  <c r="L39" i="1"/>
  <c r="L53" i="1"/>
  <c r="L25" i="1"/>
  <c r="L27" i="1"/>
  <c r="O28" i="1"/>
  <c r="L41" i="1"/>
  <c r="L43" i="1"/>
  <c r="O44" i="1"/>
  <c r="L58" i="1"/>
  <c r="L66" i="1"/>
  <c r="L74" i="1"/>
  <c r="L82" i="1"/>
  <c r="L90" i="1"/>
  <c r="L98" i="1"/>
  <c r="L106" i="1"/>
  <c r="L114" i="1"/>
  <c r="L122" i="1"/>
  <c r="L130" i="1"/>
  <c r="L142" i="1"/>
  <c r="O173" i="1"/>
  <c r="L174" i="1"/>
  <c r="O202" i="1"/>
  <c r="L202" i="1"/>
  <c r="O214" i="1"/>
  <c r="L214" i="1"/>
  <c r="O237" i="1"/>
  <c r="L238" i="1"/>
  <c r="O266" i="1"/>
  <c r="L266" i="1"/>
  <c r="O278" i="1"/>
  <c r="L278" i="1"/>
  <c r="O282" i="1"/>
  <c r="L282" i="1"/>
  <c r="O385" i="1"/>
  <c r="O426" i="1"/>
  <c r="L426" i="1"/>
  <c r="K481" i="1"/>
  <c r="O481" i="1"/>
  <c r="L613" i="1"/>
  <c r="O613" i="1"/>
  <c r="L680" i="1"/>
  <c r="L369" i="1"/>
  <c r="O379" i="1"/>
  <c r="O387" i="1"/>
  <c r="O395" i="1"/>
  <c r="K397" i="1"/>
  <c r="O403" i="1"/>
  <c r="K405" i="1"/>
  <c r="O411" i="1"/>
  <c r="K413" i="1"/>
  <c r="O419" i="1"/>
  <c r="K421" i="1"/>
  <c r="O434" i="1"/>
  <c r="L434" i="1"/>
  <c r="O439" i="1"/>
  <c r="L446" i="1"/>
  <c r="O451" i="1"/>
  <c r="K453" i="1"/>
  <c r="O486" i="1"/>
  <c r="L486" i="1"/>
  <c r="O503" i="1"/>
  <c r="L551" i="1"/>
  <c r="O551" i="1"/>
  <c r="O652" i="1"/>
  <c r="L652" i="1"/>
  <c r="L658" i="1"/>
  <c r="L689" i="1"/>
  <c r="O689" i="1"/>
  <c r="O700" i="1"/>
  <c r="L700" i="1"/>
  <c r="L719" i="1"/>
  <c r="O719" i="1"/>
  <c r="L728" i="1"/>
  <c r="L158" i="1"/>
  <c r="K169" i="1"/>
  <c r="L178" i="1"/>
  <c r="K181" i="1"/>
  <c r="L190" i="1"/>
  <c r="K201" i="1"/>
  <c r="L210" i="1"/>
  <c r="K213" i="1"/>
  <c r="L222" i="1"/>
  <c r="K233" i="1"/>
  <c r="L242" i="1"/>
  <c r="K245" i="1"/>
  <c r="L254" i="1"/>
  <c r="K265" i="1"/>
  <c r="L274" i="1"/>
  <c r="K277" i="1"/>
  <c r="L286" i="1"/>
  <c r="L357" i="1"/>
  <c r="L374" i="1"/>
  <c r="L382" i="1"/>
  <c r="L390" i="1"/>
  <c r="L398" i="1"/>
  <c r="L406" i="1"/>
  <c r="L414" i="1"/>
  <c r="O442" i="1"/>
  <c r="L442" i="1"/>
  <c r="O447" i="1"/>
  <c r="L454" i="1"/>
  <c r="O550" i="1"/>
  <c r="L550" i="1"/>
  <c r="L559" i="1"/>
  <c r="O559" i="1"/>
  <c r="L563" i="1"/>
  <c r="O563" i="1"/>
  <c r="L670" i="1"/>
  <c r="L727" i="1"/>
  <c r="O727" i="1"/>
  <c r="L361" i="1"/>
  <c r="O375" i="1"/>
  <c r="O383" i="1"/>
  <c r="O391" i="1"/>
  <c r="O399" i="1"/>
  <c r="O407" i="1"/>
  <c r="O415" i="1"/>
  <c r="O423" i="1"/>
  <c r="O450" i="1"/>
  <c r="L450" i="1"/>
  <c r="O455" i="1"/>
  <c r="O519" i="1"/>
  <c r="O562" i="1"/>
  <c r="L562" i="1"/>
  <c r="L605" i="1"/>
  <c r="O605" i="1"/>
  <c r="L625" i="1"/>
  <c r="O625" i="1"/>
  <c r="O648" i="1"/>
  <c r="L648" i="1"/>
  <c r="K669" i="1"/>
  <c r="O669" i="1"/>
  <c r="L684" i="1"/>
  <c r="L554" i="1"/>
  <c r="L578" i="1"/>
  <c r="L608" i="1"/>
  <c r="L628" i="1"/>
  <c r="L660" i="1"/>
  <c r="L666" i="1"/>
  <c r="L672" i="1"/>
  <c r="L676" i="1"/>
  <c r="L692" i="1"/>
  <c r="O705" i="1"/>
  <c r="O715" i="1"/>
  <c r="O723" i="1"/>
  <c r="O531" i="1"/>
  <c r="L574" i="1"/>
  <c r="L580" i="1"/>
  <c r="L616" i="1"/>
  <c r="O617" i="1"/>
  <c r="L640" i="1"/>
  <c r="O641" i="1"/>
  <c r="L656" i="1"/>
  <c r="L662" i="1"/>
  <c r="O663" i="1"/>
  <c r="O673" i="1"/>
  <c r="O677" i="1"/>
  <c r="L682" i="1"/>
  <c r="L686" i="1"/>
  <c r="L696" i="1"/>
  <c r="O709" i="1"/>
  <c r="L712" i="1"/>
  <c r="L716" i="1"/>
  <c r="L724" i="1"/>
  <c r="L514" i="1"/>
  <c r="L558" i="1"/>
  <c r="L582" i="1"/>
  <c r="L612" i="1"/>
  <c r="L624" i="1"/>
  <c r="L674" i="1"/>
  <c r="L678" i="1"/>
  <c r="O697" i="1"/>
  <c r="L718" i="1"/>
  <c r="L726" i="1"/>
  <c r="L2" i="1"/>
  <c r="J3" i="1"/>
  <c r="J12" i="1"/>
  <c r="O6" i="1"/>
  <c r="L6" i="1"/>
  <c r="J8" i="1"/>
  <c r="O9" i="1"/>
  <c r="K9" i="1"/>
  <c r="K14" i="1"/>
  <c r="O14" i="1"/>
  <c r="J4" i="1"/>
  <c r="O5" i="1"/>
  <c r="K5" i="1"/>
  <c r="J16" i="1"/>
  <c r="K18" i="1"/>
  <c r="O18" i="1"/>
  <c r="E24" i="5"/>
  <c r="L24" i="5" s="1"/>
  <c r="E22" i="5"/>
  <c r="L22" i="5" s="1"/>
  <c r="E20" i="5"/>
  <c r="L20" i="5" s="1"/>
  <c r="E18" i="5"/>
  <c r="L18" i="5" s="1"/>
  <c r="E16" i="5"/>
  <c r="L16" i="5" s="1"/>
  <c r="E14" i="5"/>
  <c r="L14" i="5" s="1"/>
  <c r="E12" i="5"/>
  <c r="L12" i="5" s="1"/>
  <c r="E25" i="5"/>
  <c r="L25" i="5" s="1"/>
  <c r="E23" i="5"/>
  <c r="L23" i="5" s="1"/>
  <c r="E21" i="5"/>
  <c r="L21" i="5" s="1"/>
  <c r="E19" i="5"/>
  <c r="L19" i="5" s="1"/>
  <c r="E17" i="5"/>
  <c r="L17" i="5" s="1"/>
  <c r="E15" i="5"/>
  <c r="L15" i="5" s="1"/>
  <c r="E13" i="5"/>
  <c r="L13" i="5" s="1"/>
  <c r="E11" i="5"/>
  <c r="L11" i="5" s="1"/>
  <c r="E9" i="5"/>
  <c r="L9" i="5" s="1"/>
  <c r="E7" i="5"/>
  <c r="L7" i="5" s="1"/>
  <c r="E5" i="5"/>
  <c r="L5" i="5" s="1"/>
  <c r="E3" i="5"/>
  <c r="L3" i="5" s="1"/>
  <c r="D25" i="3"/>
  <c r="N703" i="1" s="1"/>
  <c r="D23" i="3"/>
  <c r="N646" i="1" s="1"/>
  <c r="D21" i="3"/>
  <c r="N607" i="1" s="1"/>
  <c r="D19" i="3"/>
  <c r="N520" i="1" s="1"/>
  <c r="D17" i="3"/>
  <c r="M468" i="1" s="1"/>
  <c r="D15" i="3"/>
  <c r="N401" i="1" s="1"/>
  <c r="D13" i="3"/>
  <c r="M359" i="1" s="1"/>
  <c r="D11" i="3"/>
  <c r="M289" i="1" s="1"/>
  <c r="D9" i="3"/>
  <c r="N215" i="1" s="1"/>
  <c r="D7" i="3"/>
  <c r="N159" i="1" s="1"/>
  <c r="D5" i="3"/>
  <c r="N107" i="1" s="1"/>
  <c r="D3" i="3"/>
  <c r="M59" i="1" s="1"/>
  <c r="E10" i="5"/>
  <c r="L10" i="5" s="1"/>
  <c r="D20" i="3"/>
  <c r="M564" i="1" s="1"/>
  <c r="D12" i="3"/>
  <c r="M313" i="1" s="1"/>
  <c r="D4" i="3"/>
  <c r="N67" i="1" s="1"/>
  <c r="E8" i="5"/>
  <c r="E4" i="5"/>
  <c r="L4" i="5" s="1"/>
  <c r="D22" i="3"/>
  <c r="M634" i="1" s="1"/>
  <c r="D14" i="3"/>
  <c r="M368" i="1" s="1"/>
  <c r="D6" i="3"/>
  <c r="N124" i="1" s="1"/>
  <c r="D16" i="3"/>
  <c r="N444" i="1" s="1"/>
  <c r="E6" i="5"/>
  <c r="D18" i="3"/>
  <c r="N491" i="1" s="1"/>
  <c r="D2" i="3"/>
  <c r="N5" i="1" s="1"/>
  <c r="D24" i="3"/>
  <c r="N679" i="1" s="1"/>
  <c r="D8" i="3"/>
  <c r="N183" i="1" s="1"/>
  <c r="D10" i="3"/>
  <c r="N247" i="1" s="1"/>
  <c r="N2" i="1"/>
  <c r="O2" i="1"/>
  <c r="E2" i="5"/>
  <c r="L2" i="5" s="1"/>
  <c r="L5" i="1"/>
  <c r="J20" i="1"/>
  <c r="O10" i="1"/>
  <c r="L10" i="1"/>
  <c r="L26" i="1"/>
  <c r="L34" i="1"/>
  <c r="L42" i="1"/>
  <c r="L50" i="1"/>
  <c r="K59" i="1"/>
  <c r="J65" i="1"/>
  <c r="L67" i="1"/>
  <c r="K67" i="1"/>
  <c r="L68" i="1"/>
  <c r="K68" i="1"/>
  <c r="J73" i="1"/>
  <c r="L75" i="1"/>
  <c r="N75" i="1"/>
  <c r="J81" i="1"/>
  <c r="L83" i="1"/>
  <c r="K83" i="1"/>
  <c r="L84" i="1"/>
  <c r="K84" i="1"/>
  <c r="K99" i="1"/>
  <c r="J105" i="1"/>
  <c r="L107" i="1"/>
  <c r="K107" i="1"/>
  <c r="L108" i="1"/>
  <c r="K108" i="1"/>
  <c r="J113" i="1"/>
  <c r="J121" i="1"/>
  <c r="L123" i="1"/>
  <c r="K123" i="1"/>
  <c r="K124" i="1"/>
  <c r="J129" i="1"/>
  <c r="L131" i="1"/>
  <c r="K131" i="1"/>
  <c r="L132" i="1"/>
  <c r="K132" i="1"/>
  <c r="J137" i="1"/>
  <c r="L139" i="1"/>
  <c r="K139" i="1"/>
  <c r="L140" i="1"/>
  <c r="K140" i="1"/>
  <c r="J142" i="1"/>
  <c r="L143" i="1"/>
  <c r="O143" i="1"/>
  <c r="K143" i="1"/>
  <c r="J145" i="1"/>
  <c r="J150" i="1"/>
  <c r="L151" i="1"/>
  <c r="O151" i="1"/>
  <c r="K151" i="1"/>
  <c r="J153" i="1"/>
  <c r="J158" i="1"/>
  <c r="L159" i="1"/>
  <c r="O159" i="1"/>
  <c r="K159" i="1"/>
  <c r="J161" i="1"/>
  <c r="J166" i="1"/>
  <c r="L167" i="1"/>
  <c r="O167" i="1"/>
  <c r="K167" i="1"/>
  <c r="J169" i="1"/>
  <c r="J174" i="1"/>
  <c r="L175" i="1"/>
  <c r="O175" i="1"/>
  <c r="K175" i="1"/>
  <c r="J177" i="1"/>
  <c r="J182" i="1"/>
  <c r="L183" i="1"/>
  <c r="O183" i="1"/>
  <c r="K183" i="1"/>
  <c r="J185" i="1"/>
  <c r="J190" i="1"/>
  <c r="L191" i="1"/>
  <c r="O191" i="1"/>
  <c r="K191" i="1"/>
  <c r="J193" i="1"/>
  <c r="J198" i="1"/>
  <c r="L199" i="1"/>
  <c r="O199" i="1"/>
  <c r="K199" i="1"/>
  <c r="J201" i="1"/>
  <c r="J206" i="1"/>
  <c r="L207" i="1"/>
  <c r="O207" i="1"/>
  <c r="K207" i="1"/>
  <c r="J209" i="1"/>
  <c r="J214" i="1"/>
  <c r="L215" i="1"/>
  <c r="O215" i="1"/>
  <c r="K215" i="1"/>
  <c r="J217" i="1"/>
  <c r="J222" i="1"/>
  <c r="L223" i="1"/>
  <c r="O223" i="1"/>
  <c r="K223" i="1"/>
  <c r="J225" i="1"/>
  <c r="J230" i="1"/>
  <c r="L231" i="1"/>
  <c r="O231" i="1"/>
  <c r="K231" i="1"/>
  <c r="J233" i="1"/>
  <c r="J238" i="1"/>
  <c r="L239" i="1"/>
  <c r="O239" i="1"/>
  <c r="K239" i="1"/>
  <c r="J241" i="1"/>
  <c r="J246" i="1"/>
  <c r="L247" i="1"/>
  <c r="O247" i="1"/>
  <c r="K247" i="1"/>
  <c r="J249" i="1"/>
  <c r="J254" i="1"/>
  <c r="L255" i="1"/>
  <c r="O255" i="1"/>
  <c r="K255" i="1"/>
  <c r="J257" i="1"/>
  <c r="J262" i="1"/>
  <c r="L263" i="1"/>
  <c r="O263" i="1"/>
  <c r="K263" i="1"/>
  <c r="J265" i="1"/>
  <c r="J270" i="1"/>
  <c r="L271" i="1"/>
  <c r="O271" i="1"/>
  <c r="K271" i="1"/>
  <c r="J273" i="1"/>
  <c r="J278" i="1"/>
  <c r="O289" i="1"/>
  <c r="L289" i="1"/>
  <c r="J349" i="1"/>
  <c r="J356" i="1"/>
  <c r="L359" i="1"/>
  <c r="O359" i="1"/>
  <c r="K359" i="1"/>
  <c r="L22" i="1"/>
  <c r="N30" i="1"/>
  <c r="L30" i="1"/>
  <c r="L38" i="1"/>
  <c r="L46" i="1"/>
  <c r="J89" i="1"/>
  <c r="L91" i="1"/>
  <c r="N91" i="1"/>
  <c r="K91" i="1"/>
  <c r="M92" i="1"/>
  <c r="L92" i="1"/>
  <c r="K92" i="1"/>
  <c r="J97" i="1"/>
  <c r="L115" i="1"/>
  <c r="K115" i="1"/>
  <c r="L116" i="1"/>
  <c r="K116" i="1"/>
  <c r="N13" i="1"/>
  <c r="J24" i="1"/>
  <c r="N29" i="1"/>
  <c r="J32" i="1"/>
  <c r="J40" i="1"/>
  <c r="J52" i="1"/>
  <c r="J56" i="1"/>
  <c r="N84" i="1"/>
  <c r="M123" i="1"/>
  <c r="M143" i="1"/>
  <c r="L148" i="1"/>
  <c r="K148" i="1"/>
  <c r="M151" i="1"/>
  <c r="L156" i="1"/>
  <c r="K156" i="1"/>
  <c r="L164" i="1"/>
  <c r="K164" i="1"/>
  <c r="L172" i="1"/>
  <c r="K172" i="1"/>
  <c r="L180" i="1"/>
  <c r="K180" i="1"/>
  <c r="L188" i="1"/>
  <c r="K188" i="1"/>
  <c r="N196" i="1"/>
  <c r="L196" i="1"/>
  <c r="K196" i="1"/>
  <c r="L204" i="1"/>
  <c r="K204" i="1"/>
  <c r="L212" i="1"/>
  <c r="K212" i="1"/>
  <c r="L220" i="1"/>
  <c r="K220" i="1"/>
  <c r="L228" i="1"/>
  <c r="K228" i="1"/>
  <c r="L236" i="1"/>
  <c r="K236" i="1"/>
  <c r="L244" i="1"/>
  <c r="K244" i="1"/>
  <c r="L252" i="1"/>
  <c r="K252" i="1"/>
  <c r="L260" i="1"/>
  <c r="K260" i="1"/>
  <c r="L268" i="1"/>
  <c r="K268" i="1"/>
  <c r="L276" i="1"/>
  <c r="K276" i="1"/>
  <c r="O293" i="1"/>
  <c r="L293" i="1"/>
  <c r="L460" i="1"/>
  <c r="O460" i="1"/>
  <c r="K460" i="1"/>
  <c r="J57" i="1"/>
  <c r="L59" i="1"/>
  <c r="M60" i="1"/>
  <c r="L60" i="1"/>
  <c r="K60" i="1"/>
  <c r="K75" i="1"/>
  <c r="L76" i="1"/>
  <c r="K76" i="1"/>
  <c r="L99" i="1"/>
  <c r="L100" i="1"/>
  <c r="K100" i="1"/>
  <c r="L124" i="1"/>
  <c r="J28" i="1"/>
  <c r="J36" i="1"/>
  <c r="N41" i="1"/>
  <c r="J44" i="1"/>
  <c r="M46" i="1"/>
  <c r="J48" i="1"/>
  <c r="K4" i="1"/>
  <c r="K8" i="1"/>
  <c r="K12" i="1"/>
  <c r="O13" i="1"/>
  <c r="K16" i="1"/>
  <c r="K20" i="1"/>
  <c r="O22" i="1"/>
  <c r="K24" i="1"/>
  <c r="O26" i="1"/>
  <c r="K28" i="1"/>
  <c r="O30" i="1"/>
  <c r="K32" i="1"/>
  <c r="O34" i="1"/>
  <c r="K36" i="1"/>
  <c r="O38" i="1"/>
  <c r="K40" i="1"/>
  <c r="O42" i="1"/>
  <c r="K44" i="1"/>
  <c r="O46" i="1"/>
  <c r="K48" i="1"/>
  <c r="O50" i="1"/>
  <c r="K52" i="1"/>
  <c r="O54" i="1"/>
  <c r="L56" i="1"/>
  <c r="K56" i="1"/>
  <c r="O59" i="1"/>
  <c r="O60" i="1"/>
  <c r="J61" i="1"/>
  <c r="L63" i="1"/>
  <c r="K63" i="1"/>
  <c r="L64" i="1"/>
  <c r="K64" i="1"/>
  <c r="O67" i="1"/>
  <c r="O68" i="1"/>
  <c r="J69" i="1"/>
  <c r="L71" i="1"/>
  <c r="K71" i="1"/>
  <c r="L72" i="1"/>
  <c r="K72" i="1"/>
  <c r="O75" i="1"/>
  <c r="O76" i="1"/>
  <c r="J77" i="1"/>
  <c r="L79" i="1"/>
  <c r="K79" i="1"/>
  <c r="L80" i="1"/>
  <c r="K80" i="1"/>
  <c r="O83" i="1"/>
  <c r="O84" i="1"/>
  <c r="J85" i="1"/>
  <c r="L87" i="1"/>
  <c r="K87" i="1"/>
  <c r="L88" i="1"/>
  <c r="K88" i="1"/>
  <c r="O91" i="1"/>
  <c r="O92" i="1"/>
  <c r="J93" i="1"/>
  <c r="L95" i="1"/>
  <c r="K95" i="1"/>
  <c r="L96" i="1"/>
  <c r="K96" i="1"/>
  <c r="O99" i="1"/>
  <c r="O100" i="1"/>
  <c r="J101" i="1"/>
  <c r="L103" i="1"/>
  <c r="K103" i="1"/>
  <c r="L104" i="1"/>
  <c r="K104" i="1"/>
  <c r="O107" i="1"/>
  <c r="O108" i="1"/>
  <c r="J109" i="1"/>
  <c r="L111" i="1"/>
  <c r="K111" i="1"/>
  <c r="L112" i="1"/>
  <c r="K112" i="1"/>
  <c r="O115" i="1"/>
  <c r="O116" i="1"/>
  <c r="J117" i="1"/>
  <c r="L119" i="1"/>
  <c r="K119" i="1"/>
  <c r="L120" i="1"/>
  <c r="K120" i="1"/>
  <c r="O123" i="1"/>
  <c r="O124" i="1"/>
  <c r="J125" i="1"/>
  <c r="L127" i="1"/>
  <c r="K127" i="1"/>
  <c r="L128" i="1"/>
  <c r="K128" i="1"/>
  <c r="O131" i="1"/>
  <c r="O132" i="1"/>
  <c r="J133" i="1"/>
  <c r="L135" i="1"/>
  <c r="K135" i="1"/>
  <c r="M136" i="1"/>
  <c r="L136" i="1"/>
  <c r="K136" i="1"/>
  <c r="O139" i="1"/>
  <c r="O140" i="1"/>
  <c r="J141" i="1"/>
  <c r="J146" i="1"/>
  <c r="L147" i="1"/>
  <c r="O147" i="1"/>
  <c r="K147" i="1"/>
  <c r="O148" i="1"/>
  <c r="J149" i="1"/>
  <c r="J154" i="1"/>
  <c r="L155" i="1"/>
  <c r="O155" i="1"/>
  <c r="K155" i="1"/>
  <c r="O156" i="1"/>
  <c r="J157" i="1"/>
  <c r="J162" i="1"/>
  <c r="L163" i="1"/>
  <c r="O163" i="1"/>
  <c r="K163" i="1"/>
  <c r="O164" i="1"/>
  <c r="J165" i="1"/>
  <c r="J170" i="1"/>
  <c r="L171" i="1"/>
  <c r="O171" i="1"/>
  <c r="K171" i="1"/>
  <c r="O172" i="1"/>
  <c r="J173" i="1"/>
  <c r="J178" i="1"/>
  <c r="L179" i="1"/>
  <c r="O179" i="1"/>
  <c r="K179" i="1"/>
  <c r="O180" i="1"/>
  <c r="J181" i="1"/>
  <c r="J186" i="1"/>
  <c r="L187" i="1"/>
  <c r="O187" i="1"/>
  <c r="K187" i="1"/>
  <c r="O188" i="1"/>
  <c r="J189" i="1"/>
  <c r="J194" i="1"/>
  <c r="L195" i="1"/>
  <c r="O195" i="1"/>
  <c r="K195" i="1"/>
  <c r="O196" i="1"/>
  <c r="J197" i="1"/>
  <c r="J202" i="1"/>
  <c r="L203" i="1"/>
  <c r="O203" i="1"/>
  <c r="K203" i="1"/>
  <c r="O204" i="1"/>
  <c r="J205" i="1"/>
  <c r="J210" i="1"/>
  <c r="L211" i="1"/>
  <c r="O211" i="1"/>
  <c r="K211" i="1"/>
  <c r="O212" i="1"/>
  <c r="J213" i="1"/>
  <c r="J218" i="1"/>
  <c r="L219" i="1"/>
  <c r="O219" i="1"/>
  <c r="K219" i="1"/>
  <c r="O220" i="1"/>
  <c r="J221" i="1"/>
  <c r="J226" i="1"/>
  <c r="L227" i="1"/>
  <c r="O227" i="1"/>
  <c r="K227" i="1"/>
  <c r="O228" i="1"/>
  <c r="J229" i="1"/>
  <c r="J234" i="1"/>
  <c r="L235" i="1"/>
  <c r="O235" i="1"/>
  <c r="K235" i="1"/>
  <c r="O236" i="1"/>
  <c r="J237" i="1"/>
  <c r="J242" i="1"/>
  <c r="L243" i="1"/>
  <c r="O243" i="1"/>
  <c r="K243" i="1"/>
  <c r="O244" i="1"/>
  <c r="J245" i="1"/>
  <c r="J250" i="1"/>
  <c r="L251" i="1"/>
  <c r="O251" i="1"/>
  <c r="K251" i="1"/>
  <c r="O252" i="1"/>
  <c r="J253" i="1"/>
  <c r="J258" i="1"/>
  <c r="L259" i="1"/>
  <c r="O259" i="1"/>
  <c r="K259" i="1"/>
  <c r="O260" i="1"/>
  <c r="J261" i="1"/>
  <c r="J266" i="1"/>
  <c r="L267" i="1"/>
  <c r="O267" i="1"/>
  <c r="K267" i="1"/>
  <c r="O268" i="1"/>
  <c r="J269" i="1"/>
  <c r="J274" i="1"/>
  <c r="L275" i="1"/>
  <c r="O275" i="1"/>
  <c r="K275" i="1"/>
  <c r="O276" i="1"/>
  <c r="J277" i="1"/>
  <c r="J11" i="2" s="1"/>
  <c r="K11" i="2" s="1"/>
  <c r="F11" i="5" s="1"/>
  <c r="O281" i="1"/>
  <c r="L281" i="1"/>
  <c r="O297" i="1"/>
  <c r="L297" i="1"/>
  <c r="L350" i="1"/>
  <c r="O350" i="1"/>
  <c r="K350" i="1"/>
  <c r="K13" i="1"/>
  <c r="K17" i="1"/>
  <c r="K21" i="1"/>
  <c r="K22" i="1"/>
  <c r="M25" i="1"/>
  <c r="K25" i="1"/>
  <c r="K26" i="1"/>
  <c r="K29" i="1"/>
  <c r="K30" i="1"/>
  <c r="K33" i="1"/>
  <c r="K34" i="1"/>
  <c r="K37" i="1"/>
  <c r="K38" i="1"/>
  <c r="K41" i="1"/>
  <c r="K42" i="1"/>
  <c r="K45" i="1"/>
  <c r="K46" i="1"/>
  <c r="M49" i="1"/>
  <c r="K49" i="1"/>
  <c r="K50" i="1"/>
  <c r="K53" i="1"/>
  <c r="K54" i="1"/>
  <c r="M144" i="1"/>
  <c r="L144" i="1"/>
  <c r="K144" i="1"/>
  <c r="M152" i="1"/>
  <c r="L152" i="1"/>
  <c r="K152" i="1"/>
  <c r="L160" i="1"/>
  <c r="K160" i="1"/>
  <c r="L168" i="1"/>
  <c r="K168" i="1"/>
  <c r="L176" i="1"/>
  <c r="K176" i="1"/>
  <c r="L184" i="1"/>
  <c r="K184" i="1"/>
  <c r="L192" i="1"/>
  <c r="K192" i="1"/>
  <c r="L200" i="1"/>
  <c r="K200" i="1"/>
  <c r="L208" i="1"/>
  <c r="K208" i="1"/>
  <c r="L216" i="1"/>
  <c r="K216" i="1"/>
  <c r="L224" i="1"/>
  <c r="K224" i="1"/>
  <c r="L232" i="1"/>
  <c r="K232" i="1"/>
  <c r="N240" i="1"/>
  <c r="L240" i="1"/>
  <c r="K240" i="1"/>
  <c r="L248" i="1"/>
  <c r="K248" i="1"/>
  <c r="L256" i="1"/>
  <c r="K256" i="1"/>
  <c r="L264" i="1"/>
  <c r="K264" i="1"/>
  <c r="L272" i="1"/>
  <c r="K272" i="1"/>
  <c r="O285" i="1"/>
  <c r="L285" i="1"/>
  <c r="K289" i="1"/>
  <c r="O301" i="1"/>
  <c r="L301" i="1"/>
  <c r="L468" i="1"/>
  <c r="O468" i="1"/>
  <c r="K468" i="1"/>
  <c r="J510" i="1"/>
  <c r="N305" i="1"/>
  <c r="N321" i="1"/>
  <c r="J353" i="1"/>
  <c r="L370" i="1"/>
  <c r="K370" i="1"/>
  <c r="O370" i="1"/>
  <c r="J378" i="1"/>
  <c r="J394" i="1"/>
  <c r="J402" i="1"/>
  <c r="J418" i="1"/>
  <c r="J434" i="1"/>
  <c r="J442" i="1"/>
  <c r="J458" i="1"/>
  <c r="J563" i="1"/>
  <c r="L592" i="1"/>
  <c r="O592" i="1"/>
  <c r="K592" i="1"/>
  <c r="O602" i="1"/>
  <c r="L602" i="1"/>
  <c r="K602" i="1"/>
  <c r="L305" i="1"/>
  <c r="L309" i="1"/>
  <c r="L313" i="1"/>
  <c r="L317" i="1"/>
  <c r="L321" i="1"/>
  <c r="L325" i="1"/>
  <c r="L329" i="1"/>
  <c r="L333" i="1"/>
  <c r="L337" i="1"/>
  <c r="M347" i="1"/>
  <c r="L347" i="1"/>
  <c r="K347" i="1"/>
  <c r="L354" i="1"/>
  <c r="O354" i="1"/>
  <c r="L362" i="1"/>
  <c r="N362" i="1"/>
  <c r="K362" i="1"/>
  <c r="O362" i="1"/>
  <c r="J386" i="1"/>
  <c r="J410" i="1"/>
  <c r="J426" i="1"/>
  <c r="J450" i="1"/>
  <c r="K3" i="1"/>
  <c r="K7" i="1"/>
  <c r="K11" i="1"/>
  <c r="K15" i="1"/>
  <c r="K19" i="1"/>
  <c r="K23" i="1"/>
  <c r="K27" i="1"/>
  <c r="K31" i="1"/>
  <c r="K35" i="1"/>
  <c r="K39" i="1"/>
  <c r="K43" i="1"/>
  <c r="K47" i="1"/>
  <c r="K51" i="1"/>
  <c r="K55" i="1"/>
  <c r="L57" i="1"/>
  <c r="L61" i="1"/>
  <c r="L65" i="1"/>
  <c r="L69" i="1"/>
  <c r="N73" i="1"/>
  <c r="L73" i="1"/>
  <c r="L77" i="1"/>
  <c r="L81" i="1"/>
  <c r="L85" i="1"/>
  <c r="N89" i="1"/>
  <c r="L89" i="1"/>
  <c r="L93" i="1"/>
  <c r="L97" i="1"/>
  <c r="L101" i="1"/>
  <c r="L105" i="1"/>
  <c r="L109" i="1"/>
  <c r="L113" i="1"/>
  <c r="L117" i="1"/>
  <c r="L121" i="1"/>
  <c r="L125" i="1"/>
  <c r="L129" i="1"/>
  <c r="L133" i="1"/>
  <c r="L137" i="1"/>
  <c r="L141" i="1"/>
  <c r="L145" i="1"/>
  <c r="L149" i="1"/>
  <c r="L153" i="1"/>
  <c r="L157" i="1"/>
  <c r="L161" i="1"/>
  <c r="L165" i="1"/>
  <c r="L169" i="1"/>
  <c r="L173" i="1"/>
  <c r="L177" i="1"/>
  <c r="L181" i="1"/>
  <c r="L185" i="1"/>
  <c r="L189" i="1"/>
  <c r="L193" i="1"/>
  <c r="L197" i="1"/>
  <c r="L201" i="1"/>
  <c r="L205" i="1"/>
  <c r="L209" i="1"/>
  <c r="L213" i="1"/>
  <c r="L217" i="1"/>
  <c r="L221" i="1"/>
  <c r="L225" i="1"/>
  <c r="L229" i="1"/>
  <c r="L233" i="1"/>
  <c r="L237" i="1"/>
  <c r="L241" i="1"/>
  <c r="L245" i="1"/>
  <c r="L249" i="1"/>
  <c r="L253" i="1"/>
  <c r="L257" i="1"/>
  <c r="L261" i="1"/>
  <c r="L265" i="1"/>
  <c r="L269" i="1"/>
  <c r="L273" i="1"/>
  <c r="L277" i="1"/>
  <c r="M280" i="1"/>
  <c r="L280" i="1"/>
  <c r="K280" i="1"/>
  <c r="L284" i="1"/>
  <c r="K284" i="1"/>
  <c r="L288" i="1"/>
  <c r="K288" i="1"/>
  <c r="L292" i="1"/>
  <c r="K292" i="1"/>
  <c r="L296" i="1"/>
  <c r="K296" i="1"/>
  <c r="L300" i="1"/>
  <c r="K300" i="1"/>
  <c r="L304" i="1"/>
  <c r="K304" i="1"/>
  <c r="O305" i="1"/>
  <c r="L308" i="1"/>
  <c r="K308" i="1"/>
  <c r="O309" i="1"/>
  <c r="L312" i="1"/>
  <c r="K312" i="1"/>
  <c r="O313" i="1"/>
  <c r="L316" i="1"/>
  <c r="K316" i="1"/>
  <c r="O317" i="1"/>
  <c r="L320" i="1"/>
  <c r="K320" i="1"/>
  <c r="O321" i="1"/>
  <c r="L324" i="1"/>
  <c r="K324" i="1"/>
  <c r="O325" i="1"/>
  <c r="L328" i="1"/>
  <c r="K328" i="1"/>
  <c r="O329" i="1"/>
  <c r="L332" i="1"/>
  <c r="K332" i="1"/>
  <c r="O333" i="1"/>
  <c r="L336" i="1"/>
  <c r="K336" i="1"/>
  <c r="O337" i="1"/>
  <c r="L340" i="1"/>
  <c r="K340" i="1"/>
  <c r="O341" i="1"/>
  <c r="L344" i="1"/>
  <c r="K344" i="1"/>
  <c r="O347" i="1"/>
  <c r="J348" i="1"/>
  <c r="L351" i="1"/>
  <c r="K351" i="1"/>
  <c r="J357" i="1"/>
  <c r="L358" i="1"/>
  <c r="O358" i="1"/>
  <c r="J466" i="1"/>
  <c r="N324" i="1"/>
  <c r="O344" i="1"/>
  <c r="J345" i="1"/>
  <c r="L346" i="1"/>
  <c r="O346" i="1"/>
  <c r="O351" i="1"/>
  <c r="J352" i="1"/>
  <c r="L355" i="1"/>
  <c r="K355" i="1"/>
  <c r="L366" i="1"/>
  <c r="K366" i="1"/>
  <c r="O366" i="1"/>
  <c r="L376" i="1"/>
  <c r="O376" i="1"/>
  <c r="K376" i="1"/>
  <c r="L384" i="1"/>
  <c r="O384" i="1"/>
  <c r="K384" i="1"/>
  <c r="L392" i="1"/>
  <c r="O392" i="1"/>
  <c r="K392" i="1"/>
  <c r="L400" i="1"/>
  <c r="O400" i="1"/>
  <c r="K400" i="1"/>
  <c r="L408" i="1"/>
  <c r="O408" i="1"/>
  <c r="K408" i="1"/>
  <c r="L416" i="1"/>
  <c r="O416" i="1"/>
  <c r="K416" i="1"/>
  <c r="L424" i="1"/>
  <c r="O424" i="1"/>
  <c r="K424" i="1"/>
  <c r="L432" i="1"/>
  <c r="O432" i="1"/>
  <c r="K432" i="1"/>
  <c r="L440" i="1"/>
  <c r="O440" i="1"/>
  <c r="K440" i="1"/>
  <c r="L448" i="1"/>
  <c r="O448" i="1"/>
  <c r="K448" i="1"/>
  <c r="L456" i="1"/>
  <c r="O456" i="1"/>
  <c r="K456" i="1"/>
  <c r="J535" i="1"/>
  <c r="K279" i="1"/>
  <c r="O279" i="1"/>
  <c r="K283" i="1"/>
  <c r="O283" i="1"/>
  <c r="K287" i="1"/>
  <c r="O287" i="1"/>
  <c r="K291" i="1"/>
  <c r="O291" i="1"/>
  <c r="K295" i="1"/>
  <c r="O295" i="1"/>
  <c r="K299" i="1"/>
  <c r="O299" i="1"/>
  <c r="K303" i="1"/>
  <c r="O303" i="1"/>
  <c r="K307" i="1"/>
  <c r="O307" i="1"/>
  <c r="K311" i="1"/>
  <c r="O311" i="1"/>
  <c r="K315" i="1"/>
  <c r="O315" i="1"/>
  <c r="K319" i="1"/>
  <c r="O319" i="1"/>
  <c r="K323" i="1"/>
  <c r="O323" i="1"/>
  <c r="K327" i="1"/>
  <c r="O327" i="1"/>
  <c r="K331" i="1"/>
  <c r="O331" i="1"/>
  <c r="K335" i="1"/>
  <c r="O335" i="1"/>
  <c r="K339" i="1"/>
  <c r="O339" i="1"/>
  <c r="K343" i="1"/>
  <c r="O343" i="1"/>
  <c r="L348" i="1"/>
  <c r="L352" i="1"/>
  <c r="L356" i="1"/>
  <c r="L360" i="1"/>
  <c r="L364" i="1"/>
  <c r="L368" i="1"/>
  <c r="L372" i="1"/>
  <c r="L380" i="1"/>
  <c r="O380" i="1"/>
  <c r="K380" i="1"/>
  <c r="L388" i="1"/>
  <c r="O388" i="1"/>
  <c r="K388" i="1"/>
  <c r="L396" i="1"/>
  <c r="O396" i="1"/>
  <c r="K396" i="1"/>
  <c r="L404" i="1"/>
  <c r="O404" i="1"/>
  <c r="K404" i="1"/>
  <c r="L412" i="1"/>
  <c r="O412" i="1"/>
  <c r="K412" i="1"/>
  <c r="L420" i="1"/>
  <c r="O420" i="1"/>
  <c r="K420" i="1"/>
  <c r="L428" i="1"/>
  <c r="O428" i="1"/>
  <c r="K428" i="1"/>
  <c r="L436" i="1"/>
  <c r="O436" i="1"/>
  <c r="K436" i="1"/>
  <c r="L444" i="1"/>
  <c r="O444" i="1"/>
  <c r="K444" i="1"/>
  <c r="L452" i="1"/>
  <c r="O452" i="1"/>
  <c r="K452" i="1"/>
  <c r="L464" i="1"/>
  <c r="O464" i="1"/>
  <c r="K464" i="1"/>
  <c r="L475" i="1"/>
  <c r="O475" i="1"/>
  <c r="K475" i="1"/>
  <c r="J481" i="1"/>
  <c r="L491" i="1"/>
  <c r="O491" i="1"/>
  <c r="K491" i="1"/>
  <c r="J497" i="1"/>
  <c r="O504" i="1"/>
  <c r="N504" i="1"/>
  <c r="L504" i="1"/>
  <c r="K504" i="1"/>
  <c r="K58" i="1"/>
  <c r="K62" i="1"/>
  <c r="K66" i="1"/>
  <c r="K70" i="1"/>
  <c r="K74" i="1"/>
  <c r="K78" i="1"/>
  <c r="K82" i="1"/>
  <c r="K86" i="1"/>
  <c r="K90" i="1"/>
  <c r="K94" i="1"/>
  <c r="K98" i="1"/>
  <c r="K102" i="1"/>
  <c r="K106" i="1"/>
  <c r="K110" i="1"/>
  <c r="K114" i="1"/>
  <c r="K118" i="1"/>
  <c r="K122" i="1"/>
  <c r="K126" i="1"/>
  <c r="K130" i="1"/>
  <c r="K134" i="1"/>
  <c r="K138" i="1"/>
  <c r="K142" i="1"/>
  <c r="K146" i="1"/>
  <c r="K150" i="1"/>
  <c r="K154" i="1"/>
  <c r="K158" i="1"/>
  <c r="K162" i="1"/>
  <c r="K166" i="1"/>
  <c r="K170" i="1"/>
  <c r="K174" i="1"/>
  <c r="K178" i="1"/>
  <c r="K182" i="1"/>
  <c r="K186" i="1"/>
  <c r="K190" i="1"/>
  <c r="K194" i="1"/>
  <c r="K198" i="1"/>
  <c r="K202" i="1"/>
  <c r="K206" i="1"/>
  <c r="K210" i="1"/>
  <c r="K214" i="1"/>
  <c r="K218" i="1"/>
  <c r="K222" i="1"/>
  <c r="K226" i="1"/>
  <c r="K230" i="1"/>
  <c r="K234" i="1"/>
  <c r="K238" i="1"/>
  <c r="K242" i="1"/>
  <c r="K246" i="1"/>
  <c r="K250" i="1"/>
  <c r="K254" i="1"/>
  <c r="K258" i="1"/>
  <c r="K262" i="1"/>
  <c r="K266" i="1"/>
  <c r="K270" i="1"/>
  <c r="K274" i="1"/>
  <c r="K278" i="1"/>
  <c r="K282" i="1"/>
  <c r="K286" i="1"/>
  <c r="K290" i="1"/>
  <c r="K294" i="1"/>
  <c r="K298" i="1"/>
  <c r="K302" i="1"/>
  <c r="K306" i="1"/>
  <c r="K310" i="1"/>
  <c r="K314" i="1"/>
  <c r="K318" i="1"/>
  <c r="K322" i="1"/>
  <c r="K326" i="1"/>
  <c r="K330" i="1"/>
  <c r="K334" i="1"/>
  <c r="K338" i="1"/>
  <c r="K342" i="1"/>
  <c r="O360" i="1"/>
  <c r="O364" i="1"/>
  <c r="O368" i="1"/>
  <c r="O372" i="1"/>
  <c r="O500" i="1"/>
  <c r="L500" i="1"/>
  <c r="K500" i="1"/>
  <c r="K363" i="1"/>
  <c r="O363" i="1"/>
  <c r="K367" i="1"/>
  <c r="O367" i="1"/>
  <c r="K371" i="1"/>
  <c r="O371" i="1"/>
  <c r="K375" i="1"/>
  <c r="K379" i="1"/>
  <c r="K383" i="1"/>
  <c r="K387" i="1"/>
  <c r="K391" i="1"/>
  <c r="K395" i="1"/>
  <c r="K399" i="1"/>
  <c r="K403" i="1"/>
  <c r="K407" i="1"/>
  <c r="K411" i="1"/>
  <c r="K415" i="1"/>
  <c r="K419" i="1"/>
  <c r="K423" i="1"/>
  <c r="K427" i="1"/>
  <c r="K431" i="1"/>
  <c r="K435" i="1"/>
  <c r="K439" i="1"/>
  <c r="K443" i="1"/>
  <c r="K447" i="1"/>
  <c r="K451" i="1"/>
  <c r="K455" i="1"/>
  <c r="J469" i="1"/>
  <c r="L479" i="1"/>
  <c r="K479" i="1"/>
  <c r="J485" i="1"/>
  <c r="L495" i="1"/>
  <c r="K495" i="1"/>
  <c r="O516" i="1"/>
  <c r="L516" i="1"/>
  <c r="K516" i="1"/>
  <c r="O520" i="1"/>
  <c r="K520" i="1"/>
  <c r="J526" i="1"/>
  <c r="J547" i="1"/>
  <c r="O561" i="1"/>
  <c r="K561" i="1"/>
  <c r="J566" i="1"/>
  <c r="J473" i="1"/>
  <c r="O479" i="1"/>
  <c r="L483" i="1"/>
  <c r="K483" i="1"/>
  <c r="J489" i="1"/>
  <c r="O495" i="1"/>
  <c r="L499" i="1"/>
  <c r="K499" i="1"/>
  <c r="O501" i="1"/>
  <c r="L501" i="1"/>
  <c r="O505" i="1"/>
  <c r="K505" i="1"/>
  <c r="J511" i="1"/>
  <c r="L520" i="1"/>
  <c r="O532" i="1"/>
  <c r="L532" i="1"/>
  <c r="K532" i="1"/>
  <c r="J534" i="1"/>
  <c r="J538" i="1"/>
  <c r="O545" i="1"/>
  <c r="K545" i="1"/>
  <c r="J550" i="1"/>
  <c r="O564" i="1"/>
  <c r="L564" i="1"/>
  <c r="K564" i="1"/>
  <c r="J575" i="1"/>
  <c r="J633" i="1"/>
  <c r="K345" i="1"/>
  <c r="K349" i="1"/>
  <c r="K353" i="1"/>
  <c r="K357" i="1"/>
  <c r="K361" i="1"/>
  <c r="K365" i="1"/>
  <c r="K369" i="1"/>
  <c r="L373" i="1"/>
  <c r="L377" i="1"/>
  <c r="L381" i="1"/>
  <c r="L385" i="1"/>
  <c r="L389" i="1"/>
  <c r="N393" i="1"/>
  <c r="L393" i="1"/>
  <c r="L397" i="1"/>
  <c r="L401" i="1"/>
  <c r="L405" i="1"/>
  <c r="L409" i="1"/>
  <c r="L413" i="1"/>
  <c r="L417" i="1"/>
  <c r="L421" i="1"/>
  <c r="L425" i="1"/>
  <c r="L429" i="1"/>
  <c r="L433" i="1"/>
  <c r="L437" i="1"/>
  <c r="L441" i="1"/>
  <c r="L445" i="1"/>
  <c r="L449" i="1"/>
  <c r="L453" i="1"/>
  <c r="L457" i="1"/>
  <c r="L461" i="1"/>
  <c r="L465" i="1"/>
  <c r="L471" i="1"/>
  <c r="K471" i="1"/>
  <c r="J477" i="1"/>
  <c r="L487" i="1"/>
  <c r="K487" i="1"/>
  <c r="J493" i="1"/>
  <c r="N517" i="1"/>
  <c r="O517" i="1"/>
  <c r="L517" i="1"/>
  <c r="O521" i="1"/>
  <c r="K521" i="1"/>
  <c r="J527" i="1"/>
  <c r="O533" i="1"/>
  <c r="K533" i="1"/>
  <c r="O536" i="1"/>
  <c r="K536" i="1"/>
  <c r="O548" i="1"/>
  <c r="L548" i="1"/>
  <c r="K548" i="1"/>
  <c r="K459" i="1"/>
  <c r="O459" i="1"/>
  <c r="K463" i="1"/>
  <c r="O463" i="1"/>
  <c r="K467" i="1"/>
  <c r="O467" i="1"/>
  <c r="K472" i="1"/>
  <c r="K476" i="1"/>
  <c r="M480" i="1"/>
  <c r="K480" i="1"/>
  <c r="K484" i="1"/>
  <c r="M488" i="1"/>
  <c r="K488" i="1"/>
  <c r="K492" i="1"/>
  <c r="K496" i="1"/>
  <c r="O512" i="1"/>
  <c r="K512" i="1"/>
  <c r="O513" i="1"/>
  <c r="L513" i="1"/>
  <c r="O528" i="1"/>
  <c r="K528" i="1"/>
  <c r="O529" i="1"/>
  <c r="L529" i="1"/>
  <c r="O541" i="1"/>
  <c r="L541" i="1"/>
  <c r="J543" i="1"/>
  <c r="O544" i="1"/>
  <c r="K544" i="1"/>
  <c r="O557" i="1"/>
  <c r="L557" i="1"/>
  <c r="J559" i="1"/>
  <c r="O560" i="1"/>
  <c r="K560" i="1"/>
  <c r="O573" i="1"/>
  <c r="L573" i="1"/>
  <c r="K577" i="1"/>
  <c r="O577" i="1"/>
  <c r="L588" i="1"/>
  <c r="O588" i="1"/>
  <c r="K588" i="1"/>
  <c r="J617" i="1"/>
  <c r="O631" i="1"/>
  <c r="M631" i="1"/>
  <c r="K631" i="1"/>
  <c r="J636" i="1"/>
  <c r="K374" i="1"/>
  <c r="K378" i="1"/>
  <c r="K382" i="1"/>
  <c r="K386" i="1"/>
  <c r="K390" i="1"/>
  <c r="K394" i="1"/>
  <c r="K398" i="1"/>
  <c r="K402" i="1"/>
  <c r="K406" i="1"/>
  <c r="K410" i="1"/>
  <c r="K414" i="1"/>
  <c r="K418" i="1"/>
  <c r="K422" i="1"/>
  <c r="K426" i="1"/>
  <c r="K430" i="1"/>
  <c r="K434" i="1"/>
  <c r="K438" i="1"/>
  <c r="K442" i="1"/>
  <c r="K446" i="1"/>
  <c r="K450" i="1"/>
  <c r="K454" i="1"/>
  <c r="K458" i="1"/>
  <c r="K462" i="1"/>
  <c r="K466" i="1"/>
  <c r="L469" i="1"/>
  <c r="L472" i="1"/>
  <c r="L473" i="1"/>
  <c r="L476" i="1"/>
  <c r="L477" i="1"/>
  <c r="L480" i="1"/>
  <c r="L481" i="1"/>
  <c r="L484" i="1"/>
  <c r="L485" i="1"/>
  <c r="L488" i="1"/>
  <c r="L489" i="1"/>
  <c r="L492" i="1"/>
  <c r="L493" i="1"/>
  <c r="L496" i="1"/>
  <c r="L497" i="1"/>
  <c r="J506" i="1"/>
  <c r="J507" i="1"/>
  <c r="O508" i="1"/>
  <c r="K508" i="1"/>
  <c r="O509" i="1"/>
  <c r="L509" i="1"/>
  <c r="L512" i="1"/>
  <c r="J522" i="1"/>
  <c r="J523" i="1"/>
  <c r="O524" i="1"/>
  <c r="K524" i="1"/>
  <c r="O525" i="1"/>
  <c r="L525" i="1"/>
  <c r="L528" i="1"/>
  <c r="O537" i="1"/>
  <c r="L537" i="1"/>
  <c r="J539" i="1"/>
  <c r="O540" i="1"/>
  <c r="N540" i="1"/>
  <c r="K540" i="1"/>
  <c r="L544" i="1"/>
  <c r="J546" i="1"/>
  <c r="O553" i="1"/>
  <c r="L553" i="1"/>
  <c r="J555" i="1"/>
  <c r="O556" i="1"/>
  <c r="K556" i="1"/>
  <c r="L560" i="1"/>
  <c r="J562" i="1"/>
  <c r="O569" i="1"/>
  <c r="L569" i="1"/>
  <c r="J571" i="1"/>
  <c r="O572" i="1"/>
  <c r="K572" i="1"/>
  <c r="J579" i="1"/>
  <c r="M584" i="1"/>
  <c r="L584" i="1"/>
  <c r="O584" i="1"/>
  <c r="K584" i="1"/>
  <c r="O596" i="1"/>
  <c r="L596" i="1"/>
  <c r="N596" i="1"/>
  <c r="K596" i="1"/>
  <c r="J601" i="1"/>
  <c r="O615" i="1"/>
  <c r="K615" i="1"/>
  <c r="J620" i="1"/>
  <c r="O634" i="1"/>
  <c r="L634" i="1"/>
  <c r="K634" i="1"/>
  <c r="J648" i="1"/>
  <c r="O549" i="1"/>
  <c r="L549" i="1"/>
  <c r="J551" i="1"/>
  <c r="O552" i="1"/>
  <c r="K552" i="1"/>
  <c r="O565" i="1"/>
  <c r="L565" i="1"/>
  <c r="J567" i="1"/>
  <c r="O568" i="1"/>
  <c r="K568" i="1"/>
  <c r="K581" i="1"/>
  <c r="O581" i="1"/>
  <c r="N599" i="1"/>
  <c r="O599" i="1"/>
  <c r="K599" i="1"/>
  <c r="J604" i="1"/>
  <c r="O618" i="1"/>
  <c r="L618" i="1"/>
  <c r="K618" i="1"/>
  <c r="L646" i="1"/>
  <c r="O646" i="1"/>
  <c r="K646" i="1"/>
  <c r="J597" i="1"/>
  <c r="M598" i="1"/>
  <c r="O598" i="1"/>
  <c r="K598" i="1"/>
  <c r="O611" i="1"/>
  <c r="L611" i="1"/>
  <c r="J613" i="1"/>
  <c r="O614" i="1"/>
  <c r="K614" i="1"/>
  <c r="O627" i="1"/>
  <c r="L627" i="1"/>
  <c r="J629" i="1"/>
  <c r="O630" i="1"/>
  <c r="K630" i="1"/>
  <c r="O643" i="1"/>
  <c r="L643" i="1"/>
  <c r="K647" i="1"/>
  <c r="O647" i="1"/>
  <c r="L650" i="1"/>
  <c r="O650" i="1"/>
  <c r="K650" i="1"/>
  <c r="K657" i="1"/>
  <c r="O657" i="1"/>
  <c r="K503" i="1"/>
  <c r="K507" i="1"/>
  <c r="K511" i="1"/>
  <c r="K515" i="1"/>
  <c r="K519" i="1"/>
  <c r="K523" i="1"/>
  <c r="K527" i="1"/>
  <c r="K531" i="1"/>
  <c r="K535" i="1"/>
  <c r="K539" i="1"/>
  <c r="K543" i="1"/>
  <c r="K547" i="1"/>
  <c r="K551" i="1"/>
  <c r="K555" i="1"/>
  <c r="K559" i="1"/>
  <c r="K563" i="1"/>
  <c r="K567" i="1"/>
  <c r="K571" i="1"/>
  <c r="K575" i="1"/>
  <c r="K579" i="1"/>
  <c r="L598" i="1"/>
  <c r="J600" i="1"/>
  <c r="O607" i="1"/>
  <c r="L607" i="1"/>
  <c r="J609" i="1"/>
  <c r="O610" i="1"/>
  <c r="N610" i="1"/>
  <c r="K610" i="1"/>
  <c r="L614" i="1"/>
  <c r="J616" i="1"/>
  <c r="O623" i="1"/>
  <c r="L623" i="1"/>
  <c r="J625" i="1"/>
  <c r="O626" i="1"/>
  <c r="N626" i="1"/>
  <c r="K626" i="1"/>
  <c r="L630" i="1"/>
  <c r="J632" i="1"/>
  <c r="N639" i="1"/>
  <c r="O639" i="1"/>
  <c r="L639" i="1"/>
  <c r="J641" i="1"/>
  <c r="O642" i="1"/>
  <c r="K642" i="1"/>
  <c r="J645" i="1"/>
  <c r="K651" i="1"/>
  <c r="O651" i="1"/>
  <c r="L654" i="1"/>
  <c r="O654" i="1"/>
  <c r="K654" i="1"/>
  <c r="J656" i="1"/>
  <c r="J663" i="1"/>
  <c r="K576" i="1"/>
  <c r="M580" i="1"/>
  <c r="K580" i="1"/>
  <c r="L585" i="1"/>
  <c r="L589" i="1"/>
  <c r="L593" i="1"/>
  <c r="O603" i="1"/>
  <c r="L603" i="1"/>
  <c r="J605" i="1"/>
  <c r="O606" i="1"/>
  <c r="K606" i="1"/>
  <c r="O619" i="1"/>
  <c r="M619" i="1"/>
  <c r="L619" i="1"/>
  <c r="J621" i="1"/>
  <c r="O622" i="1"/>
  <c r="K622" i="1"/>
  <c r="O635" i="1"/>
  <c r="L635" i="1"/>
  <c r="J637" i="1"/>
  <c r="M638" i="1"/>
  <c r="O638" i="1"/>
  <c r="K638" i="1"/>
  <c r="K655" i="1"/>
  <c r="O655" i="1"/>
  <c r="K661" i="1"/>
  <c r="O661" i="1"/>
  <c r="L661" i="1"/>
  <c r="K583" i="1"/>
  <c r="O583" i="1"/>
  <c r="K587" i="1"/>
  <c r="O587" i="1"/>
  <c r="K591" i="1"/>
  <c r="O591" i="1"/>
  <c r="K595" i="1"/>
  <c r="O595" i="1"/>
  <c r="K665" i="1"/>
  <c r="O665" i="1"/>
  <c r="M665" i="1"/>
  <c r="K470" i="1"/>
  <c r="K474" i="1"/>
  <c r="K478" i="1"/>
  <c r="K482" i="1"/>
  <c r="K486" i="1"/>
  <c r="K490" i="1"/>
  <c r="K494" i="1"/>
  <c r="K498" i="1"/>
  <c r="K502" i="1"/>
  <c r="K506" i="1"/>
  <c r="K510" i="1"/>
  <c r="K514" i="1"/>
  <c r="K518" i="1"/>
  <c r="K522" i="1"/>
  <c r="K526" i="1"/>
  <c r="K530" i="1"/>
  <c r="K534" i="1"/>
  <c r="K538" i="1"/>
  <c r="K542" i="1"/>
  <c r="K546" i="1"/>
  <c r="K550" i="1"/>
  <c r="K554" i="1"/>
  <c r="K558" i="1"/>
  <c r="K562" i="1"/>
  <c r="K566" i="1"/>
  <c r="K570" i="1"/>
  <c r="K574" i="1"/>
  <c r="K578" i="1"/>
  <c r="K582" i="1"/>
  <c r="K586" i="1"/>
  <c r="K590" i="1"/>
  <c r="K594" i="1"/>
  <c r="K597" i="1"/>
  <c r="K601" i="1"/>
  <c r="K605" i="1"/>
  <c r="K609" i="1"/>
  <c r="K613" i="1"/>
  <c r="K617" i="1"/>
  <c r="K621" i="1"/>
  <c r="K625" i="1"/>
  <c r="K629" i="1"/>
  <c r="K633" i="1"/>
  <c r="K637" i="1"/>
  <c r="K641" i="1"/>
  <c r="J659" i="1"/>
  <c r="J667" i="1"/>
  <c r="L671" i="1"/>
  <c r="N671" i="1"/>
  <c r="K671" i="1"/>
  <c r="J673" i="1"/>
  <c r="L679" i="1"/>
  <c r="K679" i="1"/>
  <c r="J681" i="1"/>
  <c r="L687" i="1"/>
  <c r="K687" i="1"/>
  <c r="J689" i="1"/>
  <c r="O694" i="1"/>
  <c r="L694" i="1"/>
  <c r="K694" i="1"/>
  <c r="O698" i="1"/>
  <c r="K698" i="1"/>
  <c r="O710" i="1"/>
  <c r="L710" i="1"/>
  <c r="K710" i="1"/>
  <c r="J712" i="1"/>
  <c r="K645" i="1"/>
  <c r="O645" i="1"/>
  <c r="K649" i="1"/>
  <c r="O649" i="1"/>
  <c r="K653" i="1"/>
  <c r="O653" i="1"/>
  <c r="K659" i="1"/>
  <c r="K663" i="1"/>
  <c r="L667" i="1"/>
  <c r="K667" i="1"/>
  <c r="O671" i="1"/>
  <c r="O679" i="1"/>
  <c r="O687" i="1"/>
  <c r="L698" i="1"/>
  <c r="K600" i="1"/>
  <c r="K604" i="1"/>
  <c r="K608" i="1"/>
  <c r="K612" i="1"/>
  <c r="K616" i="1"/>
  <c r="K620" i="1"/>
  <c r="K624" i="1"/>
  <c r="K628" i="1"/>
  <c r="K632" i="1"/>
  <c r="K636" i="1"/>
  <c r="K640" i="1"/>
  <c r="K644" i="1"/>
  <c r="K648" i="1"/>
  <c r="K652" i="1"/>
  <c r="K656" i="1"/>
  <c r="K660" i="1"/>
  <c r="K664" i="1"/>
  <c r="J669" i="1"/>
  <c r="L675" i="1"/>
  <c r="K675" i="1"/>
  <c r="J677" i="1"/>
  <c r="L683" i="1"/>
  <c r="K683" i="1"/>
  <c r="J685" i="1"/>
  <c r="J693" i="1"/>
  <c r="O695" i="1"/>
  <c r="L695" i="1"/>
  <c r="J700" i="1"/>
  <c r="K658" i="1"/>
  <c r="K662" i="1"/>
  <c r="K666" i="1"/>
  <c r="K668" i="1"/>
  <c r="K672" i="1"/>
  <c r="K676" i="1"/>
  <c r="K680" i="1"/>
  <c r="K684" i="1"/>
  <c r="O688" i="1"/>
  <c r="K688" i="1"/>
  <c r="O690" i="1"/>
  <c r="K690" i="1"/>
  <c r="O691" i="1"/>
  <c r="L691" i="1"/>
  <c r="O702" i="1"/>
  <c r="L702" i="1"/>
  <c r="K702" i="1"/>
  <c r="J719" i="1"/>
  <c r="J730" i="1"/>
  <c r="L669" i="1"/>
  <c r="L673" i="1"/>
  <c r="L677" i="1"/>
  <c r="L681" i="1"/>
  <c r="L685" i="1"/>
  <c r="O706" i="1"/>
  <c r="L706" i="1"/>
  <c r="K706" i="1"/>
  <c r="L699" i="1"/>
  <c r="L703" i="1"/>
  <c r="L707" i="1"/>
  <c r="L711" i="1"/>
  <c r="O714" i="1"/>
  <c r="K714" i="1"/>
  <c r="K717" i="1"/>
  <c r="O717" i="1"/>
  <c r="L713" i="1"/>
  <c r="K713" i="1"/>
  <c r="K721" i="1"/>
  <c r="O721" i="1"/>
  <c r="K670" i="1"/>
  <c r="K674" i="1"/>
  <c r="K678" i="1"/>
  <c r="K682" i="1"/>
  <c r="K686" i="1"/>
  <c r="K689" i="1"/>
  <c r="K693" i="1"/>
  <c r="K697" i="1"/>
  <c r="O699" i="1"/>
  <c r="K701" i="1"/>
  <c r="O703" i="1"/>
  <c r="K705" i="1"/>
  <c r="O707" i="1"/>
  <c r="K709" i="1"/>
  <c r="O711" i="1"/>
  <c r="K725" i="1"/>
  <c r="O725" i="1"/>
  <c r="J727" i="1"/>
  <c r="K692" i="1"/>
  <c r="K696" i="1"/>
  <c r="K700" i="1"/>
  <c r="K704" i="1"/>
  <c r="K708" i="1"/>
  <c r="K712" i="1"/>
  <c r="K715" i="1"/>
  <c r="K719" i="1"/>
  <c r="K723" i="1"/>
  <c r="K727" i="1"/>
  <c r="L732" i="1"/>
  <c r="O732" i="1"/>
  <c r="K716" i="1"/>
  <c r="K720" i="1"/>
  <c r="K724" i="1"/>
  <c r="K728" i="1"/>
  <c r="K718" i="1"/>
  <c r="K722" i="1"/>
  <c r="K726" i="1"/>
  <c r="N729" i="1"/>
  <c r="K730" i="1"/>
  <c r="O730" i="1"/>
  <c r="L731" i="1"/>
  <c r="K729" i="1"/>
  <c r="K731" i="1"/>
  <c r="L8" i="5"/>
  <c r="L6" i="5"/>
  <c r="N265" i="1" l="1"/>
  <c r="N661" i="1"/>
  <c r="N256" i="1"/>
  <c r="N650" i="1"/>
  <c r="M529" i="1"/>
  <c r="N525" i="1"/>
  <c r="N529" i="1"/>
  <c r="M496" i="1"/>
  <c r="N415" i="1"/>
  <c r="N405" i="1"/>
  <c r="N420" i="1"/>
  <c r="M301" i="1"/>
  <c r="N264" i="1"/>
  <c r="M33" i="1"/>
  <c r="N195" i="1"/>
  <c r="M67" i="1"/>
  <c r="P67" i="1" s="1"/>
  <c r="Q67" i="1" s="1"/>
  <c r="N289" i="1"/>
  <c r="M695" i="1"/>
  <c r="N675" i="1"/>
  <c r="N179" i="1"/>
  <c r="N172" i="1"/>
  <c r="M672" i="1"/>
  <c r="M660" i="1"/>
  <c r="N655" i="1"/>
  <c r="M575" i="1"/>
  <c r="N654" i="1"/>
  <c r="M642" i="1"/>
  <c r="M544" i="1"/>
  <c r="N421" i="1"/>
  <c r="N399" i="1"/>
  <c r="N545" i="1"/>
  <c r="M372" i="1"/>
  <c r="M296" i="1"/>
  <c r="N273" i="1"/>
  <c r="N249" i="1"/>
  <c r="N81" i="1"/>
  <c r="M180" i="1"/>
  <c r="N673" i="1"/>
  <c r="M680" i="1"/>
  <c r="M664" i="1"/>
  <c r="M659" i="1"/>
  <c r="N694" i="1"/>
  <c r="M661" i="1"/>
  <c r="P661" i="1" s="1"/>
  <c r="Q661" i="1" s="1"/>
  <c r="M643" i="1"/>
  <c r="M569" i="1"/>
  <c r="N457" i="1"/>
  <c r="N435" i="1"/>
  <c r="N425" i="1"/>
  <c r="N419" i="1"/>
  <c r="N409" i="1"/>
  <c r="N403" i="1"/>
  <c r="N412" i="1"/>
  <c r="M420" i="1"/>
  <c r="M412" i="1"/>
  <c r="M404" i="1"/>
  <c r="M424" i="1"/>
  <c r="M416" i="1"/>
  <c r="M408" i="1"/>
  <c r="M400" i="1"/>
  <c r="N181" i="1"/>
  <c r="N173" i="1"/>
  <c r="N165" i="1"/>
  <c r="N157" i="1"/>
  <c r="N155" i="1"/>
  <c r="M175" i="1"/>
  <c r="M172" i="1"/>
  <c r="N164" i="1"/>
  <c r="N156" i="1"/>
  <c r="N167" i="1"/>
  <c r="N681" i="1"/>
  <c r="M668" i="1"/>
  <c r="M663" i="1"/>
  <c r="M651" i="1"/>
  <c r="N642" i="1"/>
  <c r="N657" i="1"/>
  <c r="M647" i="1"/>
  <c r="M646" i="1"/>
  <c r="M568" i="1"/>
  <c r="M549" i="1"/>
  <c r="M557" i="1"/>
  <c r="N423" i="1"/>
  <c r="N413" i="1"/>
  <c r="N407" i="1"/>
  <c r="N404" i="1"/>
  <c r="N176" i="1"/>
  <c r="N168" i="1"/>
  <c r="N160" i="1"/>
  <c r="N163" i="1"/>
  <c r="M167" i="1"/>
  <c r="M164" i="1"/>
  <c r="N669" i="1"/>
  <c r="N667" i="1"/>
  <c r="M656" i="1"/>
  <c r="M667" i="1"/>
  <c r="M671" i="1"/>
  <c r="P671" i="1" s="1"/>
  <c r="Q671" i="1" s="1"/>
  <c r="N665" i="1"/>
  <c r="M655" i="1"/>
  <c r="M654" i="1"/>
  <c r="N651" i="1"/>
  <c r="M657" i="1"/>
  <c r="M650" i="1"/>
  <c r="N647" i="1"/>
  <c r="N643" i="1"/>
  <c r="M556" i="1"/>
  <c r="N451" i="1"/>
  <c r="N441" i="1"/>
  <c r="N417" i="1"/>
  <c r="N411" i="1"/>
  <c r="N561" i="1"/>
  <c r="N436" i="1"/>
  <c r="N177" i="1"/>
  <c r="N169" i="1"/>
  <c r="N161" i="1"/>
  <c r="N153" i="1"/>
  <c r="M176" i="1"/>
  <c r="P176" i="1" s="1"/>
  <c r="Q176" i="1" s="1"/>
  <c r="M168" i="1"/>
  <c r="M160" i="1"/>
  <c r="N171" i="1"/>
  <c r="M710" i="1"/>
  <c r="N611" i="1"/>
  <c r="N618" i="1"/>
  <c r="N581" i="1"/>
  <c r="N615" i="1"/>
  <c r="M472" i="1"/>
  <c r="N483" i="1"/>
  <c r="M348" i="1"/>
  <c r="N149" i="1"/>
  <c r="N141" i="1"/>
  <c r="N133" i="1"/>
  <c r="N125" i="1"/>
  <c r="M602" i="1"/>
  <c r="N329" i="1"/>
  <c r="M29" i="1"/>
  <c r="M17" i="1"/>
  <c r="M128" i="1"/>
  <c r="M112" i="1"/>
  <c r="N95" i="1"/>
  <c r="N25" i="1"/>
  <c r="M204" i="1"/>
  <c r="N140" i="1"/>
  <c r="N207" i="1"/>
  <c r="M140" i="1"/>
  <c r="N131" i="1"/>
  <c r="N100" i="1"/>
  <c r="J12" i="2"/>
  <c r="K12" i="2" s="1"/>
  <c r="F12" i="5" s="1"/>
  <c r="N224" i="1"/>
  <c r="N135" i="1"/>
  <c r="N17" i="1"/>
  <c r="P17" i="1" s="1"/>
  <c r="Q17" i="1" s="1"/>
  <c r="N228" i="1"/>
  <c r="N233" i="1"/>
  <c r="N132" i="1"/>
  <c r="M22" i="1"/>
  <c r="N151" i="1"/>
  <c r="P151" i="1" s="1"/>
  <c r="Q151" i="1" s="1"/>
  <c r="N714" i="1"/>
  <c r="N603" i="1"/>
  <c r="N630" i="1"/>
  <c r="N473" i="1"/>
  <c r="N487" i="1"/>
  <c r="M471" i="1"/>
  <c r="M461" i="1"/>
  <c r="M363" i="1"/>
  <c r="N464" i="1"/>
  <c r="N364" i="1"/>
  <c r="N336" i="1"/>
  <c r="N344" i="1"/>
  <c r="M340" i="1"/>
  <c r="M336" i="1"/>
  <c r="N241" i="1"/>
  <c r="N217" i="1"/>
  <c r="N145" i="1"/>
  <c r="N137" i="1"/>
  <c r="N129" i="1"/>
  <c r="N313" i="1"/>
  <c r="N468" i="1"/>
  <c r="P468" i="1" s="1"/>
  <c r="Q468" i="1" s="1"/>
  <c r="N232" i="1"/>
  <c r="N152" i="1"/>
  <c r="N144" i="1"/>
  <c r="M21" i="1"/>
  <c r="N235" i="1"/>
  <c r="N147" i="1"/>
  <c r="N127" i="1"/>
  <c r="N188" i="1"/>
  <c r="M148" i="1"/>
  <c r="M131" i="1"/>
  <c r="M30" i="1"/>
  <c r="N21" i="1"/>
  <c r="M132" i="1"/>
  <c r="P132" i="1" s="1"/>
  <c r="Q132" i="1" s="1"/>
  <c r="M622" i="1"/>
  <c r="N614" i="1"/>
  <c r="N634" i="1"/>
  <c r="M537" i="1"/>
  <c r="N533" i="1"/>
  <c r="N532" i="1"/>
  <c r="N320" i="1"/>
  <c r="M284" i="1"/>
  <c r="N209" i="1"/>
  <c r="N201" i="1"/>
  <c r="N193" i="1"/>
  <c r="N185" i="1"/>
  <c r="N57" i="1"/>
  <c r="M333" i="1"/>
  <c r="M325" i="1"/>
  <c r="M317" i="1"/>
  <c r="M309" i="1"/>
  <c r="N301" i="1"/>
  <c r="M285" i="1"/>
  <c r="N272" i="1"/>
  <c r="N208" i="1"/>
  <c r="N200" i="1"/>
  <c r="N192" i="1"/>
  <c r="N184" i="1"/>
  <c r="M53" i="1"/>
  <c r="M37" i="1"/>
  <c r="N203" i="1"/>
  <c r="N45" i="1"/>
  <c r="N59" i="1"/>
  <c r="P59" i="1" s="1"/>
  <c r="Q59" i="1" s="1"/>
  <c r="N260" i="1"/>
  <c r="M236" i="1"/>
  <c r="M207" i="1"/>
  <c r="M199" i="1"/>
  <c r="M196" i="1"/>
  <c r="M38" i="1"/>
  <c r="N34" i="1"/>
  <c r="P11" i="5"/>
  <c r="N635" i="1"/>
  <c r="M623" i="1"/>
  <c r="M627" i="1"/>
  <c r="N541" i="1"/>
  <c r="M548" i="1"/>
  <c r="M536" i="1"/>
  <c r="M520" i="1"/>
  <c r="P520" i="1" s="1"/>
  <c r="Q520" i="1" s="1"/>
  <c r="M300" i="1"/>
  <c r="N638" i="1"/>
  <c r="N619" i="1"/>
  <c r="P619" i="1" s="1"/>
  <c r="Q619" i="1" s="1"/>
  <c r="M639" i="1"/>
  <c r="P639" i="1" s="1"/>
  <c r="Q639" i="1" s="1"/>
  <c r="M626" i="1"/>
  <c r="P626" i="1" s="1"/>
  <c r="Q626" i="1" s="1"/>
  <c r="M630" i="1"/>
  <c r="M611" i="1"/>
  <c r="M618" i="1"/>
  <c r="P618" i="1" s="1"/>
  <c r="Q618" i="1" s="1"/>
  <c r="M615" i="1"/>
  <c r="P615" i="1" s="1"/>
  <c r="Q615" i="1" s="1"/>
  <c r="M540" i="1"/>
  <c r="N489" i="1"/>
  <c r="N631" i="1"/>
  <c r="P631" i="1" s="1"/>
  <c r="Q631" i="1" s="1"/>
  <c r="N544" i="1"/>
  <c r="N521" i="1"/>
  <c r="N387" i="1"/>
  <c r="N377" i="1"/>
  <c r="M545" i="1"/>
  <c r="M505" i="1"/>
  <c r="M475" i="1"/>
  <c r="N332" i="1"/>
  <c r="N316" i="1"/>
  <c r="M332" i="1"/>
  <c r="M328" i="1"/>
  <c r="M324" i="1"/>
  <c r="P324" i="1" s="1"/>
  <c r="Q324" i="1" s="1"/>
  <c r="M320" i="1"/>
  <c r="M316" i="1"/>
  <c r="M312" i="1"/>
  <c r="M308" i="1"/>
  <c r="M304" i="1"/>
  <c r="M288" i="1"/>
  <c r="N277" i="1"/>
  <c r="N257" i="1"/>
  <c r="N225" i="1"/>
  <c r="N65" i="1"/>
  <c r="N333" i="1"/>
  <c r="P333" i="1" s="1"/>
  <c r="Q333" i="1" s="1"/>
  <c r="N325" i="1"/>
  <c r="N317" i="1"/>
  <c r="N309" i="1"/>
  <c r="N285" i="1"/>
  <c r="N248" i="1"/>
  <c r="N216" i="1"/>
  <c r="M208" i="1"/>
  <c r="M200" i="1"/>
  <c r="P200" i="1" s="1"/>
  <c r="Q200" i="1" s="1"/>
  <c r="M192" i="1"/>
  <c r="M184" i="1"/>
  <c r="M41" i="1"/>
  <c r="M297" i="1"/>
  <c r="M281" i="1"/>
  <c r="N267" i="1"/>
  <c r="N211" i="1"/>
  <c r="M34" i="1"/>
  <c r="N460" i="1"/>
  <c r="M293" i="1"/>
  <c r="N276" i="1"/>
  <c r="M268" i="1"/>
  <c r="M239" i="1"/>
  <c r="M115" i="1"/>
  <c r="N37" i="1"/>
  <c r="P167" i="1"/>
  <c r="Q167" i="1" s="1"/>
  <c r="N50" i="1"/>
  <c r="M635" i="1"/>
  <c r="N622" i="1"/>
  <c r="N623" i="1"/>
  <c r="N627" i="1"/>
  <c r="M614" i="1"/>
  <c r="P614" i="1" s="1"/>
  <c r="Q614" i="1" s="1"/>
  <c r="N537" i="1"/>
  <c r="M524" i="1"/>
  <c r="M541" i="1"/>
  <c r="M528" i="1"/>
  <c r="N548" i="1"/>
  <c r="N536" i="1"/>
  <c r="M533" i="1"/>
  <c r="M521" i="1"/>
  <c r="P521" i="1" s="1"/>
  <c r="Q521" i="1" s="1"/>
  <c r="M532" i="1"/>
  <c r="N328" i="1"/>
  <c r="M292" i="1"/>
  <c r="N213" i="1"/>
  <c r="N205" i="1"/>
  <c r="N197" i="1"/>
  <c r="N189" i="1"/>
  <c r="M329" i="1"/>
  <c r="P329" i="1" s="1"/>
  <c r="Q329" i="1" s="1"/>
  <c r="M321" i="1"/>
  <c r="M305" i="1"/>
  <c r="P305" i="1" s="1"/>
  <c r="Q305" i="1" s="1"/>
  <c r="M45" i="1"/>
  <c r="P45" i="1" s="1"/>
  <c r="Q45" i="1" s="1"/>
  <c r="N297" i="1"/>
  <c r="N281" i="1"/>
  <c r="N275" i="1"/>
  <c r="N187" i="1"/>
  <c r="M56" i="1"/>
  <c r="M42" i="1"/>
  <c r="N33" i="1"/>
  <c r="P33" i="1" s="1"/>
  <c r="Q33" i="1" s="1"/>
  <c r="N293" i="1"/>
  <c r="M276" i="1"/>
  <c r="M50" i="1"/>
  <c r="N46" i="1"/>
  <c r="P46" i="1" s="1"/>
  <c r="Q46" i="1" s="1"/>
  <c r="P207" i="1"/>
  <c r="Q207" i="1" s="1"/>
  <c r="N191" i="1"/>
  <c r="P3" i="5"/>
  <c r="P12" i="5"/>
  <c r="N699" i="1"/>
  <c r="M690" i="1"/>
  <c r="M698" i="1"/>
  <c r="M687" i="1"/>
  <c r="N606" i="1"/>
  <c r="M585" i="1"/>
  <c r="M579" i="1"/>
  <c r="M607" i="1"/>
  <c r="M581" i="1"/>
  <c r="P581" i="1" s="1"/>
  <c r="Q581" i="1" s="1"/>
  <c r="N565" i="1"/>
  <c r="M552" i="1"/>
  <c r="N584" i="1"/>
  <c r="P584" i="1" s="1"/>
  <c r="Q584" i="1" s="1"/>
  <c r="M572" i="1"/>
  <c r="N553" i="1"/>
  <c r="M588" i="1"/>
  <c r="N577" i="1"/>
  <c r="N573" i="1"/>
  <c r="M560" i="1"/>
  <c r="N455" i="1"/>
  <c r="N445" i="1"/>
  <c r="N439" i="1"/>
  <c r="N429" i="1"/>
  <c r="N564" i="1"/>
  <c r="P564" i="1" s="1"/>
  <c r="Q564" i="1" s="1"/>
  <c r="N428" i="1"/>
  <c r="M452" i="1"/>
  <c r="M444" i="1"/>
  <c r="M436" i="1"/>
  <c r="P436" i="1" s="1"/>
  <c r="Q436" i="1" s="1"/>
  <c r="M428" i="1"/>
  <c r="P428" i="1" s="1"/>
  <c r="Q428" i="1" s="1"/>
  <c r="M360" i="1"/>
  <c r="N356" i="1"/>
  <c r="N348" i="1"/>
  <c r="P348" i="1" s="1"/>
  <c r="Q348" i="1" s="1"/>
  <c r="M456" i="1"/>
  <c r="M448" i="1"/>
  <c r="M440" i="1"/>
  <c r="M432" i="1"/>
  <c r="N366" i="1"/>
  <c r="N355" i="1"/>
  <c r="M346" i="1"/>
  <c r="N351" i="1"/>
  <c r="N117" i="1"/>
  <c r="N109" i="1"/>
  <c r="N101" i="1"/>
  <c r="N93" i="1"/>
  <c r="M341" i="1"/>
  <c r="M592" i="1"/>
  <c r="P301" i="1"/>
  <c r="Q301" i="1" s="1"/>
  <c r="P37" i="1"/>
  <c r="Q37" i="1" s="1"/>
  <c r="N119" i="1"/>
  <c r="M104" i="1"/>
  <c r="N108" i="1"/>
  <c r="M116" i="1"/>
  <c r="M108" i="1"/>
  <c r="M99" i="1"/>
  <c r="N685" i="1"/>
  <c r="N677" i="1"/>
  <c r="N691" i="1"/>
  <c r="M684" i="1"/>
  <c r="M676" i="1"/>
  <c r="N695" i="1"/>
  <c r="P695" i="1" s="1"/>
  <c r="Q695" i="1" s="1"/>
  <c r="M683" i="1"/>
  <c r="P683" i="1" s="1"/>
  <c r="Q683" i="1" s="1"/>
  <c r="M694" i="1"/>
  <c r="P694" i="1" s="1"/>
  <c r="Q694" i="1" s="1"/>
  <c r="N687" i="1"/>
  <c r="M679" i="1"/>
  <c r="P679" i="1" s="1"/>
  <c r="Q679" i="1" s="1"/>
  <c r="M603" i="1"/>
  <c r="P603" i="1" s="1"/>
  <c r="Q603" i="1" s="1"/>
  <c r="M593" i="1"/>
  <c r="M589" i="1"/>
  <c r="N585" i="1"/>
  <c r="M610" i="1"/>
  <c r="P610" i="1" s="1"/>
  <c r="Q610" i="1" s="1"/>
  <c r="N598" i="1"/>
  <c r="P598" i="1" s="1"/>
  <c r="Q598" i="1" s="1"/>
  <c r="M599" i="1"/>
  <c r="N568" i="1"/>
  <c r="P568" i="1" s="1"/>
  <c r="Q568" i="1" s="1"/>
  <c r="N549" i="1"/>
  <c r="M596" i="1"/>
  <c r="P596" i="1" s="1"/>
  <c r="Q596" i="1" s="1"/>
  <c r="N569" i="1"/>
  <c r="P569" i="1" s="1"/>
  <c r="Q569" i="1" s="1"/>
  <c r="N556" i="1"/>
  <c r="N588" i="1"/>
  <c r="M577" i="1"/>
  <c r="N557" i="1"/>
  <c r="P557" i="1" s="1"/>
  <c r="Q557" i="1" s="1"/>
  <c r="N449" i="1"/>
  <c r="N443" i="1"/>
  <c r="N433" i="1"/>
  <c r="N427" i="1"/>
  <c r="M561" i="1"/>
  <c r="P561" i="1" s="1"/>
  <c r="Q561" i="1" s="1"/>
  <c r="N452" i="1"/>
  <c r="M356" i="1"/>
  <c r="M364" i="1"/>
  <c r="P364" i="1" s="1"/>
  <c r="Q364" i="1" s="1"/>
  <c r="M355" i="1"/>
  <c r="N346" i="1"/>
  <c r="M358" i="1"/>
  <c r="M351" i="1"/>
  <c r="N354" i="1"/>
  <c r="N341" i="1"/>
  <c r="N602" i="1"/>
  <c r="N592" i="1"/>
  <c r="M337" i="1"/>
  <c r="N111" i="1"/>
  <c r="M96" i="1"/>
  <c r="M100" i="1"/>
  <c r="M354" i="1"/>
  <c r="P354" i="1" s="1"/>
  <c r="Q354" i="1" s="1"/>
  <c r="M107" i="1"/>
  <c r="P107" i="1" s="1"/>
  <c r="Q107" i="1" s="1"/>
  <c r="N359" i="1"/>
  <c r="P359" i="1" s="1"/>
  <c r="Q359" i="1" s="1"/>
  <c r="M688" i="1"/>
  <c r="N683" i="1"/>
  <c r="M675" i="1"/>
  <c r="N698" i="1"/>
  <c r="P698" i="1" s="1"/>
  <c r="Q698" i="1" s="1"/>
  <c r="M606" i="1"/>
  <c r="N593" i="1"/>
  <c r="N589" i="1"/>
  <c r="M576" i="1"/>
  <c r="M565" i="1"/>
  <c r="N552" i="1"/>
  <c r="N572" i="1"/>
  <c r="M553" i="1"/>
  <c r="M573" i="1"/>
  <c r="N560" i="1"/>
  <c r="N453" i="1"/>
  <c r="N447" i="1"/>
  <c r="N437" i="1"/>
  <c r="N431" i="1"/>
  <c r="M352" i="1"/>
  <c r="N360" i="1"/>
  <c r="P360" i="1" s="1"/>
  <c r="Q360" i="1" s="1"/>
  <c r="N352" i="1"/>
  <c r="N340" i="1"/>
  <c r="N358" i="1"/>
  <c r="M344" i="1"/>
  <c r="P344" i="1" s="1"/>
  <c r="Q344" i="1" s="1"/>
  <c r="N121" i="1"/>
  <c r="N113" i="1"/>
  <c r="N105" i="1"/>
  <c r="N97" i="1"/>
  <c r="N347" i="1"/>
  <c r="P347" i="1" s="1"/>
  <c r="Q347" i="1" s="1"/>
  <c r="N337" i="1"/>
  <c r="N350" i="1"/>
  <c r="M120" i="1"/>
  <c r="N103" i="1"/>
  <c r="M88" i="1"/>
  <c r="N71" i="1"/>
  <c r="M26" i="1"/>
  <c r="M124" i="1"/>
  <c r="P124" i="1" s="1"/>
  <c r="Q124" i="1" s="1"/>
  <c r="N99" i="1"/>
  <c r="M271" i="1"/>
  <c r="N180" i="1"/>
  <c r="P180" i="1" s="1"/>
  <c r="Q180" i="1" s="1"/>
  <c r="M159" i="1"/>
  <c r="P159" i="1" s="1"/>
  <c r="Q159" i="1" s="1"/>
  <c r="M156" i="1"/>
  <c r="N148" i="1"/>
  <c r="M139" i="1"/>
  <c r="N116" i="1"/>
  <c r="N92" i="1"/>
  <c r="N115" i="1"/>
  <c r="N175" i="1"/>
  <c r="P175" i="1" s="1"/>
  <c r="Q175" i="1" s="1"/>
  <c r="N143" i="1"/>
  <c r="P143" i="1" s="1"/>
  <c r="Q143" i="1" s="1"/>
  <c r="N139" i="1"/>
  <c r="N123" i="1"/>
  <c r="P123" i="1" s="1"/>
  <c r="Q123" i="1" s="1"/>
  <c r="M2" i="1"/>
  <c r="P2" i="1" s="1"/>
  <c r="M732" i="1"/>
  <c r="N707" i="1"/>
  <c r="N493" i="1"/>
  <c r="N477" i="1"/>
  <c r="P577" i="1"/>
  <c r="Q577" i="1" s="1"/>
  <c r="N471" i="1"/>
  <c r="M465" i="1"/>
  <c r="N461" i="1"/>
  <c r="N397" i="1"/>
  <c r="N391" i="1"/>
  <c r="N381" i="1"/>
  <c r="N375" i="1"/>
  <c r="M501" i="1"/>
  <c r="M499" i="1"/>
  <c r="N516" i="1"/>
  <c r="M495" i="1"/>
  <c r="M500" i="1"/>
  <c r="N396" i="1"/>
  <c r="M371" i="1"/>
  <c r="N475" i="1"/>
  <c r="P475" i="1" s="1"/>
  <c r="Q475" i="1" s="1"/>
  <c r="N368" i="1"/>
  <c r="P368" i="1" s="1"/>
  <c r="Q368" i="1" s="1"/>
  <c r="M392" i="1"/>
  <c r="M384" i="1"/>
  <c r="M376" i="1"/>
  <c r="N370" i="1"/>
  <c r="P289" i="1"/>
  <c r="Q289" i="1" s="1"/>
  <c r="M272" i="1"/>
  <c r="M264" i="1"/>
  <c r="P264" i="1" s="1"/>
  <c r="Q264" i="1" s="1"/>
  <c r="M256" i="1"/>
  <c r="P256" i="1" s="1"/>
  <c r="Q256" i="1" s="1"/>
  <c r="M248" i="1"/>
  <c r="M240" i="1"/>
  <c r="M232" i="1"/>
  <c r="P232" i="1" s="1"/>
  <c r="Q232" i="1" s="1"/>
  <c r="M224" i="1"/>
  <c r="M216" i="1"/>
  <c r="N243" i="1"/>
  <c r="M80" i="1"/>
  <c r="N63" i="1"/>
  <c r="M263" i="1"/>
  <c r="M260" i="1"/>
  <c r="P260" i="1" s="1"/>
  <c r="Q260" i="1" s="1"/>
  <c r="N252" i="1"/>
  <c r="M231" i="1"/>
  <c r="M228" i="1"/>
  <c r="P228" i="1" s="1"/>
  <c r="Q228" i="1" s="1"/>
  <c r="N220" i="1"/>
  <c r="M83" i="1"/>
  <c r="N271" i="1"/>
  <c r="N255" i="1"/>
  <c r="N239" i="1"/>
  <c r="N223" i="1"/>
  <c r="N83" i="1"/>
  <c r="M68" i="1"/>
  <c r="N76" i="1"/>
  <c r="M720" i="1"/>
  <c r="N717" i="1"/>
  <c r="N732" i="1"/>
  <c r="N725" i="1"/>
  <c r="N721" i="1"/>
  <c r="M717" i="1"/>
  <c r="P717" i="1" s="1"/>
  <c r="Q717" i="1" s="1"/>
  <c r="N710" i="1"/>
  <c r="P638" i="1"/>
  <c r="Q638" i="1" s="1"/>
  <c r="P654" i="1"/>
  <c r="Q654" i="1" s="1"/>
  <c r="P650" i="1"/>
  <c r="Q650" i="1" s="1"/>
  <c r="M508" i="1"/>
  <c r="N497" i="1"/>
  <c r="N481" i="1"/>
  <c r="M512" i="1"/>
  <c r="M492" i="1"/>
  <c r="M484" i="1"/>
  <c r="M476" i="1"/>
  <c r="M517" i="1"/>
  <c r="P517" i="1" s="1"/>
  <c r="Q517" i="1" s="1"/>
  <c r="N465" i="1"/>
  <c r="N395" i="1"/>
  <c r="N385" i="1"/>
  <c r="N379" i="1"/>
  <c r="N499" i="1"/>
  <c r="N495" i="1"/>
  <c r="M479" i="1"/>
  <c r="N388" i="1"/>
  <c r="M504" i="1"/>
  <c r="M491" i="1"/>
  <c r="P491" i="1" s="1"/>
  <c r="Q491" i="1" s="1"/>
  <c r="N372" i="1"/>
  <c r="N269" i="1"/>
  <c r="N261" i="1"/>
  <c r="N253" i="1"/>
  <c r="N245" i="1"/>
  <c r="N237" i="1"/>
  <c r="N229" i="1"/>
  <c r="N221" i="1"/>
  <c r="N85" i="1"/>
  <c r="N77" i="1"/>
  <c r="N69" i="1"/>
  <c r="N61" i="1"/>
  <c r="P30" i="1"/>
  <c r="Q30" i="1" s="1"/>
  <c r="N251" i="1"/>
  <c r="N219" i="1"/>
  <c r="N87" i="1"/>
  <c r="M72" i="1"/>
  <c r="M76" i="1"/>
  <c r="M460" i="1"/>
  <c r="M255" i="1"/>
  <c r="M252" i="1"/>
  <c r="N244" i="1"/>
  <c r="M223" i="1"/>
  <c r="M220" i="1"/>
  <c r="N212" i="1"/>
  <c r="M191" i="1"/>
  <c r="M188" i="1"/>
  <c r="P188" i="1" s="1"/>
  <c r="Q188" i="1" s="1"/>
  <c r="M75" i="1"/>
  <c r="P75" i="1" s="1"/>
  <c r="Q75" i="1" s="1"/>
  <c r="M54" i="1"/>
  <c r="N49" i="1"/>
  <c r="N42" i="1"/>
  <c r="P42" i="1" s="1"/>
  <c r="Q42" i="1" s="1"/>
  <c r="N60" i="1"/>
  <c r="P60" i="1" s="1"/>
  <c r="Q60" i="1" s="1"/>
  <c r="M728" i="1"/>
  <c r="M713" i="1"/>
  <c r="M706" i="1"/>
  <c r="M702" i="1"/>
  <c r="M731" i="1"/>
  <c r="M724" i="1"/>
  <c r="M716" i="1"/>
  <c r="M725" i="1"/>
  <c r="N713" i="1"/>
  <c r="M721" i="1"/>
  <c r="M714" i="1"/>
  <c r="P714" i="1" s="1"/>
  <c r="Q714" i="1" s="1"/>
  <c r="N711" i="1"/>
  <c r="M513" i="1"/>
  <c r="N509" i="1"/>
  <c r="N485" i="1"/>
  <c r="N469" i="1"/>
  <c r="N513" i="1"/>
  <c r="M487" i="1"/>
  <c r="P487" i="1" s="1"/>
  <c r="Q487" i="1" s="1"/>
  <c r="N389" i="1"/>
  <c r="N383" i="1"/>
  <c r="N373" i="1"/>
  <c r="N505" i="1"/>
  <c r="N501" i="1"/>
  <c r="M483" i="1"/>
  <c r="P483" i="1" s="1"/>
  <c r="Q483" i="1" s="1"/>
  <c r="M516" i="1"/>
  <c r="N479" i="1"/>
  <c r="N500" i="1"/>
  <c r="N380" i="1"/>
  <c r="M367" i="1"/>
  <c r="M464" i="1"/>
  <c r="P464" i="1" s="1"/>
  <c r="Q464" i="1" s="1"/>
  <c r="M396" i="1"/>
  <c r="M388" i="1"/>
  <c r="M380" i="1"/>
  <c r="P29" i="1"/>
  <c r="Q29" i="1" s="1"/>
  <c r="N259" i="1"/>
  <c r="N227" i="1"/>
  <c r="N79" i="1"/>
  <c r="M64" i="1"/>
  <c r="N268" i="1"/>
  <c r="M247" i="1"/>
  <c r="P247" i="1" s="1"/>
  <c r="Q247" i="1" s="1"/>
  <c r="M244" i="1"/>
  <c r="N236" i="1"/>
  <c r="M215" i="1"/>
  <c r="P215" i="1" s="1"/>
  <c r="Q215" i="1" s="1"/>
  <c r="M212" i="1"/>
  <c r="N204" i="1"/>
  <c r="M183" i="1"/>
  <c r="P183" i="1" s="1"/>
  <c r="Q183" i="1" s="1"/>
  <c r="M91" i="1"/>
  <c r="P91" i="1" s="1"/>
  <c r="Q91" i="1" s="1"/>
  <c r="N68" i="1"/>
  <c r="N53" i="1"/>
  <c r="N54" i="1"/>
  <c r="N38" i="1"/>
  <c r="N263" i="1"/>
  <c r="N231" i="1"/>
  <c r="N199" i="1"/>
  <c r="M84" i="1"/>
  <c r="P84" i="1" s="1"/>
  <c r="Q84" i="1" s="1"/>
  <c r="P337" i="1"/>
  <c r="Q337" i="1" s="1"/>
  <c r="P321" i="1"/>
  <c r="Q321" i="1" s="1"/>
  <c r="P92" i="1"/>
  <c r="Q92" i="1" s="1"/>
  <c r="P635" i="1"/>
  <c r="Q635" i="1" s="1"/>
  <c r="P552" i="1"/>
  <c r="Q552" i="1" s="1"/>
  <c r="P504" i="1"/>
  <c r="Q504" i="1" s="1"/>
  <c r="P172" i="1"/>
  <c r="Q172" i="1" s="1"/>
  <c r="J7" i="2"/>
  <c r="K7" i="2" s="1"/>
  <c r="F7" i="5" s="1"/>
  <c r="P655" i="1"/>
  <c r="Q655" i="1" s="1"/>
  <c r="P607" i="1"/>
  <c r="Q607" i="1" s="1"/>
  <c r="P313" i="1"/>
  <c r="Q313" i="1" s="1"/>
  <c r="P285" i="1"/>
  <c r="Q285" i="1" s="1"/>
  <c r="J10" i="2"/>
  <c r="K10" i="2" s="1"/>
  <c r="F10" i="5" s="1"/>
  <c r="P196" i="1"/>
  <c r="Q196" i="1" s="1"/>
  <c r="J9" i="2"/>
  <c r="K9" i="2" s="1"/>
  <c r="F9" i="5" s="1"/>
  <c r="J2" i="2"/>
  <c r="K2" i="2" s="1"/>
  <c r="F2" i="5" s="1"/>
  <c r="J25" i="2"/>
  <c r="K25" i="2" s="1"/>
  <c r="F25" i="5" s="1"/>
  <c r="P593" i="1"/>
  <c r="Q593" i="1" s="1"/>
  <c r="P589" i="1"/>
  <c r="Q589" i="1" s="1"/>
  <c r="P651" i="1"/>
  <c r="Q651" i="1" s="1"/>
  <c r="J23" i="2"/>
  <c r="K23" i="2" s="1"/>
  <c r="F23" i="5" s="1"/>
  <c r="P646" i="1"/>
  <c r="Q646" i="1" s="1"/>
  <c r="P634" i="1"/>
  <c r="Q634" i="1" s="1"/>
  <c r="P540" i="1"/>
  <c r="Q540" i="1" s="1"/>
  <c r="P548" i="1"/>
  <c r="Q548" i="1" s="1"/>
  <c r="J5" i="2"/>
  <c r="K5" i="2" s="1"/>
  <c r="F5" i="5" s="1"/>
  <c r="J4" i="2"/>
  <c r="K4" i="2" s="1"/>
  <c r="F4" i="5" s="1"/>
  <c r="J13" i="2"/>
  <c r="K13" i="2" s="1"/>
  <c r="F13" i="5" s="1"/>
  <c r="J21" i="2"/>
  <c r="K21" i="2" s="1"/>
  <c r="F21" i="5" s="1"/>
  <c r="P320" i="1"/>
  <c r="Q320" i="1" s="1"/>
  <c r="J24" i="2"/>
  <c r="K24" i="2" s="1"/>
  <c r="F24" i="5" s="1"/>
  <c r="P647" i="1"/>
  <c r="Q647" i="1" s="1"/>
  <c r="P665" i="1"/>
  <c r="Q665" i="1" s="1"/>
  <c r="J22" i="2"/>
  <c r="K22" i="2" s="1"/>
  <c r="F22" i="5" s="1"/>
  <c r="J20" i="2"/>
  <c r="K20" i="2" s="1"/>
  <c r="F20" i="5" s="1"/>
  <c r="P10" i="5"/>
  <c r="P41" i="1"/>
  <c r="Q41" i="1" s="1"/>
  <c r="P25" i="1"/>
  <c r="Q25" i="1" s="1"/>
  <c r="N10" i="1"/>
  <c r="H10" i="5"/>
  <c r="M273" i="1"/>
  <c r="P273" i="1" s="1"/>
  <c r="Q273" i="1" s="1"/>
  <c r="M269" i="1"/>
  <c r="M265" i="1"/>
  <c r="P265" i="1" s="1"/>
  <c r="Q265" i="1" s="1"/>
  <c r="M261" i="1"/>
  <c r="M257" i="1"/>
  <c r="M253" i="1"/>
  <c r="M249" i="1"/>
  <c r="P249" i="1" s="1"/>
  <c r="Q249" i="1" s="1"/>
  <c r="M245" i="1"/>
  <c r="N270" i="1"/>
  <c r="M267" i="1"/>
  <c r="N262" i="1"/>
  <c r="M259" i="1"/>
  <c r="N254" i="1"/>
  <c r="M251" i="1"/>
  <c r="N246" i="1"/>
  <c r="M270" i="1"/>
  <c r="M262" i="1"/>
  <c r="M254" i="1"/>
  <c r="M246" i="1"/>
  <c r="P246" i="1" s="1"/>
  <c r="Q246" i="1" s="1"/>
  <c r="N274" i="1"/>
  <c r="N266" i="1"/>
  <c r="N258" i="1"/>
  <c r="N250" i="1"/>
  <c r="M274" i="1"/>
  <c r="P274" i="1" s="1"/>
  <c r="Q274" i="1" s="1"/>
  <c r="M266" i="1"/>
  <c r="M258" i="1"/>
  <c r="M250" i="1"/>
  <c r="H16" i="5"/>
  <c r="M454" i="1"/>
  <c r="M450" i="1"/>
  <c r="M446" i="1"/>
  <c r="M442" i="1"/>
  <c r="M438" i="1"/>
  <c r="M434" i="1"/>
  <c r="M430" i="1"/>
  <c r="M457" i="1"/>
  <c r="P457" i="1" s="1"/>
  <c r="Q457" i="1" s="1"/>
  <c r="M449" i="1"/>
  <c r="M441" i="1"/>
  <c r="P441" i="1" s="1"/>
  <c r="Q441" i="1" s="1"/>
  <c r="M433" i="1"/>
  <c r="P433" i="1" s="1"/>
  <c r="Q433" i="1" s="1"/>
  <c r="M455" i="1"/>
  <c r="N450" i="1"/>
  <c r="M447" i="1"/>
  <c r="N442" i="1"/>
  <c r="M439" i="1"/>
  <c r="N434" i="1"/>
  <c r="M431" i="1"/>
  <c r="P431" i="1" s="1"/>
  <c r="Q431" i="1" s="1"/>
  <c r="M451" i="1"/>
  <c r="P451" i="1" s="1"/>
  <c r="Q451" i="1" s="1"/>
  <c r="M443" i="1"/>
  <c r="M435" i="1"/>
  <c r="M427" i="1"/>
  <c r="M453" i="1"/>
  <c r="M445" i="1"/>
  <c r="M437" i="1"/>
  <c r="P437" i="1" s="1"/>
  <c r="Q437" i="1" s="1"/>
  <c r="M429" i="1"/>
  <c r="N456" i="1"/>
  <c r="N446" i="1"/>
  <c r="N440" i="1"/>
  <c r="P440" i="1" s="1"/>
  <c r="Q440" i="1" s="1"/>
  <c r="N430" i="1"/>
  <c r="N454" i="1"/>
  <c r="N448" i="1"/>
  <c r="N438" i="1"/>
  <c r="N432" i="1"/>
  <c r="H20" i="5"/>
  <c r="N578" i="1"/>
  <c r="N574" i="1"/>
  <c r="M578" i="1"/>
  <c r="M574" i="1"/>
  <c r="M570" i="1"/>
  <c r="M566" i="1"/>
  <c r="M562" i="1"/>
  <c r="M558" i="1"/>
  <c r="M554" i="1"/>
  <c r="M550" i="1"/>
  <c r="N576" i="1"/>
  <c r="N579" i="1"/>
  <c r="P579" i="1" s="1"/>
  <c r="Q579" i="1" s="1"/>
  <c r="M571" i="1"/>
  <c r="N566" i="1"/>
  <c r="N559" i="1"/>
  <c r="M555" i="1"/>
  <c r="N550" i="1"/>
  <c r="N570" i="1"/>
  <c r="N563" i="1"/>
  <c r="M559" i="1"/>
  <c r="N554" i="1"/>
  <c r="N575" i="1"/>
  <c r="P575" i="1" s="1"/>
  <c r="Q575" i="1" s="1"/>
  <c r="N567" i="1"/>
  <c r="M563" i="1"/>
  <c r="N558" i="1"/>
  <c r="N551" i="1"/>
  <c r="N571" i="1"/>
  <c r="M567" i="1"/>
  <c r="N562" i="1"/>
  <c r="N555" i="1"/>
  <c r="M551" i="1"/>
  <c r="H7" i="5"/>
  <c r="M181" i="1"/>
  <c r="P181" i="1" s="1"/>
  <c r="Q181" i="1" s="1"/>
  <c r="M177" i="1"/>
  <c r="M173" i="1"/>
  <c r="P173" i="1" s="1"/>
  <c r="Q173" i="1" s="1"/>
  <c r="M169" i="1"/>
  <c r="P169" i="1" s="1"/>
  <c r="Q169" i="1" s="1"/>
  <c r="M165" i="1"/>
  <c r="P165" i="1" s="1"/>
  <c r="Q165" i="1" s="1"/>
  <c r="M161" i="1"/>
  <c r="P161" i="1" s="1"/>
  <c r="Q161" i="1" s="1"/>
  <c r="M157" i="1"/>
  <c r="M153" i="1"/>
  <c r="P153" i="1" s="1"/>
  <c r="Q153" i="1" s="1"/>
  <c r="N182" i="1"/>
  <c r="M179" i="1"/>
  <c r="P179" i="1" s="1"/>
  <c r="Q179" i="1" s="1"/>
  <c r="N174" i="1"/>
  <c r="M171" i="1"/>
  <c r="P171" i="1" s="1"/>
  <c r="Q171" i="1" s="1"/>
  <c r="N166" i="1"/>
  <c r="M163" i="1"/>
  <c r="P163" i="1" s="1"/>
  <c r="Q163" i="1" s="1"/>
  <c r="N158" i="1"/>
  <c r="M155" i="1"/>
  <c r="P155" i="1" s="1"/>
  <c r="Q155" i="1" s="1"/>
  <c r="M182" i="1"/>
  <c r="P182" i="1" s="1"/>
  <c r="Q182" i="1" s="1"/>
  <c r="M174" i="1"/>
  <c r="M166" i="1"/>
  <c r="M158" i="1"/>
  <c r="N178" i="1"/>
  <c r="N170" i="1"/>
  <c r="N162" i="1"/>
  <c r="N154" i="1"/>
  <c r="M178" i="1"/>
  <c r="P178" i="1" s="1"/>
  <c r="Q178" i="1" s="1"/>
  <c r="M170" i="1"/>
  <c r="M162" i="1"/>
  <c r="M154" i="1"/>
  <c r="H15" i="5"/>
  <c r="M426" i="1"/>
  <c r="M422" i="1"/>
  <c r="M418" i="1"/>
  <c r="M414" i="1"/>
  <c r="M410" i="1"/>
  <c r="M406" i="1"/>
  <c r="M402" i="1"/>
  <c r="M398" i="1"/>
  <c r="M425" i="1"/>
  <c r="P425" i="1" s="1"/>
  <c r="Q425" i="1" s="1"/>
  <c r="M417" i="1"/>
  <c r="M409" i="1"/>
  <c r="P409" i="1" s="1"/>
  <c r="Q409" i="1" s="1"/>
  <c r="M401" i="1"/>
  <c r="P401" i="1" s="1"/>
  <c r="Q401" i="1" s="1"/>
  <c r="N426" i="1"/>
  <c r="M423" i="1"/>
  <c r="P423" i="1" s="1"/>
  <c r="Q423" i="1" s="1"/>
  <c r="N418" i="1"/>
  <c r="M415" i="1"/>
  <c r="P415" i="1" s="1"/>
  <c r="Q415" i="1" s="1"/>
  <c r="N410" i="1"/>
  <c r="M407" i="1"/>
  <c r="N402" i="1"/>
  <c r="M399" i="1"/>
  <c r="P399" i="1" s="1"/>
  <c r="Q399" i="1" s="1"/>
  <c r="M419" i="1"/>
  <c r="P419" i="1" s="1"/>
  <c r="Q419" i="1" s="1"/>
  <c r="M411" i="1"/>
  <c r="P411" i="1" s="1"/>
  <c r="Q411" i="1" s="1"/>
  <c r="M403" i="1"/>
  <c r="P403" i="1" s="1"/>
  <c r="Q403" i="1" s="1"/>
  <c r="M421" i="1"/>
  <c r="P421" i="1" s="1"/>
  <c r="Q421" i="1" s="1"/>
  <c r="M413" i="1"/>
  <c r="P413" i="1" s="1"/>
  <c r="Q413" i="1" s="1"/>
  <c r="M405" i="1"/>
  <c r="P405" i="1" s="1"/>
  <c r="Q405" i="1" s="1"/>
  <c r="N424" i="1"/>
  <c r="P424" i="1" s="1"/>
  <c r="Q424" i="1" s="1"/>
  <c r="N414" i="1"/>
  <c r="N408" i="1"/>
  <c r="P408" i="1" s="1"/>
  <c r="Q408" i="1" s="1"/>
  <c r="N398" i="1"/>
  <c r="N422" i="1"/>
  <c r="N416" i="1"/>
  <c r="P416" i="1" s="1"/>
  <c r="Q416" i="1" s="1"/>
  <c r="N406" i="1"/>
  <c r="N400" i="1"/>
  <c r="H23" i="5"/>
  <c r="N670" i="1"/>
  <c r="M670" i="1"/>
  <c r="N668" i="1"/>
  <c r="N666" i="1"/>
  <c r="N662" i="1"/>
  <c r="N658" i="1"/>
  <c r="M666" i="1"/>
  <c r="M662" i="1"/>
  <c r="M658" i="1"/>
  <c r="N652" i="1"/>
  <c r="N648" i="1"/>
  <c r="N644" i="1"/>
  <c r="N664" i="1"/>
  <c r="P664" i="1" s="1"/>
  <c r="Q664" i="1" s="1"/>
  <c r="N660" i="1"/>
  <c r="N656" i="1"/>
  <c r="N653" i="1"/>
  <c r="M652" i="1"/>
  <c r="N649" i="1"/>
  <c r="M648" i="1"/>
  <c r="P648" i="1" s="1"/>
  <c r="Q648" i="1" s="1"/>
  <c r="N645" i="1"/>
  <c r="M644" i="1"/>
  <c r="M669" i="1"/>
  <c r="N663" i="1"/>
  <c r="P663" i="1" s="1"/>
  <c r="Q663" i="1" s="1"/>
  <c r="M653" i="1"/>
  <c r="P653" i="1" s="1"/>
  <c r="Q653" i="1" s="1"/>
  <c r="M649" i="1"/>
  <c r="M645" i="1"/>
  <c r="N659" i="1"/>
  <c r="P659" i="1" s="1"/>
  <c r="Q659" i="1" s="1"/>
  <c r="M641" i="1"/>
  <c r="N641" i="1"/>
  <c r="M18" i="1"/>
  <c r="P529" i="1"/>
  <c r="Q529" i="1" s="1"/>
  <c r="P404" i="1"/>
  <c r="Q404" i="1" s="1"/>
  <c r="P240" i="1"/>
  <c r="Q240" i="1" s="1"/>
  <c r="P208" i="1"/>
  <c r="Q208" i="1" s="1"/>
  <c r="P168" i="1"/>
  <c r="Q168" i="1" s="1"/>
  <c r="P160" i="1"/>
  <c r="Q160" i="1" s="1"/>
  <c r="P152" i="1"/>
  <c r="Q152" i="1" s="1"/>
  <c r="P144" i="1"/>
  <c r="Q144" i="1" s="1"/>
  <c r="H8" i="5"/>
  <c r="M213" i="1"/>
  <c r="M209" i="1"/>
  <c r="M205" i="1"/>
  <c r="P205" i="1" s="1"/>
  <c r="Q205" i="1" s="1"/>
  <c r="M201" i="1"/>
  <c r="P201" i="1" s="1"/>
  <c r="Q201" i="1" s="1"/>
  <c r="M197" i="1"/>
  <c r="M193" i="1"/>
  <c r="P193" i="1" s="1"/>
  <c r="Q193" i="1" s="1"/>
  <c r="M189" i="1"/>
  <c r="M185" i="1"/>
  <c r="P185" i="1" s="1"/>
  <c r="Q185" i="1" s="1"/>
  <c r="M211" i="1"/>
  <c r="P211" i="1" s="1"/>
  <c r="Q211" i="1" s="1"/>
  <c r="N206" i="1"/>
  <c r="M203" i="1"/>
  <c r="N198" i="1"/>
  <c r="M195" i="1"/>
  <c r="N190" i="1"/>
  <c r="M187" i="1"/>
  <c r="M206" i="1"/>
  <c r="M198" i="1"/>
  <c r="M190" i="1"/>
  <c r="P190" i="1" s="1"/>
  <c r="Q190" i="1" s="1"/>
  <c r="N210" i="1"/>
  <c r="N202" i="1"/>
  <c r="N194" i="1"/>
  <c r="N186" i="1"/>
  <c r="M210" i="1"/>
  <c r="P210" i="1" s="1"/>
  <c r="Q210" i="1" s="1"/>
  <c r="M202" i="1"/>
  <c r="M194" i="1"/>
  <c r="M186" i="1"/>
  <c r="P186" i="1" s="1"/>
  <c r="Q186" i="1" s="1"/>
  <c r="H2" i="5"/>
  <c r="M32" i="1"/>
  <c r="N31" i="1"/>
  <c r="M28" i="1"/>
  <c r="N27" i="1"/>
  <c r="M24" i="1"/>
  <c r="N23" i="1"/>
  <c r="M20" i="1"/>
  <c r="N19" i="1"/>
  <c r="M16" i="1"/>
  <c r="N15" i="1"/>
  <c r="M31" i="1"/>
  <c r="M27" i="1"/>
  <c r="P27" i="1" s="1"/>
  <c r="Q27" i="1" s="1"/>
  <c r="M23" i="1"/>
  <c r="M19" i="1"/>
  <c r="M15" i="1"/>
  <c r="M11" i="1"/>
  <c r="M7" i="1"/>
  <c r="M3" i="1"/>
  <c r="N32" i="1"/>
  <c r="N28" i="1"/>
  <c r="N24" i="1"/>
  <c r="N20" i="1"/>
  <c r="N4" i="1"/>
  <c r="N16" i="1"/>
  <c r="N8" i="1"/>
  <c r="M4" i="1"/>
  <c r="N12" i="1"/>
  <c r="M8" i="1"/>
  <c r="N3" i="1"/>
  <c r="M12" i="1"/>
  <c r="N7" i="1"/>
  <c r="N11" i="1"/>
  <c r="H6" i="5"/>
  <c r="M149" i="1"/>
  <c r="M145" i="1"/>
  <c r="P145" i="1" s="1"/>
  <c r="Q145" i="1" s="1"/>
  <c r="M141" i="1"/>
  <c r="P141" i="1" s="1"/>
  <c r="Q141" i="1" s="1"/>
  <c r="N150" i="1"/>
  <c r="M147" i="1"/>
  <c r="P147" i="1" s="1"/>
  <c r="Q147" i="1" s="1"/>
  <c r="N142" i="1"/>
  <c r="N136" i="1"/>
  <c r="P136" i="1" s="1"/>
  <c r="Q136" i="1" s="1"/>
  <c r="M135" i="1"/>
  <c r="P135" i="1" s="1"/>
  <c r="Q135" i="1" s="1"/>
  <c r="M134" i="1"/>
  <c r="N128" i="1"/>
  <c r="M127" i="1"/>
  <c r="P127" i="1" s="1"/>
  <c r="Q127" i="1" s="1"/>
  <c r="M126" i="1"/>
  <c r="M150" i="1"/>
  <c r="M142" i="1"/>
  <c r="P142" i="1" s="1"/>
  <c r="Q142" i="1" s="1"/>
  <c r="N138" i="1"/>
  <c r="M137" i="1"/>
  <c r="P137" i="1" s="1"/>
  <c r="Q137" i="1" s="1"/>
  <c r="N130" i="1"/>
  <c r="M129" i="1"/>
  <c r="P129" i="1" s="1"/>
  <c r="Q129" i="1" s="1"/>
  <c r="N122" i="1"/>
  <c r="N146" i="1"/>
  <c r="M138" i="1"/>
  <c r="M130" i="1"/>
  <c r="M122" i="1"/>
  <c r="M146" i="1"/>
  <c r="N134" i="1"/>
  <c r="M133" i="1"/>
  <c r="P133" i="1" s="1"/>
  <c r="Q133" i="1" s="1"/>
  <c r="N126" i="1"/>
  <c r="M125" i="1"/>
  <c r="P125" i="1" s="1"/>
  <c r="Q125" i="1" s="1"/>
  <c r="J8" i="2"/>
  <c r="K8" i="2" s="1"/>
  <c r="F8" i="5" s="1"/>
  <c r="H9" i="5"/>
  <c r="M241" i="1"/>
  <c r="P241" i="1" s="1"/>
  <c r="Q241" i="1" s="1"/>
  <c r="M237" i="1"/>
  <c r="P237" i="1" s="1"/>
  <c r="Q237" i="1" s="1"/>
  <c r="M233" i="1"/>
  <c r="M229" i="1"/>
  <c r="P229" i="1" s="1"/>
  <c r="Q229" i="1" s="1"/>
  <c r="M225" i="1"/>
  <c r="P225" i="1" s="1"/>
  <c r="Q225" i="1" s="1"/>
  <c r="M221" i="1"/>
  <c r="M217" i="1"/>
  <c r="P217" i="1" s="1"/>
  <c r="Q217" i="1" s="1"/>
  <c r="M243" i="1"/>
  <c r="P243" i="1" s="1"/>
  <c r="Q243" i="1" s="1"/>
  <c r="N238" i="1"/>
  <c r="M235" i="1"/>
  <c r="P235" i="1" s="1"/>
  <c r="Q235" i="1" s="1"/>
  <c r="N230" i="1"/>
  <c r="M227" i="1"/>
  <c r="N222" i="1"/>
  <c r="M219" i="1"/>
  <c r="N214" i="1"/>
  <c r="M238" i="1"/>
  <c r="M230" i="1"/>
  <c r="M222" i="1"/>
  <c r="M214" i="1"/>
  <c r="N242" i="1"/>
  <c r="N234" i="1"/>
  <c r="N226" i="1"/>
  <c r="N218" i="1"/>
  <c r="M242" i="1"/>
  <c r="M234" i="1"/>
  <c r="P234" i="1" s="1"/>
  <c r="Q234" i="1" s="1"/>
  <c r="M226" i="1"/>
  <c r="M218" i="1"/>
  <c r="P218" i="1" s="1"/>
  <c r="Q218" i="1" s="1"/>
  <c r="H17" i="5"/>
  <c r="N486" i="1"/>
  <c r="N482" i="1"/>
  <c r="N478" i="1"/>
  <c r="N474" i="1"/>
  <c r="N470" i="1"/>
  <c r="N466" i="1"/>
  <c r="N462" i="1"/>
  <c r="M485" i="1"/>
  <c r="M478" i="1"/>
  <c r="N476" i="1"/>
  <c r="P476" i="1" s="1"/>
  <c r="Q476" i="1" s="1"/>
  <c r="M469" i="1"/>
  <c r="M481" i="1"/>
  <c r="M474" i="1"/>
  <c r="N472" i="1"/>
  <c r="P472" i="1" s="1"/>
  <c r="Q472" i="1" s="1"/>
  <c r="N467" i="1"/>
  <c r="M466" i="1"/>
  <c r="N463" i="1"/>
  <c r="M486" i="1"/>
  <c r="N484" i="1"/>
  <c r="M477" i="1"/>
  <c r="M470" i="1"/>
  <c r="P470" i="1" s="1"/>
  <c r="Q470" i="1" s="1"/>
  <c r="M467" i="1"/>
  <c r="M463" i="1"/>
  <c r="M459" i="1"/>
  <c r="M458" i="1"/>
  <c r="N480" i="1"/>
  <c r="P480" i="1" s="1"/>
  <c r="Q480" i="1" s="1"/>
  <c r="N458" i="1"/>
  <c r="M482" i="1"/>
  <c r="N459" i="1"/>
  <c r="M462" i="1"/>
  <c r="M473" i="1"/>
  <c r="P473" i="1" s="1"/>
  <c r="Q473" i="1" s="1"/>
  <c r="N730" i="1"/>
  <c r="H25" i="5"/>
  <c r="M730" i="1"/>
  <c r="M727" i="1"/>
  <c r="N726" i="1"/>
  <c r="M723" i="1"/>
  <c r="N722" i="1"/>
  <c r="M719" i="1"/>
  <c r="N718" i="1"/>
  <c r="M715" i="1"/>
  <c r="M726" i="1"/>
  <c r="M722" i="1"/>
  <c r="M718" i="1"/>
  <c r="N728" i="1"/>
  <c r="N723" i="1"/>
  <c r="M712" i="1"/>
  <c r="M708" i="1"/>
  <c r="M704" i="1"/>
  <c r="N731" i="1"/>
  <c r="P731" i="1" s="1"/>
  <c r="Q731" i="1" s="1"/>
  <c r="N724" i="1"/>
  <c r="N719" i="1"/>
  <c r="M711" i="1"/>
  <c r="N720" i="1"/>
  <c r="P720" i="1" s="1"/>
  <c r="Q720" i="1" s="1"/>
  <c r="N715" i="1"/>
  <c r="N709" i="1"/>
  <c r="N705" i="1"/>
  <c r="M729" i="1"/>
  <c r="P729" i="1" s="1"/>
  <c r="Q729" i="1" s="1"/>
  <c r="N712" i="1"/>
  <c r="N704" i="1"/>
  <c r="N702" i="1"/>
  <c r="M709" i="1"/>
  <c r="M707" i="1"/>
  <c r="N716" i="1"/>
  <c r="P716" i="1" s="1"/>
  <c r="Q716" i="1" s="1"/>
  <c r="N708" i="1"/>
  <c r="M705" i="1"/>
  <c r="N706" i="1"/>
  <c r="M703" i="1"/>
  <c r="P703" i="1" s="1"/>
  <c r="Q703" i="1" s="1"/>
  <c r="N727" i="1"/>
  <c r="N9" i="1"/>
  <c r="N6" i="1"/>
  <c r="P667" i="1"/>
  <c r="Q667" i="1" s="1"/>
  <c r="P630" i="1"/>
  <c r="Q630" i="1" s="1"/>
  <c r="P599" i="1"/>
  <c r="Q599" i="1" s="1"/>
  <c r="P571" i="1"/>
  <c r="Q571" i="1" s="1"/>
  <c r="P49" i="1"/>
  <c r="Q49" i="1" s="1"/>
  <c r="N26" i="1"/>
  <c r="M10" i="1"/>
  <c r="N22" i="1"/>
  <c r="P22" i="1" s="1"/>
  <c r="Q22" i="1" s="1"/>
  <c r="H24" i="5"/>
  <c r="M700" i="1"/>
  <c r="M696" i="1"/>
  <c r="M692" i="1"/>
  <c r="N701" i="1"/>
  <c r="N693" i="1"/>
  <c r="N692" i="1"/>
  <c r="M691" i="1"/>
  <c r="M689" i="1"/>
  <c r="N700" i="1"/>
  <c r="N697" i="1"/>
  <c r="N696" i="1"/>
  <c r="M693" i="1"/>
  <c r="N686" i="1"/>
  <c r="N682" i="1"/>
  <c r="N678" i="1"/>
  <c r="N674" i="1"/>
  <c r="M699" i="1"/>
  <c r="M697" i="1"/>
  <c r="M686" i="1"/>
  <c r="N684" i="1"/>
  <c r="M678" i="1"/>
  <c r="N676" i="1"/>
  <c r="P676" i="1" s="1"/>
  <c r="Q676" i="1" s="1"/>
  <c r="N689" i="1"/>
  <c r="M681" i="1"/>
  <c r="P681" i="1" s="1"/>
  <c r="Q681" i="1" s="1"/>
  <c r="M673" i="1"/>
  <c r="P673" i="1" s="1"/>
  <c r="Q673" i="1" s="1"/>
  <c r="M701" i="1"/>
  <c r="N690" i="1"/>
  <c r="P690" i="1" s="1"/>
  <c r="Q690" i="1" s="1"/>
  <c r="N688" i="1"/>
  <c r="M682" i="1"/>
  <c r="N680" i="1"/>
  <c r="P680" i="1" s="1"/>
  <c r="Q680" i="1" s="1"/>
  <c r="M674" i="1"/>
  <c r="P674" i="1" s="1"/>
  <c r="Q674" i="1" s="1"/>
  <c r="N672" i="1"/>
  <c r="P672" i="1" s="1"/>
  <c r="Q672" i="1" s="1"/>
  <c r="M677" i="1"/>
  <c r="M685" i="1"/>
  <c r="P685" i="1" s="1"/>
  <c r="Q685" i="1" s="1"/>
  <c r="H18" i="5"/>
  <c r="M518" i="1"/>
  <c r="M514" i="1"/>
  <c r="M510" i="1"/>
  <c r="M506" i="1"/>
  <c r="M502" i="1"/>
  <c r="N515" i="1"/>
  <c r="N514" i="1"/>
  <c r="M511" i="1"/>
  <c r="N518" i="1"/>
  <c r="M515" i="1"/>
  <c r="N503" i="1"/>
  <c r="N502" i="1"/>
  <c r="N498" i="1"/>
  <c r="N494" i="1"/>
  <c r="N490" i="1"/>
  <c r="N511" i="1"/>
  <c r="N508" i="1"/>
  <c r="M507" i="1"/>
  <c r="N506" i="1"/>
  <c r="M494" i="1"/>
  <c r="N492" i="1"/>
  <c r="N510" i="1"/>
  <c r="M503" i="1"/>
  <c r="P503" i="1" s="1"/>
  <c r="Q503" i="1" s="1"/>
  <c r="M497" i="1"/>
  <c r="M490" i="1"/>
  <c r="N488" i="1"/>
  <c r="P488" i="1" s="1"/>
  <c r="Q488" i="1" s="1"/>
  <c r="N512" i="1"/>
  <c r="P512" i="1" s="1"/>
  <c r="Q512" i="1" s="1"/>
  <c r="M493" i="1"/>
  <c r="P493" i="1" s="1"/>
  <c r="Q493" i="1" s="1"/>
  <c r="N507" i="1"/>
  <c r="N496" i="1"/>
  <c r="P496" i="1" s="1"/>
  <c r="Q496" i="1" s="1"/>
  <c r="M509" i="1"/>
  <c r="M489" i="1"/>
  <c r="M498" i="1"/>
  <c r="P498" i="1" s="1"/>
  <c r="Q498" i="1" s="1"/>
  <c r="J6" i="2"/>
  <c r="K6" i="2" s="1"/>
  <c r="F6" i="5" s="1"/>
  <c r="H14" i="5"/>
  <c r="M394" i="1"/>
  <c r="M390" i="1"/>
  <c r="M386" i="1"/>
  <c r="M382" i="1"/>
  <c r="M378" i="1"/>
  <c r="M374" i="1"/>
  <c r="M369" i="1"/>
  <c r="M393" i="1"/>
  <c r="P393" i="1" s="1"/>
  <c r="Q393" i="1" s="1"/>
  <c r="M385" i="1"/>
  <c r="M377" i="1"/>
  <c r="N394" i="1"/>
  <c r="M391" i="1"/>
  <c r="P391" i="1" s="1"/>
  <c r="Q391" i="1" s="1"/>
  <c r="N386" i="1"/>
  <c r="M383" i="1"/>
  <c r="N378" i="1"/>
  <c r="M375" i="1"/>
  <c r="N369" i="1"/>
  <c r="M395" i="1"/>
  <c r="M387" i="1"/>
  <c r="P387" i="1" s="1"/>
  <c r="Q387" i="1" s="1"/>
  <c r="M379" i="1"/>
  <c r="P379" i="1" s="1"/>
  <c r="Q379" i="1" s="1"/>
  <c r="N371" i="1"/>
  <c r="P371" i="1" s="1"/>
  <c r="Q371" i="1" s="1"/>
  <c r="M397" i="1"/>
  <c r="M389" i="1"/>
  <c r="M381" i="1"/>
  <c r="M373" i="1"/>
  <c r="N367" i="1"/>
  <c r="N392" i="1"/>
  <c r="N382" i="1"/>
  <c r="N376" i="1"/>
  <c r="N390" i="1"/>
  <c r="N384" i="1"/>
  <c r="P384" i="1" s="1"/>
  <c r="Q384" i="1" s="1"/>
  <c r="N374" i="1"/>
  <c r="M370" i="1"/>
  <c r="P370" i="1" s="1"/>
  <c r="Q370" i="1" s="1"/>
  <c r="H4" i="5"/>
  <c r="N88" i="1"/>
  <c r="P88" i="1" s="1"/>
  <c r="Q88" i="1" s="1"/>
  <c r="M87" i="1"/>
  <c r="M86" i="1"/>
  <c r="N80" i="1"/>
  <c r="M79" i="1"/>
  <c r="P79" i="1" s="1"/>
  <c r="Q79" i="1" s="1"/>
  <c r="M78" i="1"/>
  <c r="N72" i="1"/>
  <c r="M71" i="1"/>
  <c r="M70" i="1"/>
  <c r="N64" i="1"/>
  <c r="M63" i="1"/>
  <c r="P63" i="1" s="1"/>
  <c r="Q63" i="1" s="1"/>
  <c r="M62" i="1"/>
  <c r="N90" i="1"/>
  <c r="M89" i="1"/>
  <c r="P89" i="1" s="1"/>
  <c r="Q89" i="1" s="1"/>
  <c r="N82" i="1"/>
  <c r="M81" i="1"/>
  <c r="P81" i="1" s="1"/>
  <c r="Q81" i="1" s="1"/>
  <c r="N74" i="1"/>
  <c r="M73" i="1"/>
  <c r="P73" i="1" s="1"/>
  <c r="Q73" i="1" s="1"/>
  <c r="N66" i="1"/>
  <c r="M65" i="1"/>
  <c r="P65" i="1" s="1"/>
  <c r="Q65" i="1" s="1"/>
  <c r="N86" i="1"/>
  <c r="N70" i="1"/>
  <c r="M90" i="1"/>
  <c r="M82" i="1"/>
  <c r="M74" i="1"/>
  <c r="M66" i="1"/>
  <c r="M85" i="1"/>
  <c r="N78" i="1"/>
  <c r="M69" i="1"/>
  <c r="P69" i="1" s="1"/>
  <c r="Q69" i="1" s="1"/>
  <c r="N62" i="1"/>
  <c r="M77" i="1"/>
  <c r="P77" i="1" s="1"/>
  <c r="Q77" i="1" s="1"/>
  <c r="M61" i="1"/>
  <c r="H3" i="5"/>
  <c r="N56" i="1"/>
  <c r="P56" i="1" s="1"/>
  <c r="Q56" i="1" s="1"/>
  <c r="N55" i="1"/>
  <c r="M52" i="1"/>
  <c r="N51" i="1"/>
  <c r="M48" i="1"/>
  <c r="N47" i="1"/>
  <c r="M44" i="1"/>
  <c r="N43" i="1"/>
  <c r="M40" i="1"/>
  <c r="N39" i="1"/>
  <c r="M36" i="1"/>
  <c r="N35" i="1"/>
  <c r="N58" i="1"/>
  <c r="M57" i="1"/>
  <c r="P57" i="1" s="1"/>
  <c r="Q57" i="1" s="1"/>
  <c r="M55" i="1"/>
  <c r="M51" i="1"/>
  <c r="P51" i="1" s="1"/>
  <c r="Q51" i="1" s="1"/>
  <c r="M47" i="1"/>
  <c r="M43" i="1"/>
  <c r="M39" i="1"/>
  <c r="M35" i="1"/>
  <c r="P35" i="1" s="1"/>
  <c r="Q35" i="1" s="1"/>
  <c r="N52" i="1"/>
  <c r="N48" i="1"/>
  <c r="N44" i="1"/>
  <c r="N40" i="1"/>
  <c r="N36" i="1"/>
  <c r="M58" i="1"/>
  <c r="H11" i="5"/>
  <c r="N302" i="1"/>
  <c r="N298" i="1"/>
  <c r="N294" i="1"/>
  <c r="N290" i="1"/>
  <c r="N286" i="1"/>
  <c r="N282" i="1"/>
  <c r="N278" i="1"/>
  <c r="N304" i="1"/>
  <c r="P304" i="1" s="1"/>
  <c r="Q304" i="1" s="1"/>
  <c r="M303" i="1"/>
  <c r="N300" i="1"/>
  <c r="P300" i="1" s="1"/>
  <c r="Q300" i="1" s="1"/>
  <c r="M299" i="1"/>
  <c r="N296" i="1"/>
  <c r="P296" i="1" s="1"/>
  <c r="Q296" i="1" s="1"/>
  <c r="M295" i="1"/>
  <c r="N292" i="1"/>
  <c r="P292" i="1" s="1"/>
  <c r="Q292" i="1" s="1"/>
  <c r="M291" i="1"/>
  <c r="N288" i="1"/>
  <c r="P288" i="1" s="1"/>
  <c r="Q288" i="1" s="1"/>
  <c r="M287" i="1"/>
  <c r="N284" i="1"/>
  <c r="P284" i="1" s="1"/>
  <c r="Q284" i="1" s="1"/>
  <c r="M283" i="1"/>
  <c r="N280" i="1"/>
  <c r="P280" i="1" s="1"/>
  <c r="Q280" i="1" s="1"/>
  <c r="M279" i="1"/>
  <c r="M277" i="1"/>
  <c r="M298" i="1"/>
  <c r="N295" i="1"/>
  <c r="M282" i="1"/>
  <c r="N279" i="1"/>
  <c r="M275" i="1"/>
  <c r="M294" i="1"/>
  <c r="N291" i="1"/>
  <c r="M278" i="1"/>
  <c r="N303" i="1"/>
  <c r="M290" i="1"/>
  <c r="P290" i="1" s="1"/>
  <c r="Q290" i="1" s="1"/>
  <c r="N287" i="1"/>
  <c r="M302" i="1"/>
  <c r="N299" i="1"/>
  <c r="M286" i="1"/>
  <c r="N283" i="1"/>
  <c r="H19" i="5"/>
  <c r="M546" i="1"/>
  <c r="M542" i="1"/>
  <c r="M538" i="1"/>
  <c r="M534" i="1"/>
  <c r="M530" i="1"/>
  <c r="M526" i="1"/>
  <c r="M522" i="1"/>
  <c r="N543" i="1"/>
  <c r="N547" i="1"/>
  <c r="M543" i="1"/>
  <c r="N538" i="1"/>
  <c r="N531" i="1"/>
  <c r="N530" i="1"/>
  <c r="M527" i="1"/>
  <c r="M547" i="1"/>
  <c r="N542" i="1"/>
  <c r="N535" i="1"/>
  <c r="M531" i="1"/>
  <c r="N519" i="1"/>
  <c r="N526" i="1"/>
  <c r="M519" i="1"/>
  <c r="N546" i="1"/>
  <c r="N528" i="1"/>
  <c r="P528" i="1" s="1"/>
  <c r="Q528" i="1" s="1"/>
  <c r="N539" i="1"/>
  <c r="M535" i="1"/>
  <c r="P535" i="1" s="1"/>
  <c r="Q535" i="1" s="1"/>
  <c r="M525" i="1"/>
  <c r="P525" i="1" s="1"/>
  <c r="Q525" i="1" s="1"/>
  <c r="N523" i="1"/>
  <c r="N534" i="1"/>
  <c r="N527" i="1"/>
  <c r="M523" i="1"/>
  <c r="N522" i="1"/>
  <c r="M539" i="1"/>
  <c r="N524" i="1"/>
  <c r="J15" i="2"/>
  <c r="K15" i="2" s="1"/>
  <c r="F15" i="5" s="1"/>
  <c r="M5" i="1"/>
  <c r="P5" i="1" s="1"/>
  <c r="Q5" i="1" s="1"/>
  <c r="N14" i="1"/>
  <c r="M13" i="1"/>
  <c r="P13" i="1" s="1"/>
  <c r="Q13" i="1" s="1"/>
  <c r="P656" i="1"/>
  <c r="Q656" i="1" s="1"/>
  <c r="P544" i="1"/>
  <c r="Q544" i="1" s="1"/>
  <c r="P532" i="1"/>
  <c r="Q532" i="1" s="1"/>
  <c r="P505" i="1"/>
  <c r="Q505" i="1" s="1"/>
  <c r="P444" i="1"/>
  <c r="Q444" i="1" s="1"/>
  <c r="P412" i="1"/>
  <c r="Q412" i="1" s="1"/>
  <c r="P432" i="1"/>
  <c r="Q432" i="1" s="1"/>
  <c r="P258" i="1"/>
  <c r="Q258" i="1" s="1"/>
  <c r="P194" i="1"/>
  <c r="Q194" i="1" s="1"/>
  <c r="P162" i="1"/>
  <c r="Q162" i="1" s="1"/>
  <c r="J18" i="2"/>
  <c r="K18" i="2" s="1"/>
  <c r="F18" i="5" s="1"/>
  <c r="J14" i="2"/>
  <c r="K14" i="2" s="1"/>
  <c r="F14" i="5" s="1"/>
  <c r="H22" i="5"/>
  <c r="M640" i="1"/>
  <c r="M636" i="1"/>
  <c r="M632" i="1"/>
  <c r="M628" i="1"/>
  <c r="M624" i="1"/>
  <c r="M620" i="1"/>
  <c r="M616" i="1"/>
  <c r="M612" i="1"/>
  <c r="N636" i="1"/>
  <c r="N629" i="1"/>
  <c r="M625" i="1"/>
  <c r="N620" i="1"/>
  <c r="N613" i="1"/>
  <c r="N640" i="1"/>
  <c r="N633" i="1"/>
  <c r="M629" i="1"/>
  <c r="N624" i="1"/>
  <c r="N617" i="1"/>
  <c r="M613" i="1"/>
  <c r="N637" i="1"/>
  <c r="M633" i="1"/>
  <c r="N628" i="1"/>
  <c r="N621" i="1"/>
  <c r="M617" i="1"/>
  <c r="N612" i="1"/>
  <c r="M637" i="1"/>
  <c r="N616" i="1"/>
  <c r="N632" i="1"/>
  <c r="M621" i="1"/>
  <c r="N625" i="1"/>
  <c r="H12" i="5"/>
  <c r="N334" i="1"/>
  <c r="N330" i="1"/>
  <c r="N326" i="1"/>
  <c r="N322" i="1"/>
  <c r="N318" i="1"/>
  <c r="N314" i="1"/>
  <c r="N310" i="1"/>
  <c r="N306" i="1"/>
  <c r="M335" i="1"/>
  <c r="M331" i="1"/>
  <c r="M327" i="1"/>
  <c r="M323" i="1"/>
  <c r="M319" i="1"/>
  <c r="M315" i="1"/>
  <c r="N312" i="1"/>
  <c r="M311" i="1"/>
  <c r="N308" i="1"/>
  <c r="M307" i="1"/>
  <c r="N335" i="1"/>
  <c r="M334" i="1"/>
  <c r="N327" i="1"/>
  <c r="M326" i="1"/>
  <c r="N319" i="1"/>
  <c r="M318" i="1"/>
  <c r="N311" i="1"/>
  <c r="M310" i="1"/>
  <c r="N331" i="1"/>
  <c r="M330" i="1"/>
  <c r="N323" i="1"/>
  <c r="M322" i="1"/>
  <c r="N315" i="1"/>
  <c r="M314" i="1"/>
  <c r="N307" i="1"/>
  <c r="M306" i="1"/>
  <c r="J16" i="2"/>
  <c r="K16" i="2" s="1"/>
  <c r="F16" i="5" s="1"/>
  <c r="H5" i="5"/>
  <c r="N120" i="1"/>
  <c r="M119" i="1"/>
  <c r="M118" i="1"/>
  <c r="N112" i="1"/>
  <c r="P112" i="1" s="1"/>
  <c r="Q112" i="1" s="1"/>
  <c r="M111" i="1"/>
  <c r="M110" i="1"/>
  <c r="N104" i="1"/>
  <c r="P104" i="1" s="1"/>
  <c r="Q104" i="1" s="1"/>
  <c r="M103" i="1"/>
  <c r="P103" i="1" s="1"/>
  <c r="Q103" i="1" s="1"/>
  <c r="M102" i="1"/>
  <c r="N96" i="1"/>
  <c r="M95" i="1"/>
  <c r="P95" i="1" s="1"/>
  <c r="Q95" i="1" s="1"/>
  <c r="M94" i="1"/>
  <c r="M121" i="1"/>
  <c r="N114" i="1"/>
  <c r="M113" i="1"/>
  <c r="P113" i="1" s="1"/>
  <c r="Q113" i="1" s="1"/>
  <c r="N106" i="1"/>
  <c r="M105" i="1"/>
  <c r="P105" i="1" s="1"/>
  <c r="Q105" i="1" s="1"/>
  <c r="N98" i="1"/>
  <c r="M97" i="1"/>
  <c r="M117" i="1"/>
  <c r="P117" i="1" s="1"/>
  <c r="Q117" i="1" s="1"/>
  <c r="N110" i="1"/>
  <c r="M93" i="1"/>
  <c r="M114" i="1"/>
  <c r="M106" i="1"/>
  <c r="P106" i="1" s="1"/>
  <c r="Q106" i="1" s="1"/>
  <c r="M98" i="1"/>
  <c r="M109" i="1"/>
  <c r="N102" i="1"/>
  <c r="N118" i="1"/>
  <c r="M101" i="1"/>
  <c r="P101" i="1" s="1"/>
  <c r="Q101" i="1" s="1"/>
  <c r="N94" i="1"/>
  <c r="H13" i="5"/>
  <c r="M365" i="1"/>
  <c r="M361" i="1"/>
  <c r="N365" i="1"/>
  <c r="N361" i="1"/>
  <c r="N342" i="1"/>
  <c r="N338" i="1"/>
  <c r="N363" i="1"/>
  <c r="P363" i="1" s="1"/>
  <c r="Q363" i="1" s="1"/>
  <c r="M353" i="1"/>
  <c r="N349" i="1"/>
  <c r="M343" i="1"/>
  <c r="M339" i="1"/>
  <c r="M366" i="1"/>
  <c r="M349" i="1"/>
  <c r="N345" i="1"/>
  <c r="N357" i="1"/>
  <c r="M345" i="1"/>
  <c r="M357" i="1"/>
  <c r="N343" i="1"/>
  <c r="M342" i="1"/>
  <c r="M362" i="1"/>
  <c r="P362" i="1" s="1"/>
  <c r="Q362" i="1" s="1"/>
  <c r="M350" i="1"/>
  <c r="P350" i="1" s="1"/>
  <c r="Q350" i="1" s="1"/>
  <c r="N353" i="1"/>
  <c r="N339" i="1"/>
  <c r="M338" i="1"/>
  <c r="H21" i="5"/>
  <c r="M608" i="1"/>
  <c r="M604" i="1"/>
  <c r="M600" i="1"/>
  <c r="N594" i="1"/>
  <c r="N590" i="1"/>
  <c r="N586" i="1"/>
  <c r="N582" i="1"/>
  <c r="M609" i="1"/>
  <c r="N604" i="1"/>
  <c r="N597" i="1"/>
  <c r="N608" i="1"/>
  <c r="N601" i="1"/>
  <c r="M597" i="1"/>
  <c r="N595" i="1"/>
  <c r="M594" i="1"/>
  <c r="N591" i="1"/>
  <c r="M590" i="1"/>
  <c r="P590" i="1" s="1"/>
  <c r="Q590" i="1" s="1"/>
  <c r="N587" i="1"/>
  <c r="M586" i="1"/>
  <c r="N583" i="1"/>
  <c r="M582" i="1"/>
  <c r="N605" i="1"/>
  <c r="M601" i="1"/>
  <c r="M595" i="1"/>
  <c r="M591" i="1"/>
  <c r="M587" i="1"/>
  <c r="P587" i="1" s="1"/>
  <c r="Q587" i="1" s="1"/>
  <c r="M583" i="1"/>
  <c r="N580" i="1"/>
  <c r="P580" i="1" s="1"/>
  <c r="Q580" i="1" s="1"/>
  <c r="N600" i="1"/>
  <c r="N609" i="1"/>
  <c r="M605" i="1"/>
  <c r="J3" i="2"/>
  <c r="K3" i="2" s="1"/>
  <c r="F3" i="5" s="1"/>
  <c r="J19" i="2"/>
  <c r="K19" i="2" s="1"/>
  <c r="F19" i="5" s="1"/>
  <c r="J17" i="2"/>
  <c r="K17" i="2" s="1"/>
  <c r="F17" i="5" s="1"/>
  <c r="N18" i="1"/>
  <c r="M14" i="1"/>
  <c r="M9" i="1"/>
  <c r="M6" i="1"/>
  <c r="P8" i="5"/>
  <c r="P13" i="5"/>
  <c r="P356" i="1" l="1"/>
  <c r="Q356" i="1" s="1"/>
  <c r="P216" i="1"/>
  <c r="Q216" i="1" s="1"/>
  <c r="P316" i="1"/>
  <c r="Q316" i="1" s="1"/>
  <c r="P156" i="1"/>
  <c r="Q156" i="1" s="1"/>
  <c r="P643" i="1"/>
  <c r="Q643" i="1" s="1"/>
  <c r="P410" i="1"/>
  <c r="Q410" i="1" s="1"/>
  <c r="Q2" i="1"/>
  <c r="P318" i="1"/>
  <c r="Q318" i="1" s="1"/>
  <c r="P334" i="1"/>
  <c r="Q334" i="1" s="1"/>
  <c r="P311" i="1"/>
  <c r="Q311" i="1" s="1"/>
  <c r="P323" i="1"/>
  <c r="Q323" i="1" s="1"/>
  <c r="P632" i="1"/>
  <c r="Q632" i="1" s="1"/>
  <c r="P71" i="1"/>
  <c r="Q71" i="1" s="1"/>
  <c r="P199" i="1"/>
  <c r="Q199" i="1" s="1"/>
  <c r="P465" i="1"/>
  <c r="Q465" i="1" s="1"/>
  <c r="P452" i="1"/>
  <c r="Q452" i="1" s="1"/>
  <c r="P572" i="1"/>
  <c r="Q572" i="1" s="1"/>
  <c r="P533" i="1"/>
  <c r="Q533" i="1" s="1"/>
  <c r="P541" i="1"/>
  <c r="Q541" i="1" s="1"/>
  <c r="P50" i="1"/>
  <c r="Q50" i="1" s="1"/>
  <c r="P332" i="1"/>
  <c r="Q332" i="1" s="1"/>
  <c r="P184" i="1"/>
  <c r="Q184" i="1" s="1"/>
  <c r="P272" i="1"/>
  <c r="Q272" i="1" s="1"/>
  <c r="P317" i="1"/>
  <c r="Q317" i="1" s="1"/>
  <c r="P537" i="1"/>
  <c r="Q537" i="1" s="1"/>
  <c r="P148" i="1"/>
  <c r="Q148" i="1" s="1"/>
  <c r="P336" i="1"/>
  <c r="Q336" i="1" s="1"/>
  <c r="P131" i="1"/>
  <c r="Q131" i="1" s="1"/>
  <c r="P204" i="1"/>
  <c r="Q204" i="1" s="1"/>
  <c r="P549" i="1"/>
  <c r="Q549" i="1" s="1"/>
  <c r="P657" i="1"/>
  <c r="Q657" i="1" s="1"/>
  <c r="P164" i="1"/>
  <c r="Q164" i="1" s="1"/>
  <c r="P157" i="1"/>
  <c r="Q157" i="1" s="1"/>
  <c r="P400" i="1"/>
  <c r="Q400" i="1" s="1"/>
  <c r="P545" i="1"/>
  <c r="Q545" i="1" s="1"/>
  <c r="P642" i="1"/>
  <c r="Q642" i="1" s="1"/>
  <c r="P675" i="1"/>
  <c r="Q675" i="1" s="1"/>
  <c r="P420" i="1"/>
  <c r="Q420" i="1" s="1"/>
  <c r="P453" i="1"/>
  <c r="Q453" i="1" s="1"/>
  <c r="P271" i="1"/>
  <c r="Q271" i="1" s="1"/>
  <c r="P565" i="1"/>
  <c r="Q565" i="1" s="1"/>
  <c r="P611" i="1"/>
  <c r="Q611" i="1" s="1"/>
  <c r="P140" i="1"/>
  <c r="Q140" i="1" s="1"/>
  <c r="P87" i="1"/>
  <c r="Q87" i="1" s="1"/>
  <c r="P381" i="1"/>
  <c r="Q381" i="1" s="1"/>
  <c r="P427" i="1"/>
  <c r="Q427" i="1" s="1"/>
  <c r="P516" i="1"/>
  <c r="Q516" i="1" s="1"/>
  <c r="P513" i="1"/>
  <c r="Q513" i="1" s="1"/>
  <c r="P245" i="1"/>
  <c r="Q245" i="1" s="1"/>
  <c r="P372" i="1"/>
  <c r="Q372" i="1" s="1"/>
  <c r="P461" i="1"/>
  <c r="Q461" i="1" s="1"/>
  <c r="P553" i="1"/>
  <c r="Q553" i="1" s="1"/>
  <c r="P100" i="1"/>
  <c r="Q100" i="1" s="1"/>
  <c r="P556" i="1"/>
  <c r="Q556" i="1" s="1"/>
  <c r="P585" i="1"/>
  <c r="Q585" i="1" s="1"/>
  <c r="P539" i="1"/>
  <c r="Q539" i="1" s="1"/>
  <c r="P202" i="1"/>
  <c r="Q202" i="1" s="1"/>
  <c r="P9" i="1"/>
  <c r="Q9" i="1" s="1"/>
  <c r="P109" i="1"/>
  <c r="Q109" i="1" s="1"/>
  <c r="P187" i="1"/>
  <c r="Q187" i="1" s="1"/>
  <c r="P189" i="1"/>
  <c r="Q189" i="1" s="1"/>
  <c r="P668" i="1"/>
  <c r="Q668" i="1" s="1"/>
  <c r="P407" i="1"/>
  <c r="Q407" i="1" s="1"/>
  <c r="P417" i="1"/>
  <c r="Q417" i="1" s="1"/>
  <c r="P602" i="1"/>
  <c r="Q602" i="1" s="1"/>
  <c r="P355" i="1"/>
  <c r="Q355" i="1" s="1"/>
  <c r="P226" i="1"/>
  <c r="Q226" i="1" s="1"/>
  <c r="P477" i="1"/>
  <c r="Q477" i="1" s="1"/>
  <c r="P128" i="1"/>
  <c r="Q128" i="1" s="1"/>
  <c r="P669" i="1"/>
  <c r="Q669" i="1" s="1"/>
  <c r="P660" i="1"/>
  <c r="Q660" i="1" s="1"/>
  <c r="P177" i="1"/>
  <c r="Q177" i="1" s="1"/>
  <c r="P435" i="1"/>
  <c r="Q435" i="1" s="1"/>
  <c r="P710" i="1"/>
  <c r="Q710" i="1" s="1"/>
  <c r="P248" i="1"/>
  <c r="Q248" i="1" s="1"/>
  <c r="P471" i="1"/>
  <c r="Q471" i="1" s="1"/>
  <c r="P146" i="1"/>
  <c r="Q146" i="1" s="1"/>
  <c r="P85" i="1"/>
  <c r="Q85" i="1" s="1"/>
  <c r="P72" i="1"/>
  <c r="Q72" i="1" s="1"/>
  <c r="P373" i="1"/>
  <c r="Q373" i="1" s="1"/>
  <c r="P385" i="1"/>
  <c r="Q385" i="1" s="1"/>
  <c r="P691" i="1"/>
  <c r="Q691" i="1" s="1"/>
  <c r="P149" i="1"/>
  <c r="Q149" i="1" s="1"/>
  <c r="P195" i="1"/>
  <c r="Q195" i="1" s="1"/>
  <c r="P443" i="1"/>
  <c r="Q443" i="1" s="1"/>
  <c r="P439" i="1"/>
  <c r="Q439" i="1" s="1"/>
  <c r="P606" i="1"/>
  <c r="Q606" i="1" s="1"/>
  <c r="P276" i="1"/>
  <c r="Q276" i="1" s="1"/>
  <c r="P174" i="1"/>
  <c r="Q174" i="1" s="1"/>
  <c r="P434" i="1"/>
  <c r="Q434" i="1" s="1"/>
  <c r="P254" i="1"/>
  <c r="Q254" i="1" s="1"/>
  <c r="P270" i="1"/>
  <c r="Q270" i="1" s="1"/>
  <c r="P352" i="1"/>
  <c r="Q352" i="1" s="1"/>
  <c r="P688" i="1"/>
  <c r="Q688" i="1" s="1"/>
  <c r="P380" i="1"/>
  <c r="Q380" i="1" s="1"/>
  <c r="P139" i="1"/>
  <c r="Q139" i="1" s="1"/>
  <c r="P253" i="1"/>
  <c r="Q253" i="1" s="1"/>
  <c r="P116" i="1"/>
  <c r="Q116" i="1" s="1"/>
  <c r="P341" i="1"/>
  <c r="Q341" i="1" s="1"/>
  <c r="P687" i="1"/>
  <c r="Q687" i="1" s="1"/>
  <c r="P297" i="1"/>
  <c r="Q297" i="1" s="1"/>
  <c r="P328" i="1"/>
  <c r="Q328" i="1" s="1"/>
  <c r="P536" i="1"/>
  <c r="Q536" i="1" s="1"/>
  <c r="P623" i="1"/>
  <c r="Q623" i="1" s="1"/>
  <c r="P325" i="1"/>
  <c r="Q325" i="1" s="1"/>
  <c r="P21" i="1"/>
  <c r="Q21" i="1" s="1"/>
  <c r="P18" i="1"/>
  <c r="Q18" i="1" s="1"/>
  <c r="P605" i="1"/>
  <c r="Q605" i="1" s="1"/>
  <c r="P600" i="1"/>
  <c r="Q600" i="1" s="1"/>
  <c r="P338" i="1"/>
  <c r="Q338" i="1" s="1"/>
  <c r="P345" i="1"/>
  <c r="Q345" i="1" s="1"/>
  <c r="P366" i="1"/>
  <c r="Q366" i="1" s="1"/>
  <c r="P353" i="1"/>
  <c r="Q353" i="1" s="1"/>
  <c r="P312" i="1"/>
  <c r="Q312" i="1" s="1"/>
  <c r="P327" i="1"/>
  <c r="Q327" i="1" s="1"/>
  <c r="P637" i="1"/>
  <c r="Q637" i="1" s="1"/>
  <c r="P620" i="1"/>
  <c r="Q620" i="1" s="1"/>
  <c r="P61" i="1"/>
  <c r="Q61" i="1" s="1"/>
  <c r="P395" i="1"/>
  <c r="Q395" i="1" s="1"/>
  <c r="P706" i="1"/>
  <c r="Q706" i="1" s="1"/>
  <c r="P484" i="1"/>
  <c r="Q484" i="1" s="1"/>
  <c r="P233" i="1"/>
  <c r="Q233" i="1" s="1"/>
  <c r="P197" i="1"/>
  <c r="Q197" i="1" s="1"/>
  <c r="P445" i="1"/>
  <c r="Q445" i="1" s="1"/>
  <c r="P38" i="1"/>
  <c r="Q38" i="1" s="1"/>
  <c r="P268" i="1"/>
  <c r="Q268" i="1" s="1"/>
  <c r="P76" i="1"/>
  <c r="Q76" i="1" s="1"/>
  <c r="P266" i="1"/>
  <c r="Q266" i="1" s="1"/>
  <c r="P119" i="1"/>
  <c r="Q119" i="1" s="1"/>
  <c r="P524" i="1"/>
  <c r="Q524" i="1" s="1"/>
  <c r="P275" i="1"/>
  <c r="Q275" i="1" s="1"/>
  <c r="P489" i="1"/>
  <c r="Q489" i="1" s="1"/>
  <c r="P497" i="1"/>
  <c r="Q497" i="1" s="1"/>
  <c r="P219" i="1"/>
  <c r="Q219" i="1" s="1"/>
  <c r="P221" i="1"/>
  <c r="Q221" i="1" s="1"/>
  <c r="P456" i="1"/>
  <c r="Q456" i="1" s="1"/>
  <c r="P236" i="1"/>
  <c r="Q236" i="1" s="1"/>
  <c r="P388" i="1"/>
  <c r="Q388" i="1" s="1"/>
  <c r="P346" i="1"/>
  <c r="Q346" i="1" s="1"/>
  <c r="P560" i="1"/>
  <c r="Q560" i="1" s="1"/>
  <c r="P293" i="1"/>
  <c r="Q293" i="1" s="1"/>
  <c r="P309" i="1"/>
  <c r="Q309" i="1" s="1"/>
  <c r="P622" i="1"/>
  <c r="Q622" i="1" s="1"/>
  <c r="P170" i="1"/>
  <c r="Q170" i="1" s="1"/>
  <c r="P121" i="1"/>
  <c r="Q121" i="1" s="1"/>
  <c r="P277" i="1"/>
  <c r="Q277" i="1" s="1"/>
  <c r="P509" i="1"/>
  <c r="Q509" i="1" s="1"/>
  <c r="P203" i="1"/>
  <c r="Q203" i="1" s="1"/>
  <c r="P725" i="1"/>
  <c r="Q725" i="1" s="1"/>
  <c r="P220" i="1"/>
  <c r="Q220" i="1" s="1"/>
  <c r="P479" i="1"/>
  <c r="Q479" i="1" s="1"/>
  <c r="P721" i="1"/>
  <c r="Q721" i="1" s="1"/>
  <c r="P224" i="1"/>
  <c r="Q224" i="1" s="1"/>
  <c r="P340" i="1"/>
  <c r="Q340" i="1" s="1"/>
  <c r="P448" i="1"/>
  <c r="Q448" i="1" s="1"/>
  <c r="P573" i="1"/>
  <c r="Q573" i="1" s="1"/>
  <c r="P239" i="1"/>
  <c r="Q239" i="1" s="1"/>
  <c r="P281" i="1"/>
  <c r="Q281" i="1" s="1"/>
  <c r="P192" i="1"/>
  <c r="Q192" i="1" s="1"/>
  <c r="P627" i="1"/>
  <c r="Q627" i="1" s="1"/>
  <c r="P34" i="1"/>
  <c r="Q34" i="1" s="1"/>
  <c r="P122" i="1"/>
  <c r="Q122" i="1" s="1"/>
  <c r="P111" i="1"/>
  <c r="Q111" i="1" s="1"/>
  <c r="P308" i="1"/>
  <c r="Q308" i="1" s="1"/>
  <c r="P286" i="1"/>
  <c r="Q286" i="1" s="1"/>
  <c r="P392" i="1"/>
  <c r="Q392" i="1" s="1"/>
  <c r="P677" i="1"/>
  <c r="Q677" i="1" s="1"/>
  <c r="P699" i="1"/>
  <c r="Q699" i="1" s="1"/>
  <c r="P26" i="1"/>
  <c r="Q26" i="1" s="1"/>
  <c r="P209" i="1"/>
  <c r="Q209" i="1" s="1"/>
  <c r="P158" i="1"/>
  <c r="Q158" i="1" s="1"/>
  <c r="P567" i="1"/>
  <c r="Q567" i="1" s="1"/>
  <c r="P53" i="1"/>
  <c r="Q53" i="1" s="1"/>
  <c r="P460" i="1"/>
  <c r="Q460" i="1" s="1"/>
  <c r="P495" i="1"/>
  <c r="Q495" i="1" s="1"/>
  <c r="P732" i="1"/>
  <c r="Q732" i="1" s="1"/>
  <c r="P115" i="1"/>
  <c r="Q115" i="1" s="1"/>
  <c r="P80" i="1"/>
  <c r="Q80" i="1" s="1"/>
  <c r="P377" i="1"/>
  <c r="Q377" i="1" s="1"/>
  <c r="P707" i="1"/>
  <c r="Q707" i="1" s="1"/>
  <c r="P463" i="1"/>
  <c r="Q463" i="1" s="1"/>
  <c r="P138" i="1"/>
  <c r="Q138" i="1" s="1"/>
  <c r="P213" i="1"/>
  <c r="Q213" i="1" s="1"/>
  <c r="P166" i="1"/>
  <c r="Q166" i="1" s="1"/>
  <c r="P429" i="1"/>
  <c r="Q429" i="1" s="1"/>
  <c r="P267" i="1"/>
  <c r="Q267" i="1" s="1"/>
  <c r="P269" i="1"/>
  <c r="Q269" i="1" s="1"/>
  <c r="P713" i="1"/>
  <c r="Q713" i="1" s="1"/>
  <c r="P191" i="1"/>
  <c r="Q191" i="1" s="1"/>
  <c r="P508" i="1"/>
  <c r="Q508" i="1" s="1"/>
  <c r="P68" i="1"/>
  <c r="Q68" i="1" s="1"/>
  <c r="P263" i="1"/>
  <c r="Q263" i="1" s="1"/>
  <c r="P99" i="1"/>
  <c r="Q99" i="1" s="1"/>
  <c r="P358" i="1"/>
  <c r="Q358" i="1" s="1"/>
  <c r="P108" i="1"/>
  <c r="Q108" i="1" s="1"/>
  <c r="P351" i="1"/>
  <c r="Q351" i="1" s="1"/>
  <c r="P588" i="1"/>
  <c r="Q588" i="1" s="1"/>
  <c r="P506" i="1"/>
  <c r="Q506" i="1" s="1"/>
  <c r="P222" i="1"/>
  <c r="Q222" i="1" s="1"/>
  <c r="P670" i="1"/>
  <c r="Q670" i="1" s="1"/>
  <c r="P550" i="1"/>
  <c r="Q550" i="1" s="1"/>
  <c r="P449" i="1"/>
  <c r="Q449" i="1" s="1"/>
  <c r="P257" i="1"/>
  <c r="Q257" i="1" s="1"/>
  <c r="P500" i="1"/>
  <c r="Q500" i="1" s="1"/>
  <c r="P252" i="1"/>
  <c r="Q252" i="1" s="1"/>
  <c r="P250" i="1"/>
  <c r="Q250" i="1" s="1"/>
  <c r="P97" i="1"/>
  <c r="Q97" i="1" s="1"/>
  <c r="P523" i="1"/>
  <c r="Q523" i="1" s="1"/>
  <c r="P383" i="1"/>
  <c r="Q383" i="1" s="1"/>
  <c r="P492" i="1"/>
  <c r="Q492" i="1" s="1"/>
  <c r="P684" i="1"/>
  <c r="Q684" i="1" s="1"/>
  <c r="P724" i="1"/>
  <c r="Q724" i="1" s="1"/>
  <c r="P712" i="1"/>
  <c r="Q712" i="1" s="1"/>
  <c r="P722" i="1"/>
  <c r="Q722" i="1" s="1"/>
  <c r="P469" i="1"/>
  <c r="Q469" i="1" s="1"/>
  <c r="P150" i="1"/>
  <c r="Q150" i="1" s="1"/>
  <c r="P12" i="1"/>
  <c r="Q12" i="1" s="1"/>
  <c r="P4" i="1"/>
  <c r="Q4" i="1" s="1"/>
  <c r="P20" i="1"/>
  <c r="P3" i="1"/>
  <c r="Q3" i="1" s="1"/>
  <c r="P15" i="1"/>
  <c r="Q15" i="1" s="1"/>
  <c r="P198" i="1"/>
  <c r="Q198" i="1" s="1"/>
  <c r="P576" i="1"/>
  <c r="Q576" i="1" s="1"/>
  <c r="P447" i="1"/>
  <c r="Q447" i="1" s="1"/>
  <c r="P251" i="1"/>
  <c r="Q251" i="1" s="1"/>
  <c r="P244" i="1"/>
  <c r="Q244" i="1" s="1"/>
  <c r="P54" i="1"/>
  <c r="Q54" i="1" s="1"/>
  <c r="P231" i="1"/>
  <c r="Q231" i="1" s="1"/>
  <c r="P242" i="1"/>
  <c r="Q242" i="1" s="1"/>
  <c r="P93" i="1"/>
  <c r="Q93" i="1" s="1"/>
  <c r="P386" i="1"/>
  <c r="Q386" i="1" s="1"/>
  <c r="P726" i="1"/>
  <c r="Q726" i="1" s="1"/>
  <c r="P730" i="1"/>
  <c r="Q730" i="1" s="1"/>
  <c r="P206" i="1"/>
  <c r="Q206" i="1" s="1"/>
  <c r="P645" i="1"/>
  <c r="Q645" i="1" s="1"/>
  <c r="P426" i="1"/>
  <c r="Q426" i="1" s="1"/>
  <c r="P396" i="1"/>
  <c r="Q396" i="1" s="1"/>
  <c r="P499" i="1"/>
  <c r="Q499" i="1" s="1"/>
  <c r="P592" i="1"/>
  <c r="Q592" i="1" s="1"/>
  <c r="P74" i="1"/>
  <c r="Q74" i="1" s="1"/>
  <c r="P718" i="1"/>
  <c r="Q718" i="1" s="1"/>
  <c r="P154" i="1"/>
  <c r="Q154" i="1" s="1"/>
  <c r="P96" i="1"/>
  <c r="Q96" i="1" s="1"/>
  <c r="P376" i="1"/>
  <c r="Q376" i="1" s="1"/>
  <c r="P494" i="1"/>
  <c r="Q494" i="1" s="1"/>
  <c r="P709" i="1"/>
  <c r="Q709" i="1" s="1"/>
  <c r="P120" i="1"/>
  <c r="Q120" i="1" s="1"/>
  <c r="P40" i="1"/>
  <c r="Q40" i="1" s="1"/>
  <c r="P64" i="1"/>
  <c r="Q64" i="1" s="1"/>
  <c r="P375" i="1"/>
  <c r="Q375" i="1" s="1"/>
  <c r="P10" i="1"/>
  <c r="Q10" i="1" s="1"/>
  <c r="P641" i="1"/>
  <c r="Q641" i="1" s="1"/>
  <c r="P578" i="1"/>
  <c r="Q578" i="1" s="1"/>
  <c r="P455" i="1"/>
  <c r="Q455" i="1" s="1"/>
  <c r="P259" i="1"/>
  <c r="Q259" i="1" s="1"/>
  <c r="P261" i="1"/>
  <c r="Q261" i="1" s="1"/>
  <c r="P223" i="1"/>
  <c r="Q223" i="1" s="1"/>
  <c r="P534" i="1"/>
  <c r="Q534" i="1" s="1"/>
  <c r="P278" i="1"/>
  <c r="Q278" i="1" s="1"/>
  <c r="P696" i="1"/>
  <c r="Q696" i="1" s="1"/>
  <c r="P24" i="1"/>
  <c r="Q24" i="1" s="1"/>
  <c r="P47" i="1"/>
  <c r="Q47" i="1" s="1"/>
  <c r="P697" i="1"/>
  <c r="Q697" i="1" s="1"/>
  <c r="P349" i="1"/>
  <c r="Q349" i="1" s="1"/>
  <c r="P212" i="1"/>
  <c r="Q212" i="1" s="1"/>
  <c r="P214" i="1"/>
  <c r="Q214" i="1" s="1"/>
  <c r="P48" i="1"/>
  <c r="Q48" i="1" s="1"/>
  <c r="P66" i="1"/>
  <c r="Q66" i="1" s="1"/>
  <c r="P382" i="1"/>
  <c r="Q382" i="1" s="1"/>
  <c r="P6" i="1"/>
  <c r="Q6" i="1" s="1"/>
  <c r="P583" i="1"/>
  <c r="Q583" i="1" s="1"/>
  <c r="P601" i="1"/>
  <c r="Q601" i="1" s="1"/>
  <c r="P594" i="1"/>
  <c r="Q594" i="1" s="1"/>
  <c r="P658" i="1"/>
  <c r="Q658" i="1" s="1"/>
  <c r="P501" i="1"/>
  <c r="Q501" i="1" s="1"/>
  <c r="P255" i="1"/>
  <c r="Q255" i="1" s="1"/>
  <c r="P14" i="1"/>
  <c r="Q14" i="1" s="1"/>
  <c r="P609" i="1"/>
  <c r="Q609" i="1" s="1"/>
  <c r="P604" i="1"/>
  <c r="Q604" i="1" s="1"/>
  <c r="P342" i="1"/>
  <c r="Q342" i="1" s="1"/>
  <c r="P365" i="1"/>
  <c r="Q365" i="1" s="1"/>
  <c r="P110" i="1"/>
  <c r="Q110" i="1" s="1"/>
  <c r="P306" i="1"/>
  <c r="Q306" i="1" s="1"/>
  <c r="P322" i="1"/>
  <c r="Q322" i="1" s="1"/>
  <c r="P310" i="1"/>
  <c r="Q310" i="1" s="1"/>
  <c r="P326" i="1"/>
  <c r="Q326" i="1" s="1"/>
  <c r="P307" i="1"/>
  <c r="Q307" i="1" s="1"/>
  <c r="P315" i="1"/>
  <c r="Q315" i="1" s="1"/>
  <c r="P331" i="1"/>
  <c r="Q331" i="1" s="1"/>
  <c r="P621" i="1"/>
  <c r="Q621" i="1" s="1"/>
  <c r="P633" i="1"/>
  <c r="Q633" i="1" s="1"/>
  <c r="P636" i="1"/>
  <c r="Q636" i="1" s="1"/>
  <c r="P640" i="1"/>
  <c r="Q640" i="1" s="1"/>
  <c r="P519" i="1"/>
  <c r="Q519" i="1" s="1"/>
  <c r="P547" i="1"/>
  <c r="Q547" i="1" s="1"/>
  <c r="P291" i="1"/>
  <c r="Q291" i="1" s="1"/>
  <c r="P303" i="1"/>
  <c r="Q303" i="1" s="1"/>
  <c r="P43" i="1"/>
  <c r="Q43" i="1" s="1"/>
  <c r="P389" i="1"/>
  <c r="Q389" i="1" s="1"/>
  <c r="P394" i="1"/>
  <c r="Q394" i="1" s="1"/>
  <c r="P369" i="1"/>
  <c r="Q369" i="1" s="1"/>
  <c r="P678" i="1"/>
  <c r="Q678" i="1" s="1"/>
  <c r="P727" i="1"/>
  <c r="Q727" i="1" s="1"/>
  <c r="P702" i="1"/>
  <c r="Q702" i="1" s="1"/>
  <c r="P711" i="1"/>
  <c r="Q711" i="1" s="1"/>
  <c r="P704" i="1"/>
  <c r="Q704" i="1" s="1"/>
  <c r="P728" i="1"/>
  <c r="Q728" i="1" s="1"/>
  <c r="P723" i="1"/>
  <c r="Q723" i="1" s="1"/>
  <c r="P459" i="1"/>
  <c r="Q459" i="1" s="1"/>
  <c r="P474" i="1"/>
  <c r="Q474" i="1" s="1"/>
  <c r="P238" i="1"/>
  <c r="Q238" i="1" s="1"/>
  <c r="P126" i="1"/>
  <c r="Q126" i="1" s="1"/>
  <c r="P8" i="1"/>
  <c r="Q8" i="1" s="1"/>
  <c r="P16" i="1"/>
  <c r="Q16" i="1" s="1"/>
  <c r="P28" i="1"/>
  <c r="P644" i="1"/>
  <c r="Q644" i="1" s="1"/>
  <c r="P662" i="1"/>
  <c r="Q662" i="1" s="1"/>
  <c r="P563" i="1"/>
  <c r="Q563" i="1" s="1"/>
  <c r="P559" i="1"/>
  <c r="Q559" i="1" s="1"/>
  <c r="P555" i="1"/>
  <c r="Q555" i="1" s="1"/>
  <c r="P558" i="1"/>
  <c r="Q558" i="1" s="1"/>
  <c r="P574" i="1"/>
  <c r="Q574" i="1" s="1"/>
  <c r="P442" i="1"/>
  <c r="Q442" i="1" s="1"/>
  <c r="P430" i="1"/>
  <c r="Q430" i="1" s="1"/>
  <c r="P446" i="1"/>
  <c r="Q446" i="1" s="1"/>
  <c r="P262" i="1"/>
  <c r="Q262" i="1" s="1"/>
  <c r="P83" i="1"/>
  <c r="Q83" i="1" s="1"/>
  <c r="P582" i="1"/>
  <c r="Q582" i="1" s="1"/>
  <c r="P102" i="1"/>
  <c r="Q102" i="1" s="1"/>
  <c r="P319" i="1"/>
  <c r="Q319" i="1" s="1"/>
  <c r="P617" i="1"/>
  <c r="Q617" i="1" s="1"/>
  <c r="P628" i="1"/>
  <c r="Q628" i="1" s="1"/>
  <c r="P531" i="1"/>
  <c r="Q531" i="1" s="1"/>
  <c r="P527" i="1"/>
  <c r="Q527" i="1" s="1"/>
  <c r="P543" i="1"/>
  <c r="Q543" i="1" s="1"/>
  <c r="P526" i="1"/>
  <c r="Q526" i="1" s="1"/>
  <c r="P542" i="1"/>
  <c r="Q542" i="1" s="1"/>
  <c r="P294" i="1"/>
  <c r="Q294" i="1" s="1"/>
  <c r="P39" i="1"/>
  <c r="Q39" i="1" s="1"/>
  <c r="P55" i="1"/>
  <c r="Q55" i="1" s="1"/>
  <c r="P36" i="1"/>
  <c r="Q36" i="1" s="1"/>
  <c r="P44" i="1"/>
  <c r="Q44" i="1" s="1"/>
  <c r="P52" i="1"/>
  <c r="Q52" i="1" s="1"/>
  <c r="P82" i="1"/>
  <c r="Q82" i="1" s="1"/>
  <c r="P62" i="1"/>
  <c r="Q62" i="1" s="1"/>
  <c r="P367" i="1"/>
  <c r="Q367" i="1" s="1"/>
  <c r="P397" i="1"/>
  <c r="Q397" i="1" s="1"/>
  <c r="P374" i="1"/>
  <c r="Q374" i="1" s="1"/>
  <c r="P490" i="1"/>
  <c r="Q490" i="1" s="1"/>
  <c r="P502" i="1"/>
  <c r="Q502" i="1" s="1"/>
  <c r="P693" i="1"/>
  <c r="Q693" i="1" s="1"/>
  <c r="P689" i="1"/>
  <c r="Q689" i="1" s="1"/>
  <c r="P482" i="1"/>
  <c r="Q482" i="1" s="1"/>
  <c r="P466" i="1"/>
  <c r="Q466" i="1" s="1"/>
  <c r="P481" i="1"/>
  <c r="Q481" i="1" s="1"/>
  <c r="P485" i="1"/>
  <c r="Q485" i="1" s="1"/>
  <c r="P227" i="1"/>
  <c r="Q227" i="1" s="1"/>
  <c r="P551" i="1"/>
  <c r="Q551" i="1" s="1"/>
  <c r="P9" i="5"/>
  <c r="P357" i="1"/>
  <c r="Q357" i="1" s="1"/>
  <c r="P94" i="1"/>
  <c r="Q94" i="1" s="1"/>
  <c r="P314" i="1"/>
  <c r="Q314" i="1" s="1"/>
  <c r="P330" i="1"/>
  <c r="Q330" i="1" s="1"/>
  <c r="P613" i="1"/>
  <c r="Q613" i="1" s="1"/>
  <c r="P625" i="1"/>
  <c r="Q625" i="1" s="1"/>
  <c r="P616" i="1"/>
  <c r="Q616" i="1" s="1"/>
  <c r="P78" i="1"/>
  <c r="Q78" i="1" s="1"/>
  <c r="P701" i="1"/>
  <c r="Q701" i="1" s="1"/>
  <c r="P715" i="1"/>
  <c r="Q715" i="1" s="1"/>
  <c r="P458" i="1"/>
  <c r="Q458" i="1" s="1"/>
  <c r="P478" i="1"/>
  <c r="Q478" i="1" s="1"/>
  <c r="P230" i="1"/>
  <c r="Q230" i="1" s="1"/>
  <c r="P11" i="1"/>
  <c r="Q11" i="1" s="1"/>
  <c r="P19" i="1"/>
  <c r="Q19" i="1" s="1"/>
  <c r="P566" i="1"/>
  <c r="Q566" i="1" s="1"/>
  <c r="P114" i="1"/>
  <c r="Q114" i="1" s="1"/>
  <c r="P118" i="1"/>
  <c r="Q118" i="1" s="1"/>
  <c r="P522" i="1"/>
  <c r="Q522" i="1" s="1"/>
  <c r="P538" i="1"/>
  <c r="Q538" i="1" s="1"/>
  <c r="P282" i="1"/>
  <c r="Q282" i="1" s="1"/>
  <c r="P279" i="1"/>
  <c r="Q279" i="1" s="1"/>
  <c r="P287" i="1"/>
  <c r="Q287" i="1" s="1"/>
  <c r="P295" i="1"/>
  <c r="Q295" i="1" s="1"/>
  <c r="P302" i="1"/>
  <c r="Q302" i="1" s="1"/>
  <c r="P70" i="1"/>
  <c r="Q70" i="1" s="1"/>
  <c r="P510" i="1"/>
  <c r="Q510" i="1" s="1"/>
  <c r="P507" i="1"/>
  <c r="Q507" i="1" s="1"/>
  <c r="P514" i="1"/>
  <c r="Q514" i="1" s="1"/>
  <c r="P682" i="1"/>
  <c r="Q682" i="1" s="1"/>
  <c r="P686" i="1"/>
  <c r="Q686" i="1" s="1"/>
  <c r="P700" i="1"/>
  <c r="Q700" i="1" s="1"/>
  <c r="P719" i="1"/>
  <c r="Q719" i="1" s="1"/>
  <c r="P130" i="1"/>
  <c r="Q130" i="1" s="1"/>
  <c r="P31" i="1"/>
  <c r="Q31" i="1" s="1"/>
  <c r="P398" i="1"/>
  <c r="Q398" i="1" s="1"/>
  <c r="P414" i="1"/>
  <c r="Q414" i="1" s="1"/>
  <c r="P554" i="1"/>
  <c r="Q554" i="1" s="1"/>
  <c r="P624" i="1"/>
  <c r="Q624" i="1" s="1"/>
  <c r="P518" i="1"/>
  <c r="Q518" i="1" s="1"/>
  <c r="P134" i="1"/>
  <c r="Q134" i="1" s="1"/>
  <c r="P402" i="1"/>
  <c r="Q402" i="1" s="1"/>
  <c r="P418" i="1"/>
  <c r="Q418" i="1" s="1"/>
  <c r="P339" i="1"/>
  <c r="Q339" i="1" s="1"/>
  <c r="P591" i="1"/>
  <c r="Q591" i="1" s="1"/>
  <c r="P597" i="1"/>
  <c r="Q597" i="1" s="1"/>
  <c r="P608" i="1"/>
  <c r="Q608" i="1" s="1"/>
  <c r="P343" i="1"/>
  <c r="Q343" i="1" s="1"/>
  <c r="P361" i="1"/>
  <c r="Q361" i="1" s="1"/>
  <c r="P98" i="1"/>
  <c r="Q98" i="1" s="1"/>
  <c r="P335" i="1"/>
  <c r="Q335" i="1" s="1"/>
  <c r="P629" i="1"/>
  <c r="Q629" i="1" s="1"/>
  <c r="P612" i="1"/>
  <c r="Q612" i="1" s="1"/>
  <c r="P530" i="1"/>
  <c r="Q530" i="1" s="1"/>
  <c r="P546" i="1"/>
  <c r="Q546" i="1" s="1"/>
  <c r="P298" i="1"/>
  <c r="Q298" i="1" s="1"/>
  <c r="P283" i="1"/>
  <c r="Q283" i="1" s="1"/>
  <c r="P299" i="1"/>
  <c r="Q299" i="1" s="1"/>
  <c r="P58" i="1"/>
  <c r="Q58" i="1" s="1"/>
  <c r="P90" i="1"/>
  <c r="Q90" i="1" s="1"/>
  <c r="P86" i="1"/>
  <c r="Q86" i="1" s="1"/>
  <c r="P378" i="1"/>
  <c r="Q378" i="1" s="1"/>
  <c r="P511" i="1"/>
  <c r="Q511" i="1" s="1"/>
  <c r="P692" i="1"/>
  <c r="Q692" i="1" s="1"/>
  <c r="P462" i="1"/>
  <c r="Q462" i="1" s="1"/>
  <c r="P467" i="1"/>
  <c r="Q467" i="1" s="1"/>
  <c r="P486" i="1"/>
  <c r="Q486" i="1" s="1"/>
  <c r="P7" i="1"/>
  <c r="Q7" i="1" s="1"/>
  <c r="P23" i="1"/>
  <c r="Q23" i="1" s="1"/>
  <c r="P32" i="1"/>
  <c r="Q32" i="1" s="1"/>
  <c r="P666" i="1"/>
  <c r="Q666" i="1" s="1"/>
  <c r="P406" i="1"/>
  <c r="Q406" i="1" s="1"/>
  <c r="P562" i="1"/>
  <c r="Q562" i="1" s="1"/>
  <c r="P450" i="1"/>
  <c r="Q450" i="1" s="1"/>
  <c r="K23" i="5"/>
  <c r="J23" i="5"/>
  <c r="J20" i="5"/>
  <c r="K20" i="5"/>
  <c r="J11" i="5"/>
  <c r="K11" i="5"/>
  <c r="J4" i="5"/>
  <c r="K4" i="5"/>
  <c r="P390" i="1"/>
  <c r="Q390" i="1" s="1"/>
  <c r="K24" i="5"/>
  <c r="J24" i="5"/>
  <c r="P708" i="1"/>
  <c r="Q708" i="1" s="1"/>
  <c r="J17" i="5"/>
  <c r="K17" i="5"/>
  <c r="J9" i="5"/>
  <c r="K9" i="5"/>
  <c r="P422" i="1"/>
  <c r="Q422" i="1" s="1"/>
  <c r="J3" i="5"/>
  <c r="K3" i="5"/>
  <c r="J25" i="5"/>
  <c r="K25" i="5"/>
  <c r="P595" i="1"/>
  <c r="Q595" i="1" s="1"/>
  <c r="K12" i="5"/>
  <c r="J12" i="5"/>
  <c r="K18" i="5"/>
  <c r="J18" i="5"/>
  <c r="P438" i="1"/>
  <c r="Q438" i="1" s="1"/>
  <c r="P454" i="1"/>
  <c r="Q454" i="1" s="1"/>
  <c r="P515" i="1"/>
  <c r="Q515" i="1" s="1"/>
  <c r="J2" i="5"/>
  <c r="K2" i="5"/>
  <c r="P6" i="5"/>
  <c r="K7" i="5"/>
  <c r="J7" i="5"/>
  <c r="K22" i="5"/>
  <c r="J22" i="5"/>
  <c r="J21" i="5"/>
  <c r="K21" i="5"/>
  <c r="J5" i="5"/>
  <c r="K5" i="5"/>
  <c r="P586" i="1"/>
  <c r="Q586" i="1" s="1"/>
  <c r="J13" i="5"/>
  <c r="K13" i="5"/>
  <c r="J19" i="5"/>
  <c r="K19" i="5"/>
  <c r="K14" i="5"/>
  <c r="J14" i="5"/>
  <c r="P705" i="1"/>
  <c r="Q705" i="1" s="1"/>
  <c r="K6" i="5"/>
  <c r="J6" i="5"/>
  <c r="K8" i="5"/>
  <c r="J8" i="5"/>
  <c r="P649" i="1"/>
  <c r="Q649" i="1" s="1"/>
  <c r="P652" i="1"/>
  <c r="Q652" i="1" s="1"/>
  <c r="K15" i="5"/>
  <c r="J15" i="5"/>
  <c r="P570" i="1"/>
  <c r="Q570" i="1" s="1"/>
  <c r="J16" i="5"/>
  <c r="K16" i="5"/>
  <c r="K10" i="5"/>
  <c r="J10" i="5"/>
  <c r="Q20" i="1" l="1"/>
  <c r="X20" i="1"/>
  <c r="X15" i="1"/>
  <c r="P4" i="5"/>
  <c r="G7" i="5"/>
  <c r="Q28" i="1"/>
  <c r="X11" i="1" s="1"/>
  <c r="G24" i="5"/>
  <c r="G10" i="5"/>
  <c r="G9" i="5"/>
  <c r="G8" i="5"/>
  <c r="G20" i="5"/>
  <c r="G13" i="5"/>
  <c r="G25" i="5"/>
  <c r="G3" i="5"/>
  <c r="G23" i="5"/>
  <c r="G15" i="5"/>
  <c r="G18" i="5"/>
  <c r="G19" i="5"/>
  <c r="G2" i="5"/>
  <c r="G4" i="5"/>
  <c r="G6" i="5"/>
  <c r="G11" i="5"/>
  <c r="G5" i="5"/>
  <c r="G22" i="5"/>
  <c r="G21" i="5"/>
  <c r="G12" i="5"/>
  <c r="G16" i="5"/>
  <c r="E5" i="4"/>
  <c r="E9" i="4" s="1"/>
  <c r="G17" i="5"/>
  <c r="G14" i="5"/>
  <c r="P7" i="5"/>
  <c r="P5" i="5" l="1"/>
</calcChain>
</file>

<file path=xl/sharedStrings.xml><?xml version="1.0" encoding="utf-8"?>
<sst xmlns="http://schemas.openxmlformats.org/spreadsheetml/2006/main" count="280" uniqueCount="95">
  <si>
    <t>Month</t>
  </si>
  <si>
    <t>Year</t>
  </si>
  <si>
    <t>Jan</t>
  </si>
  <si>
    <t>Feb</t>
  </si>
  <si>
    <t>Mar</t>
  </si>
  <si>
    <t>Apr</t>
  </si>
  <si>
    <t>May</t>
  </si>
  <si>
    <t>Jun</t>
  </si>
  <si>
    <t>Jul</t>
  </si>
  <si>
    <t>Aug</t>
  </si>
  <si>
    <t>Sep</t>
  </si>
  <si>
    <t>Oct</t>
  </si>
  <si>
    <t>Nov</t>
  </si>
  <si>
    <t>Dec</t>
  </si>
  <si>
    <t>Month_key</t>
  </si>
  <si>
    <t>Date</t>
  </si>
  <si>
    <t>Rooms_Occupied</t>
  </si>
  <si>
    <t>Max_rooms</t>
  </si>
  <si>
    <t>Occupancy_rate</t>
  </si>
  <si>
    <t>Room_rate</t>
  </si>
  <si>
    <t>Total_Sales</t>
  </si>
  <si>
    <t>Daily_Rent</t>
  </si>
  <si>
    <t>Daily_Staff</t>
  </si>
  <si>
    <t>Daily_HK</t>
  </si>
  <si>
    <t>Daily_Electricity</t>
  </si>
  <si>
    <t>Total_Daily_Expense</t>
  </si>
  <si>
    <t>Profit</t>
  </si>
  <si>
    <t>Monthly_Rent</t>
  </si>
  <si>
    <t>Staff_Salary</t>
  </si>
  <si>
    <t>Housekeeping_Laundy</t>
  </si>
  <si>
    <t>Electicity_Bill</t>
  </si>
  <si>
    <t>Days_in_Month</t>
  </si>
  <si>
    <t>Month_Key</t>
  </si>
  <si>
    <t>OTA Commision</t>
  </si>
  <si>
    <t>Monthly_Maintenance</t>
  </si>
  <si>
    <t>Daily Maintenance</t>
  </si>
  <si>
    <t>Item</t>
  </si>
  <si>
    <t>Amount</t>
  </si>
  <si>
    <t>Total Operational Profit (modeled)</t>
  </si>
  <si>
    <t>Security Deposit Refund</t>
  </si>
  <si>
    <t>Other Savings</t>
  </si>
  <si>
    <t>Outstanding Liabilities</t>
  </si>
  <si>
    <t>Closing Cash</t>
  </si>
  <si>
    <t>Total_expense</t>
  </si>
  <si>
    <t>OTA_Commission</t>
  </si>
  <si>
    <t>Total_Profit</t>
  </si>
  <si>
    <t>Total_Expense</t>
  </si>
  <si>
    <t>Monthly_rooms_Occupied</t>
  </si>
  <si>
    <t>Max_Rooms</t>
  </si>
  <si>
    <t>ADR (Average Daily Rate)</t>
  </si>
  <si>
    <t>occupancy %</t>
  </si>
  <si>
    <t>Total_rooms_sold</t>
  </si>
  <si>
    <t>Monthly_RevPar</t>
  </si>
  <si>
    <t>Avg ADR</t>
  </si>
  <si>
    <t>Total Rooms Sold</t>
  </si>
  <si>
    <t>Average Occupancy</t>
  </si>
  <si>
    <t>Average RevPar</t>
  </si>
  <si>
    <t>Total Revenue</t>
  </si>
  <si>
    <t>Total Expense</t>
  </si>
  <si>
    <t>Net Profit</t>
  </si>
  <si>
    <t>OTA Commission</t>
  </si>
  <si>
    <t>Highest Revenue Month</t>
  </si>
  <si>
    <t>Lowest Revenue Month</t>
  </si>
  <si>
    <t xml:space="preserve">highest RevPar grwoth % </t>
  </si>
  <si>
    <t xml:space="preserve"> </t>
  </si>
  <si>
    <t>Row Labels</t>
  </si>
  <si>
    <t>January</t>
  </si>
  <si>
    <t>February</t>
  </si>
  <si>
    <t>March</t>
  </si>
  <si>
    <t>April</t>
  </si>
  <si>
    <t>June</t>
  </si>
  <si>
    <t>July</t>
  </si>
  <si>
    <t>August</t>
  </si>
  <si>
    <t>September</t>
  </si>
  <si>
    <t>October</t>
  </si>
  <si>
    <t>November</t>
  </si>
  <si>
    <t>December</t>
  </si>
  <si>
    <t>Grand Total</t>
  </si>
  <si>
    <t>(All)</t>
  </si>
  <si>
    <t>Sum of Total_Sales</t>
  </si>
  <si>
    <t>ADR</t>
  </si>
  <si>
    <t>RevPar</t>
  </si>
  <si>
    <t>Average of RevPar</t>
  </si>
  <si>
    <t>Sum of Total_Daily_Expense</t>
  </si>
  <si>
    <t>Average of ADR</t>
  </si>
  <si>
    <t>Sum of Rooms_Occupied</t>
  </si>
  <si>
    <t>Sum of Daily_Rent</t>
  </si>
  <si>
    <t>Sum of Profit</t>
  </si>
  <si>
    <t>CPOR</t>
  </si>
  <si>
    <t>Sum of Daily_Staff</t>
  </si>
  <si>
    <t>Sum of Daily_HK</t>
  </si>
  <si>
    <t>Sum of Daily_Electricity</t>
  </si>
  <si>
    <t>Sum of Daily Maintenance</t>
  </si>
  <si>
    <t>Sum of OTA Commision</t>
  </si>
  <si>
    <t>Average of Occupancy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</si>
</sst>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 #,##0_ ;_ &quot;₹&quot;\ * \-#,##0_ ;_ &quot;₹&quot;\ * &quot;-&quot;_ ;_ @_ "/>
    <numFmt numFmtId="44" formatCode="_ &quot;₹&quot;\ * #,##0.00_ ;_ &quot;₹&quot;\ * \-#,##0.00_ ;_ &quot;₹&quot;\ * &quot;-&quot;??_ ;_ @_ "/>
    <numFmt numFmtId="164" formatCode="mmm/yyyy"/>
    <numFmt numFmtId="165" formatCode="_ &quot;₹&quot;\ * #,##0_ ;_ &quot;₹&quot;\ * \-#,##0_ ;_ &quot;₹&quot;\ * &quot;-&quot;??_ ;_ @_ "/>
    <numFmt numFmtId="166" formatCode="_ [$₹-4009]\ * #,##0_ ;_ [$₹-4009]\ * \-#,##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6" tint="-0.249977111117893"/>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37">
    <xf numFmtId="0" fontId="0" fillId="0" borderId="0" xfId="0"/>
    <xf numFmtId="14" fontId="0" fillId="0" borderId="0" xfId="0" applyNumberFormat="1"/>
    <xf numFmtId="0" fontId="13" fillId="33" borderId="10" xfId="0" applyFont="1" applyFill="1" applyBorder="1"/>
    <xf numFmtId="0" fontId="0" fillId="34" borderId="10" xfId="0" applyFill="1" applyBorder="1"/>
    <xf numFmtId="0" fontId="0" fillId="0" borderId="10" xfId="0" applyBorder="1"/>
    <xf numFmtId="9" fontId="0" fillId="0" borderId="0" xfId="42" applyFont="1"/>
    <xf numFmtId="14" fontId="0" fillId="0" borderId="11" xfId="0" applyNumberFormat="1" applyBorder="1"/>
    <xf numFmtId="0" fontId="0" fillId="0" borderId="11" xfId="0" applyBorder="1"/>
    <xf numFmtId="9" fontId="0" fillId="0" borderId="11" xfId="42" applyFont="1" applyBorder="1"/>
    <xf numFmtId="0" fontId="13" fillId="33" borderId="0" xfId="0" applyFont="1" applyFill="1"/>
    <xf numFmtId="1" fontId="0" fillId="0" borderId="11" xfId="0" applyNumberFormat="1" applyBorder="1"/>
    <xf numFmtId="1" fontId="0" fillId="0" borderId="0" xfId="0" applyNumberFormat="1"/>
    <xf numFmtId="0" fontId="0" fillId="0" borderId="11" xfId="0" applyBorder="1" applyAlignment="1">
      <alignment vertical="center"/>
    </xf>
    <xf numFmtId="0" fontId="16" fillId="0" borderId="11" xfId="0" applyFont="1" applyBorder="1" applyAlignment="1">
      <alignment horizontal="center" vertical="center" wrapText="1"/>
    </xf>
    <xf numFmtId="1" fontId="0" fillId="0" borderId="11" xfId="0" applyNumberFormat="1" applyBorder="1" applyAlignment="1">
      <alignment vertical="center" wrapText="1"/>
    </xf>
    <xf numFmtId="0" fontId="0" fillId="0" borderId="11" xfId="0" applyBorder="1" applyAlignment="1">
      <alignment vertical="center" wrapText="1"/>
    </xf>
    <xf numFmtId="0" fontId="16" fillId="0" borderId="11" xfId="0" applyFont="1" applyBorder="1" applyAlignment="1">
      <alignment vertical="center" wrapText="1"/>
    </xf>
    <xf numFmtId="3" fontId="16" fillId="0" borderId="11" xfId="0" applyNumberFormat="1" applyFont="1" applyBorder="1" applyAlignment="1">
      <alignment vertical="center" wrapText="1"/>
    </xf>
    <xf numFmtId="1" fontId="0" fillId="0" borderId="12" xfId="0" applyNumberFormat="1" applyBorder="1"/>
    <xf numFmtId="1" fontId="0" fillId="0" borderId="13" xfId="0" applyNumberFormat="1" applyBorder="1"/>
    <xf numFmtId="164" fontId="0" fillId="0" borderId="11" xfId="0" applyNumberFormat="1" applyBorder="1"/>
    <xf numFmtId="164" fontId="0" fillId="34" borderId="0" xfId="0" applyNumberFormat="1" applyFill="1"/>
    <xf numFmtId="164" fontId="0" fillId="0" borderId="0" xfId="0" applyNumberFormat="1"/>
    <xf numFmtId="10" fontId="0" fillId="0" borderId="0" xfId="0" applyNumberFormat="1"/>
    <xf numFmtId="164" fontId="0" fillId="0" borderId="14" xfId="0" applyNumberFormat="1" applyBorder="1"/>
    <xf numFmtId="1" fontId="0" fillId="0" borderId="14" xfId="0" applyNumberFormat="1" applyBorder="1"/>
    <xf numFmtId="0" fontId="0" fillId="0" borderId="14" xfId="0" applyBorder="1"/>
    <xf numFmtId="9" fontId="0" fillId="0" borderId="14" xfId="0" applyNumberFormat="1" applyBorder="1"/>
    <xf numFmtId="165" fontId="0" fillId="0" borderId="11" xfId="0" applyNumberFormat="1" applyBorder="1"/>
    <xf numFmtId="0" fontId="0" fillId="0" borderId="0" xfId="0" pivotButton="1"/>
    <xf numFmtId="0" fontId="0" fillId="0" borderId="0" xfId="0" applyAlignment="1">
      <alignment horizontal="left"/>
    </xf>
    <xf numFmtId="9" fontId="0" fillId="0" borderId="0" xfId="0" applyNumberFormat="1"/>
    <xf numFmtId="42" fontId="0" fillId="0" borderId="0" xfId="0" applyNumberFormat="1"/>
    <xf numFmtId="166" fontId="0" fillId="0" borderId="0" xfId="0" applyNumberFormat="1"/>
    <xf numFmtId="165" fontId="0" fillId="0" borderId="0" xfId="43" applyNumberFormat="1" applyFont="1"/>
    <xf numFmtId="0" fontId="19" fillId="35" borderId="0" xfId="0" applyFont="1" applyFill="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7">
    <dxf>
      <numFmt numFmtId="1" formatCode="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3" formatCode="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 formatCode="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 formatCode="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 formatCode="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64" formatCode="mmm/yyyy"/>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164" formatCode="mmm/yyyy"/>
      <border diagonalUp="0" diagonalDown="0">
        <left style="hair">
          <color indexed="64"/>
        </left>
        <right style="hair">
          <color indexed="64"/>
        </right>
        <top style="hair">
          <color indexed="64"/>
        </top>
        <bottom style="hair">
          <color indexed="64"/>
        </bottom>
        <vertical/>
        <horizontal/>
      </border>
    </dxf>
    <dxf>
      <numFmt numFmtId="164" formatCode="mmm/yyyy"/>
      <border diagonalUp="0" diagonalDown="0">
        <left style="hair">
          <color indexed="64"/>
        </left>
        <right style="hair">
          <color indexed="64"/>
        </right>
        <top style="hair">
          <color indexed="64"/>
        </top>
        <bottom style="hair">
          <color indexed="64"/>
        </bottom>
        <vertical/>
        <horizontal/>
      </border>
    </dxf>
    <dxf>
      <numFmt numFmtId="164" formatCode="mmm/yyyy"/>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dxf>
    <dxf>
      <font>
        <b val="0"/>
        <i val="0"/>
        <strike val="0"/>
        <condense val="0"/>
        <extend val="0"/>
        <outline val="0"/>
        <shadow val="0"/>
        <u val="none"/>
        <vertAlign val="baseline"/>
        <sz val="11"/>
        <color theme="1"/>
        <name val="Calibri"/>
        <family val="2"/>
        <scheme val="minor"/>
      </font>
      <numFmt numFmtId="164" formatCode="mmm/yyyy"/>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1" formatCode="0"/>
      <border diagonalUp="0" diagonalDown="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border>
    </dxf>
    <dxf>
      <numFmt numFmtId="1" formatCode="0"/>
      <border diagonalUp="0" diagonalDown="0">
        <left style="thin">
          <color indexed="64"/>
        </left>
        <right style="thin">
          <color indexed="64"/>
        </right>
        <top style="thin">
          <color indexed="64"/>
        </top>
        <bottom style="thin">
          <color indexed="64"/>
        </bottom>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border>
    </dxf>
    <dxf>
      <numFmt numFmtId="1" formatCode="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numFmt numFmtId="1" formatCode="0"/>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4" formatCode="mmm/yyyy"/>
      <border diagonalUp="0" diagonalDown="0">
        <left style="thin">
          <color indexed="64"/>
        </left>
        <right style="thin">
          <color indexed="64"/>
        </right>
        <top style="thin">
          <color indexed="64"/>
        </top>
        <bottom style="thin">
          <color indexed="64"/>
        </bottom>
        <vertical/>
        <horizontal/>
      </border>
    </dxf>
    <dxf>
      <numFmt numFmtId="164" formatCode="mmm/yyyy"/>
      <border diagonalUp="0" diagonalDown="0">
        <left style="thin">
          <color indexed="64"/>
        </left>
        <right style="thin">
          <color indexed="64"/>
        </right>
        <top style="thin">
          <color indexed="64"/>
        </top>
        <bottom style="thin">
          <color indexed="64"/>
        </bottom>
        <vertical/>
        <horizontal/>
      </border>
    </dxf>
    <dxf>
      <numFmt numFmtId="164" formatCode="mmm/yyyy"/>
      <border diagonalUp="0" diagonalDown="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EE2326"/>
      <color rgb="FF333333"/>
      <color rgb="FFE8E8E8"/>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Analysis.xlsx]Pivots!PivotTable7</c:name>
    <c:fmtId val="15"/>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Revenue</a:t>
            </a:r>
            <a:r>
              <a:rPr lang="en-US" sz="1500" b="1" baseline="0">
                <a:solidFill>
                  <a:schemeClr val="tx1"/>
                </a:solidFill>
              </a:rPr>
              <a:t> by Month</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EE23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3297931711246"/>
          <c:y val="0.16435443171643352"/>
          <c:w val="0.86618009399618656"/>
          <c:h val="0.57259637490017667"/>
        </c:manualLayout>
      </c:layout>
      <c:lineChart>
        <c:grouping val="standard"/>
        <c:varyColors val="0"/>
        <c:ser>
          <c:idx val="0"/>
          <c:order val="0"/>
          <c:tx>
            <c:strRef>
              <c:f>Pivots!$B$3</c:f>
              <c:strCache>
                <c:ptCount val="1"/>
                <c:pt idx="0">
                  <c:v>Total</c:v>
                </c:pt>
              </c:strCache>
            </c:strRef>
          </c:tx>
          <c:spPr>
            <a:ln w="31750" cap="rnd">
              <a:solidFill>
                <a:srgbClr val="EE2326"/>
              </a:solidFill>
              <a:round/>
            </a:ln>
            <a:effectLst/>
          </c:spPr>
          <c:marker>
            <c:symbol val="none"/>
          </c:marker>
          <c:cat>
            <c:strRef>
              <c:f>Pivots!$A$4:$A$16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Pivots!$B$4:$B$16</c:f>
              <c:numCache>
                <c:formatCode>General</c:formatCode>
                <c:ptCount val="12"/>
                <c:pt idx="0">
                  <c:v>1072821</c:v>
                </c:pt>
                <c:pt idx="1">
                  <c:v>901743</c:v>
                </c:pt>
                <c:pt idx="2">
                  <c:v>1001401</c:v>
                </c:pt>
                <c:pt idx="3">
                  <c:v>991871</c:v>
                </c:pt>
                <c:pt idx="4">
                  <c:v>1028459</c:v>
                </c:pt>
                <c:pt idx="5">
                  <c:v>1016595</c:v>
                </c:pt>
                <c:pt idx="6">
                  <c:v>1017551</c:v>
                </c:pt>
                <c:pt idx="7">
                  <c:v>1011035</c:v>
                </c:pt>
                <c:pt idx="8">
                  <c:v>991556</c:v>
                </c:pt>
                <c:pt idx="9">
                  <c:v>1010560</c:v>
                </c:pt>
                <c:pt idx="10">
                  <c:v>1006190</c:v>
                </c:pt>
                <c:pt idx="11">
                  <c:v>986315</c:v>
                </c:pt>
              </c:numCache>
            </c:numRef>
          </c:val>
          <c:smooth val="1"/>
          <c:extLst>
            <c:ext xmlns:c16="http://schemas.microsoft.com/office/drawing/2014/chart" uri="{C3380CC4-5D6E-409C-BE32-E72D297353CC}">
              <c16:uniqueId val="{00000000-7EF6-4B14-B465-F0D9204292A1}"/>
            </c:ext>
          </c:extLst>
        </c:ser>
        <c:dLbls>
          <c:showLegendKey val="0"/>
          <c:showVal val="0"/>
          <c:showCatName val="0"/>
          <c:showSerName val="0"/>
          <c:showPercent val="0"/>
          <c:showBubbleSize val="0"/>
        </c:dLbls>
        <c:smooth val="0"/>
        <c:axId val="2056675295"/>
        <c:axId val="2056678175"/>
      </c:lineChart>
      <c:catAx>
        <c:axId val="205667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056678175"/>
        <c:crosses val="autoZero"/>
        <c:auto val="1"/>
        <c:lblAlgn val="ctr"/>
        <c:lblOffset val="100"/>
        <c:noMultiLvlLbl val="0"/>
      </c:catAx>
      <c:valAx>
        <c:axId val="2056678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205667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no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Analysis.xlsx]Pivots!PivotTable13</c:name>
    <c:fmtId val="26"/>
  </c:pivotSource>
  <c:chart>
    <c:title>
      <c:tx>
        <c:rich>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r>
              <a:rPr lang="en-US" sz="1500" b="1"/>
              <a:t>Profit by Month</a:t>
            </a:r>
          </a:p>
        </c:rich>
      </c:tx>
      <c:overlay val="0"/>
      <c:spPr>
        <a:noFill/>
        <a:ln>
          <a:noFill/>
        </a:ln>
        <a:effectLst/>
      </c:spPr>
      <c:txPr>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EE23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8545855549513"/>
          <c:y val="0.14759070999421409"/>
          <c:w val="0.86113255338050809"/>
          <c:h val="0.56837816492246229"/>
        </c:manualLayout>
      </c:layout>
      <c:lineChart>
        <c:grouping val="standard"/>
        <c:varyColors val="0"/>
        <c:ser>
          <c:idx val="0"/>
          <c:order val="0"/>
          <c:tx>
            <c:strRef>
              <c:f>Pivots!$B$116</c:f>
              <c:strCache>
                <c:ptCount val="1"/>
                <c:pt idx="0">
                  <c:v>Total</c:v>
                </c:pt>
              </c:strCache>
            </c:strRef>
          </c:tx>
          <c:spPr>
            <a:ln w="31750" cap="rnd">
              <a:solidFill>
                <a:srgbClr val="EE2326"/>
              </a:solidFill>
              <a:round/>
            </a:ln>
            <a:effectLst/>
          </c:spPr>
          <c:marker>
            <c:symbol val="none"/>
          </c:marker>
          <c:cat>
            <c:strRef>
              <c:f>Pivots!$A$117:$A$129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Pivots!$B$117:$B$129</c:f>
              <c:numCache>
                <c:formatCode>0</c:formatCode>
                <c:ptCount val="12"/>
                <c:pt idx="0">
                  <c:v>129808.37999999999</c:v>
                </c:pt>
                <c:pt idx="1">
                  <c:v>2860.5400000000154</c:v>
                </c:pt>
                <c:pt idx="2">
                  <c:v>79260.780000000013</c:v>
                </c:pt>
                <c:pt idx="3">
                  <c:v>12449.379999999937</c:v>
                </c:pt>
                <c:pt idx="4">
                  <c:v>35908.020000000011</c:v>
                </c:pt>
                <c:pt idx="5">
                  <c:v>36031.099999999948</c:v>
                </c:pt>
                <c:pt idx="6">
                  <c:v>30344.779999999988</c:v>
                </c:pt>
                <c:pt idx="7">
                  <c:v>26617.299999999967</c:v>
                </c:pt>
                <c:pt idx="8">
                  <c:v>9926.6799999999512</c:v>
                </c:pt>
                <c:pt idx="9">
                  <c:v>26499.799999999985</c:v>
                </c:pt>
                <c:pt idx="10">
                  <c:v>22415.19999999991</c:v>
                </c:pt>
                <c:pt idx="11">
                  <c:v>8699.6999999999771</c:v>
                </c:pt>
              </c:numCache>
            </c:numRef>
          </c:val>
          <c:smooth val="1"/>
          <c:extLst>
            <c:ext xmlns:c16="http://schemas.microsoft.com/office/drawing/2014/chart" uri="{C3380CC4-5D6E-409C-BE32-E72D297353CC}">
              <c16:uniqueId val="{00000000-85C6-4B90-B4F0-9C4B19448B11}"/>
            </c:ext>
          </c:extLst>
        </c:ser>
        <c:dLbls>
          <c:showLegendKey val="0"/>
          <c:showVal val="0"/>
          <c:showCatName val="0"/>
          <c:showSerName val="0"/>
          <c:showPercent val="0"/>
          <c:showBubbleSize val="0"/>
        </c:dLbls>
        <c:smooth val="0"/>
        <c:axId val="225304511"/>
        <c:axId val="225303071"/>
      </c:lineChart>
      <c:catAx>
        <c:axId val="22530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25303071"/>
        <c:crosses val="autoZero"/>
        <c:auto val="1"/>
        <c:lblAlgn val="ctr"/>
        <c:lblOffset val="100"/>
        <c:noMultiLvlLbl val="0"/>
      </c:catAx>
      <c:valAx>
        <c:axId val="2253030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25304511"/>
        <c:crosses val="autoZero"/>
        <c:crossBetween val="between"/>
      </c:val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Analysis.xlsx]Pivots!PivotTable11</c:name>
    <c:fmtId val="21"/>
  </c:pivotSource>
  <c:chart>
    <c:title>
      <c:tx>
        <c:rich>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r>
              <a:rPr lang="en-IN" sz="1500" b="1"/>
              <a:t>ADR vs Occupancy %</a:t>
            </a:r>
          </a:p>
        </c:rich>
      </c:tx>
      <c:overlay val="0"/>
      <c:spPr>
        <a:noFill/>
        <a:ln>
          <a:noFill/>
        </a:ln>
        <a:effectLst/>
      </c:spPr>
      <c:txPr>
        <a:bodyPr rot="0" spcFirstLastPara="1" vertOverflow="ellipsis" vert="horz" wrap="square" anchor="ctr" anchorCtr="1"/>
        <a:lstStyle/>
        <a:p>
          <a:pPr>
            <a:defRPr lang="en-US"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EE23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093588934819"/>
          <c:y val="0.27611257653122956"/>
          <c:w val="0.80528109686469396"/>
          <c:h val="0.44340615945775308"/>
        </c:manualLayout>
      </c:layout>
      <c:lineChart>
        <c:grouping val="stacked"/>
        <c:varyColors val="0"/>
        <c:ser>
          <c:idx val="0"/>
          <c:order val="0"/>
          <c:tx>
            <c:strRef>
              <c:f>Pivots!$B$76</c:f>
              <c:strCache>
                <c:ptCount val="1"/>
                <c:pt idx="0">
                  <c:v>Average of ADR</c:v>
                </c:pt>
              </c:strCache>
            </c:strRef>
          </c:tx>
          <c:spPr>
            <a:ln w="28575" cap="rnd">
              <a:solidFill>
                <a:schemeClr val="tx1"/>
              </a:solidFill>
              <a:round/>
            </a:ln>
            <a:effectLst/>
          </c:spPr>
          <c:marker>
            <c:symbol val="none"/>
          </c:marker>
          <c:cat>
            <c:strRef>
              <c:f>Pivots!$A$77:$A$88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Pivots!$B$77:$B$88</c:f>
              <c:numCache>
                <c:formatCode>0</c:formatCode>
                <c:ptCount val="12"/>
                <c:pt idx="0">
                  <c:v>1574.8225806451612</c:v>
                </c:pt>
                <c:pt idx="1">
                  <c:v>1460.1754385964912</c:v>
                </c:pt>
                <c:pt idx="2">
                  <c:v>1476.6612903225807</c:v>
                </c:pt>
                <c:pt idx="3">
                  <c:v>1520.8833333333334</c:v>
                </c:pt>
                <c:pt idx="4">
                  <c:v>1488.0967741935483</c:v>
                </c:pt>
                <c:pt idx="5">
                  <c:v>1524.7666666666667</c:v>
                </c:pt>
                <c:pt idx="6">
                  <c:v>1529.4032258064517</c:v>
                </c:pt>
                <c:pt idx="7">
                  <c:v>1507.6774193548388</c:v>
                </c:pt>
                <c:pt idx="8">
                  <c:v>1507.4333333333334</c:v>
                </c:pt>
                <c:pt idx="9">
                  <c:v>1523.983870967742</c:v>
                </c:pt>
                <c:pt idx="10">
                  <c:v>1476.7</c:v>
                </c:pt>
                <c:pt idx="11">
                  <c:v>1486.1774193548388</c:v>
                </c:pt>
              </c:numCache>
            </c:numRef>
          </c:val>
          <c:smooth val="1"/>
          <c:extLst>
            <c:ext xmlns:c16="http://schemas.microsoft.com/office/drawing/2014/chart" uri="{C3380CC4-5D6E-409C-BE32-E72D297353CC}">
              <c16:uniqueId val="{00000000-6707-48EF-A32F-0DCDE2DF67AB}"/>
            </c:ext>
          </c:extLst>
        </c:ser>
        <c:dLbls>
          <c:showLegendKey val="0"/>
          <c:showVal val="0"/>
          <c:showCatName val="0"/>
          <c:showSerName val="0"/>
          <c:showPercent val="0"/>
          <c:showBubbleSize val="0"/>
        </c:dLbls>
        <c:marker val="1"/>
        <c:smooth val="0"/>
        <c:axId val="2056669055"/>
        <c:axId val="2056688735"/>
      </c:lineChart>
      <c:lineChart>
        <c:grouping val="stacked"/>
        <c:varyColors val="0"/>
        <c:ser>
          <c:idx val="1"/>
          <c:order val="1"/>
          <c:tx>
            <c:strRef>
              <c:f>Pivots!$C$76</c:f>
              <c:strCache>
                <c:ptCount val="1"/>
                <c:pt idx="0">
                  <c:v>Average of Occupancy %</c:v>
                </c:pt>
              </c:strCache>
            </c:strRef>
          </c:tx>
          <c:spPr>
            <a:ln w="28575" cap="rnd">
              <a:solidFill>
                <a:srgbClr val="EE2326"/>
              </a:solidFill>
              <a:round/>
            </a:ln>
            <a:effectLst/>
          </c:spPr>
          <c:marker>
            <c:symbol val="none"/>
          </c:marker>
          <c:cat>
            <c:strRef>
              <c:f>Pivots!$A$77:$A$88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Pivots!$C$77:$C$88</c:f>
              <c:numCache>
                <c:formatCode>0%</c:formatCode>
                <c:ptCount val="12"/>
                <c:pt idx="0">
                  <c:v>0.77995391705069117</c:v>
                </c:pt>
                <c:pt idx="1">
                  <c:v>0.77318295739348364</c:v>
                </c:pt>
                <c:pt idx="2">
                  <c:v>0.77995391705069128</c:v>
                </c:pt>
                <c:pt idx="3">
                  <c:v>0.77619047619047643</c:v>
                </c:pt>
                <c:pt idx="4">
                  <c:v>0.79493087557603703</c:v>
                </c:pt>
                <c:pt idx="5">
                  <c:v>0.78809523809523807</c:v>
                </c:pt>
                <c:pt idx="6">
                  <c:v>0.76497695852534542</c:v>
                </c:pt>
                <c:pt idx="7">
                  <c:v>0.77188940092165914</c:v>
                </c:pt>
                <c:pt idx="8">
                  <c:v>0.78809523809523818</c:v>
                </c:pt>
                <c:pt idx="9">
                  <c:v>0.76152073732718895</c:v>
                </c:pt>
                <c:pt idx="10">
                  <c:v>0.80595238095238109</c:v>
                </c:pt>
                <c:pt idx="11">
                  <c:v>0.76612903225806472</c:v>
                </c:pt>
              </c:numCache>
            </c:numRef>
          </c:val>
          <c:smooth val="1"/>
          <c:extLst>
            <c:ext xmlns:c16="http://schemas.microsoft.com/office/drawing/2014/chart" uri="{C3380CC4-5D6E-409C-BE32-E72D297353CC}">
              <c16:uniqueId val="{00000001-6707-48EF-A32F-0DCDE2DF67AB}"/>
            </c:ext>
          </c:extLst>
        </c:ser>
        <c:dLbls>
          <c:showLegendKey val="0"/>
          <c:showVal val="0"/>
          <c:showCatName val="0"/>
          <c:showSerName val="0"/>
          <c:showPercent val="0"/>
          <c:showBubbleSize val="0"/>
        </c:dLbls>
        <c:marker val="1"/>
        <c:smooth val="0"/>
        <c:axId val="2056643135"/>
        <c:axId val="2056658495"/>
      </c:lineChart>
      <c:catAx>
        <c:axId val="205666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056688735"/>
        <c:crosses val="autoZero"/>
        <c:auto val="1"/>
        <c:lblAlgn val="ctr"/>
        <c:lblOffset val="100"/>
        <c:noMultiLvlLbl val="0"/>
      </c:catAx>
      <c:valAx>
        <c:axId val="20566887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6669055"/>
        <c:crosses val="autoZero"/>
        <c:crossBetween val="between"/>
      </c:valAx>
      <c:valAx>
        <c:axId val="20566584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56643135"/>
        <c:crosses val="max"/>
        <c:crossBetween val="between"/>
      </c:valAx>
      <c:catAx>
        <c:axId val="2056643135"/>
        <c:scaling>
          <c:orientation val="minMax"/>
        </c:scaling>
        <c:delete val="1"/>
        <c:axPos val="b"/>
        <c:numFmt formatCode="General" sourceLinked="1"/>
        <c:majorTickMark val="out"/>
        <c:minorTickMark val="none"/>
        <c:tickLblPos val="nextTo"/>
        <c:crossAx val="2056658495"/>
        <c:crosses val="autoZero"/>
        <c:auto val="1"/>
        <c:lblAlgn val="ctr"/>
        <c:lblOffset val="100"/>
        <c:noMultiLvlLbl val="0"/>
      </c:catAx>
      <c:spPr>
        <a:solidFill>
          <a:schemeClr val="accent3">
            <a:lumMod val="40000"/>
            <a:lumOff val="6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Analysis.xlsx]Pivots!PivotTable8</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a:t>
            </a:r>
            <a:r>
              <a:rPr lang="en-US" b="1" baseline="0">
                <a:solidFill>
                  <a:schemeClr val="tx1"/>
                </a:solidFill>
              </a:rPr>
              <a:t> RevPar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2326"/>
          </a:solidFill>
          <a:ln>
            <a:solidFill>
              <a:srgbClr val="EE2326">
                <a:alpha val="7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02303229424333E-2"/>
          <c:y val="0.15696431439238112"/>
          <c:w val="0.87554746318258003"/>
          <c:h val="0.59116230670570868"/>
        </c:manualLayout>
      </c:layout>
      <c:barChart>
        <c:barDir val="col"/>
        <c:grouping val="clustered"/>
        <c:varyColors val="0"/>
        <c:ser>
          <c:idx val="0"/>
          <c:order val="0"/>
          <c:tx>
            <c:strRef>
              <c:f>Pivots!$B$22</c:f>
              <c:strCache>
                <c:ptCount val="1"/>
                <c:pt idx="0">
                  <c:v>Total</c:v>
                </c:pt>
              </c:strCache>
            </c:strRef>
          </c:tx>
          <c:spPr>
            <a:solidFill>
              <a:srgbClr val="EE2326"/>
            </a:solidFill>
            <a:ln>
              <a:solidFill>
                <a:srgbClr val="EE2326">
                  <a:alpha val="79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Pivots!$B$23:$B$34</c:f>
              <c:numCache>
                <c:formatCode>0</c:formatCode>
                <c:ptCount val="12"/>
                <c:pt idx="0">
                  <c:v>1235.9688940092165</c:v>
                </c:pt>
                <c:pt idx="1">
                  <c:v>1130.003759398496</c:v>
                </c:pt>
                <c:pt idx="2">
                  <c:v>1153.6877880184334</c:v>
                </c:pt>
                <c:pt idx="3">
                  <c:v>1180.7988095238097</c:v>
                </c:pt>
                <c:pt idx="4">
                  <c:v>1184.8605990783408</c:v>
                </c:pt>
                <c:pt idx="5">
                  <c:v>1210.2321428571429</c:v>
                </c:pt>
                <c:pt idx="6">
                  <c:v>1172.2937788018435</c:v>
                </c:pt>
                <c:pt idx="7">
                  <c:v>1164.7868663594472</c:v>
                </c:pt>
                <c:pt idx="8">
                  <c:v>1180.4238095238093</c:v>
                </c:pt>
                <c:pt idx="9">
                  <c:v>1164.2396313364059</c:v>
                </c:pt>
                <c:pt idx="10">
                  <c:v>1197.8452380952383</c:v>
                </c:pt>
                <c:pt idx="11">
                  <c:v>1136.3076036866362</c:v>
                </c:pt>
              </c:numCache>
            </c:numRef>
          </c:val>
          <c:extLst>
            <c:ext xmlns:c16="http://schemas.microsoft.com/office/drawing/2014/chart" uri="{C3380CC4-5D6E-409C-BE32-E72D297353CC}">
              <c16:uniqueId val="{00000000-D78D-43E6-B0FA-4258772343A5}"/>
            </c:ext>
          </c:extLst>
        </c:ser>
        <c:dLbls>
          <c:dLblPos val="outEnd"/>
          <c:showLegendKey val="0"/>
          <c:showVal val="1"/>
          <c:showCatName val="0"/>
          <c:showSerName val="0"/>
          <c:showPercent val="0"/>
          <c:showBubbleSize val="0"/>
        </c:dLbls>
        <c:gapWidth val="219"/>
        <c:overlap val="-27"/>
        <c:axId val="2056699775"/>
        <c:axId val="2056692575"/>
      </c:barChart>
      <c:catAx>
        <c:axId val="20566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56692575"/>
        <c:crosses val="autoZero"/>
        <c:auto val="1"/>
        <c:lblAlgn val="ctr"/>
        <c:lblOffset val="100"/>
        <c:noMultiLvlLbl val="0"/>
      </c:catAx>
      <c:valAx>
        <c:axId val="2056692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669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Analysis.xlsx]Pivots!PivotTable10</c:name>
    <c:fmtId val="33"/>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Expense</a:t>
            </a:r>
            <a:r>
              <a:rPr lang="en-US" sz="1500" b="1" baseline="0">
                <a:solidFill>
                  <a:schemeClr val="tx1"/>
                </a:solidFill>
              </a:rPr>
              <a:t> by Month</a:t>
            </a:r>
            <a:endParaRPr lang="en-US" sz="15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2326"/>
          </a:solidFill>
          <a:ln>
            <a:solidFill>
              <a:srgbClr val="EE232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Pivots!$B$57</c:f>
              <c:strCache>
                <c:ptCount val="1"/>
                <c:pt idx="0">
                  <c:v>Total</c:v>
                </c:pt>
              </c:strCache>
            </c:strRef>
          </c:tx>
          <c:spPr>
            <a:solidFill>
              <a:srgbClr val="EE2326"/>
            </a:solidFill>
            <a:ln>
              <a:solidFill>
                <a:srgbClr val="EE2326"/>
              </a:solidFill>
            </a:ln>
            <a:effectLst/>
          </c:spPr>
          <c:invertIfNegative val="0"/>
          <c:cat>
            <c:strRef>
              <c:f>Pivots!$A$58:$A$70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Pivots!$B$58:$B$70</c:f>
              <c:numCache>
                <c:formatCode>0</c:formatCode>
                <c:ptCount val="12"/>
                <c:pt idx="0">
                  <c:v>943012.61999999988</c:v>
                </c:pt>
                <c:pt idx="1">
                  <c:v>898882.46000000008</c:v>
                </c:pt>
                <c:pt idx="2">
                  <c:v>922140.22</c:v>
                </c:pt>
                <c:pt idx="3">
                  <c:v>979421.62000000011</c:v>
                </c:pt>
                <c:pt idx="4">
                  <c:v>992550.98</c:v>
                </c:pt>
                <c:pt idx="5">
                  <c:v>980563.89999999991</c:v>
                </c:pt>
                <c:pt idx="6">
                  <c:v>987206.22</c:v>
                </c:pt>
                <c:pt idx="7">
                  <c:v>984417.70000000019</c:v>
                </c:pt>
                <c:pt idx="8">
                  <c:v>981629.32000000007</c:v>
                </c:pt>
                <c:pt idx="9">
                  <c:v>984060.2</c:v>
                </c:pt>
                <c:pt idx="10">
                  <c:v>983774.79999999993</c:v>
                </c:pt>
                <c:pt idx="11">
                  <c:v>977615.30000000016</c:v>
                </c:pt>
              </c:numCache>
            </c:numRef>
          </c:val>
          <c:extLst>
            <c:ext xmlns:c16="http://schemas.microsoft.com/office/drawing/2014/chart" uri="{C3380CC4-5D6E-409C-BE32-E72D297353CC}">
              <c16:uniqueId val="{00000000-165F-4E45-A43A-60F436494930}"/>
            </c:ext>
          </c:extLst>
        </c:ser>
        <c:dLbls>
          <c:showLegendKey val="0"/>
          <c:showVal val="0"/>
          <c:showCatName val="0"/>
          <c:showSerName val="0"/>
          <c:showPercent val="0"/>
          <c:showBubbleSize val="0"/>
        </c:dLbls>
        <c:gapWidth val="219"/>
        <c:axId val="235235375"/>
        <c:axId val="235233455"/>
      </c:barChart>
      <c:catAx>
        <c:axId val="23523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35233455"/>
        <c:crosses val="autoZero"/>
        <c:auto val="1"/>
        <c:lblAlgn val="ctr"/>
        <c:lblOffset val="100"/>
        <c:noMultiLvlLbl val="0"/>
      </c:catAx>
      <c:valAx>
        <c:axId val="23523345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523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Analysis.xlsx]Pivots!PivotTable12</c:name>
    <c:fmtId val="23"/>
  </c:pivotSource>
  <c:chart>
    <c:title>
      <c:tx>
        <c:rich>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r>
              <a:rPr lang="en-US" sz="1500" b="1">
                <a:solidFill>
                  <a:schemeClr val="tx1"/>
                </a:solidFill>
              </a:rPr>
              <a:t>Rooms by Month</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2326"/>
          </a:solidFill>
          <a:ln>
            <a:solidFill>
              <a:srgbClr val="EE232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Pivots!$B$97</c:f>
              <c:strCache>
                <c:ptCount val="1"/>
                <c:pt idx="0">
                  <c:v>Total</c:v>
                </c:pt>
              </c:strCache>
            </c:strRef>
          </c:tx>
          <c:spPr>
            <a:solidFill>
              <a:srgbClr val="EE2326"/>
            </a:solidFill>
            <a:ln>
              <a:solidFill>
                <a:srgbClr val="EE2326"/>
              </a:solidFill>
            </a:ln>
            <a:effectLst/>
          </c:spPr>
          <c:invertIfNegative val="0"/>
          <c:cat>
            <c:strRef>
              <c:f>Pivots!$A$98:$A$110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Pivots!$B$98:$B$110</c:f>
              <c:numCache>
                <c:formatCode>General</c:formatCode>
                <c:ptCount val="12"/>
                <c:pt idx="0">
                  <c:v>677</c:v>
                </c:pt>
                <c:pt idx="1">
                  <c:v>617</c:v>
                </c:pt>
                <c:pt idx="2">
                  <c:v>677</c:v>
                </c:pt>
                <c:pt idx="3">
                  <c:v>652</c:v>
                </c:pt>
                <c:pt idx="4">
                  <c:v>690</c:v>
                </c:pt>
                <c:pt idx="5">
                  <c:v>662</c:v>
                </c:pt>
                <c:pt idx="6">
                  <c:v>664</c:v>
                </c:pt>
                <c:pt idx="7">
                  <c:v>670</c:v>
                </c:pt>
                <c:pt idx="8">
                  <c:v>662</c:v>
                </c:pt>
                <c:pt idx="9">
                  <c:v>661</c:v>
                </c:pt>
                <c:pt idx="10">
                  <c:v>677</c:v>
                </c:pt>
                <c:pt idx="11">
                  <c:v>665</c:v>
                </c:pt>
              </c:numCache>
            </c:numRef>
          </c:val>
          <c:extLst>
            <c:ext xmlns:c16="http://schemas.microsoft.com/office/drawing/2014/chart" uri="{C3380CC4-5D6E-409C-BE32-E72D297353CC}">
              <c16:uniqueId val="{00000000-9251-40B8-8F74-B93A60B2D3F5}"/>
            </c:ext>
          </c:extLst>
        </c:ser>
        <c:dLbls>
          <c:showLegendKey val="0"/>
          <c:showVal val="0"/>
          <c:showCatName val="0"/>
          <c:showSerName val="0"/>
          <c:showPercent val="0"/>
          <c:showBubbleSize val="0"/>
        </c:dLbls>
        <c:gapWidth val="219"/>
        <c:axId val="225308831"/>
        <c:axId val="225318431"/>
      </c:barChart>
      <c:catAx>
        <c:axId val="22530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25318431"/>
        <c:crosses val="autoZero"/>
        <c:auto val="1"/>
        <c:lblAlgn val="ctr"/>
        <c:lblOffset val="100"/>
        <c:noMultiLvlLbl val="0"/>
      </c:catAx>
      <c:valAx>
        <c:axId val="225318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530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Pivots!$B$3</c:f>
              <c:strCache>
                <c:ptCount val="1"/>
                <c:pt idx="0">
                  <c:v>Total</c:v>
                </c:pt>
              </c:strCache>
            </c:strRef>
          </c:tx>
          <c:spPr>
            <a:ln w="28575" cap="rnd">
              <a:solidFill>
                <a:schemeClr val="accent1"/>
              </a:solidFill>
              <a:round/>
            </a:ln>
            <a:effectLst/>
          </c:spPr>
          <c:marker>
            <c:symbol val="none"/>
          </c:marker>
          <c:cat>
            <c:strRef>
              <c:f>Pivots!$A$4:$A$16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Pivots!$B$4:$B$16</c:f>
              <c:numCache>
                <c:formatCode>General</c:formatCode>
                <c:ptCount val="12"/>
                <c:pt idx="0">
                  <c:v>1072821</c:v>
                </c:pt>
                <c:pt idx="1">
                  <c:v>901743</c:v>
                </c:pt>
                <c:pt idx="2">
                  <c:v>1001401</c:v>
                </c:pt>
                <c:pt idx="3">
                  <c:v>991871</c:v>
                </c:pt>
                <c:pt idx="4">
                  <c:v>1028459</c:v>
                </c:pt>
                <c:pt idx="5">
                  <c:v>1016595</c:v>
                </c:pt>
                <c:pt idx="6">
                  <c:v>1017551</c:v>
                </c:pt>
                <c:pt idx="7">
                  <c:v>1011035</c:v>
                </c:pt>
                <c:pt idx="8">
                  <c:v>991556</c:v>
                </c:pt>
                <c:pt idx="9">
                  <c:v>1010560</c:v>
                </c:pt>
                <c:pt idx="10">
                  <c:v>1006190</c:v>
                </c:pt>
                <c:pt idx="11">
                  <c:v>986315</c:v>
                </c:pt>
              </c:numCache>
            </c:numRef>
          </c:val>
          <c:smooth val="0"/>
          <c:extLst>
            <c:ext xmlns:c16="http://schemas.microsoft.com/office/drawing/2014/chart" uri="{C3380CC4-5D6E-409C-BE32-E72D297353CC}">
              <c16:uniqueId val="{00000000-6DB0-4E29-9A0F-D28E130FCB0C}"/>
            </c:ext>
          </c:extLst>
        </c:ser>
        <c:dLbls>
          <c:showLegendKey val="0"/>
          <c:showVal val="0"/>
          <c:showCatName val="0"/>
          <c:showSerName val="0"/>
          <c:showPercent val="0"/>
          <c:showBubbleSize val="0"/>
        </c:dLbls>
        <c:smooth val="0"/>
        <c:axId val="2056675295"/>
        <c:axId val="2056678175"/>
      </c:lineChart>
      <c:catAx>
        <c:axId val="205667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78175"/>
        <c:crosses val="autoZero"/>
        <c:auto val="1"/>
        <c:lblAlgn val="ctr"/>
        <c:lblOffset val="100"/>
        <c:noMultiLvlLbl val="0"/>
      </c:catAx>
      <c:valAx>
        <c:axId val="205667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7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Pivots!$B$22</c:f>
              <c:strCache>
                <c:ptCount val="1"/>
                <c:pt idx="0">
                  <c:v>Total</c:v>
                </c:pt>
              </c:strCache>
            </c:strRef>
          </c:tx>
          <c:spPr>
            <a:solidFill>
              <a:schemeClr val="accent1"/>
            </a:solidFill>
            <a:ln>
              <a:noFill/>
            </a:ln>
            <a:effectLst/>
          </c:spPr>
          <c:invertIfNegative val="0"/>
          <c:cat>
            <c:strRef>
              <c:f>Pivots!$A$23:$A$34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Pivots!$B$23:$B$34</c:f>
              <c:numCache>
                <c:formatCode>0</c:formatCode>
                <c:ptCount val="12"/>
                <c:pt idx="0">
                  <c:v>1235.9688940092165</c:v>
                </c:pt>
                <c:pt idx="1">
                  <c:v>1130.003759398496</c:v>
                </c:pt>
                <c:pt idx="2">
                  <c:v>1153.6877880184334</c:v>
                </c:pt>
                <c:pt idx="3">
                  <c:v>1180.7988095238097</c:v>
                </c:pt>
                <c:pt idx="4">
                  <c:v>1184.8605990783408</c:v>
                </c:pt>
                <c:pt idx="5">
                  <c:v>1210.2321428571429</c:v>
                </c:pt>
                <c:pt idx="6">
                  <c:v>1172.2937788018435</c:v>
                </c:pt>
                <c:pt idx="7">
                  <c:v>1164.7868663594472</c:v>
                </c:pt>
                <c:pt idx="8">
                  <c:v>1180.4238095238093</c:v>
                </c:pt>
                <c:pt idx="9">
                  <c:v>1164.2396313364059</c:v>
                </c:pt>
                <c:pt idx="10">
                  <c:v>1197.8452380952383</c:v>
                </c:pt>
                <c:pt idx="11">
                  <c:v>1136.3076036866362</c:v>
                </c:pt>
              </c:numCache>
            </c:numRef>
          </c:val>
          <c:extLst>
            <c:ext xmlns:c16="http://schemas.microsoft.com/office/drawing/2014/chart" uri="{C3380CC4-5D6E-409C-BE32-E72D297353CC}">
              <c16:uniqueId val="{00000000-A7D2-47C5-8492-48652236B350}"/>
            </c:ext>
          </c:extLst>
        </c:ser>
        <c:dLbls>
          <c:showLegendKey val="0"/>
          <c:showVal val="0"/>
          <c:showCatName val="0"/>
          <c:showSerName val="0"/>
          <c:showPercent val="0"/>
          <c:showBubbleSize val="0"/>
        </c:dLbls>
        <c:gapWidth val="219"/>
        <c:overlap val="-27"/>
        <c:axId val="2056699775"/>
        <c:axId val="2056692575"/>
      </c:barChart>
      <c:catAx>
        <c:axId val="20566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92575"/>
        <c:crosses val="autoZero"/>
        <c:auto val="1"/>
        <c:lblAlgn val="ctr"/>
        <c:lblOffset val="100"/>
        <c:noMultiLvlLbl val="0"/>
      </c:catAx>
      <c:valAx>
        <c:axId val="205669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9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Pivots!$B$39</c:f>
              <c:strCache>
                <c:ptCount val="1"/>
                <c:pt idx="0">
                  <c:v>Total</c:v>
                </c:pt>
              </c:strCache>
            </c:strRef>
          </c:tx>
          <c:spPr>
            <a:solidFill>
              <a:schemeClr val="accent1"/>
            </a:solidFill>
            <a:ln>
              <a:noFill/>
            </a:ln>
            <a:effectLst/>
          </c:spPr>
          <c:invertIfNegative val="0"/>
          <c:cat>
            <c:strRef>
              <c:f>Pivots!$A$40:$A$51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Pivots!$B$40:$B$51</c:f>
              <c:numCache>
                <c:formatCode>0</c:formatCode>
                <c:ptCount val="12"/>
                <c:pt idx="0">
                  <c:v>1574.8225806451612</c:v>
                </c:pt>
                <c:pt idx="1">
                  <c:v>1460.1754385964912</c:v>
                </c:pt>
                <c:pt idx="2">
                  <c:v>1476.6612903225807</c:v>
                </c:pt>
                <c:pt idx="3">
                  <c:v>1520.8833333333334</c:v>
                </c:pt>
                <c:pt idx="4">
                  <c:v>1488.0967741935483</c:v>
                </c:pt>
                <c:pt idx="5">
                  <c:v>1524.7666666666667</c:v>
                </c:pt>
                <c:pt idx="6">
                  <c:v>1529.4032258064517</c:v>
                </c:pt>
                <c:pt idx="7">
                  <c:v>1507.6774193548388</c:v>
                </c:pt>
                <c:pt idx="8">
                  <c:v>1507.4333333333334</c:v>
                </c:pt>
                <c:pt idx="9">
                  <c:v>1523.983870967742</c:v>
                </c:pt>
                <c:pt idx="10">
                  <c:v>1476.7</c:v>
                </c:pt>
                <c:pt idx="11">
                  <c:v>1486.1774193548388</c:v>
                </c:pt>
              </c:numCache>
            </c:numRef>
          </c:val>
          <c:extLst>
            <c:ext xmlns:c16="http://schemas.microsoft.com/office/drawing/2014/chart" uri="{C3380CC4-5D6E-409C-BE32-E72D297353CC}">
              <c16:uniqueId val="{00000000-5875-4668-8C89-57842F72C8A0}"/>
            </c:ext>
          </c:extLst>
        </c:ser>
        <c:dLbls>
          <c:showLegendKey val="0"/>
          <c:showVal val="0"/>
          <c:showCatName val="0"/>
          <c:showSerName val="0"/>
          <c:showPercent val="0"/>
          <c:showBubbleSize val="0"/>
        </c:dLbls>
        <c:gapWidth val="219"/>
        <c:overlap val="-27"/>
        <c:axId val="2056700255"/>
        <c:axId val="2056706975"/>
      </c:barChart>
      <c:catAx>
        <c:axId val="20567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706975"/>
        <c:crosses val="autoZero"/>
        <c:auto val="1"/>
        <c:lblAlgn val="ctr"/>
        <c:lblOffset val="100"/>
        <c:noMultiLvlLbl val="0"/>
      </c:catAx>
      <c:valAx>
        <c:axId val="2056706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7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Analysis.xlsx]Pivots!PivotTable11</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Pivots!$B$76</c:f>
              <c:strCache>
                <c:ptCount val="1"/>
                <c:pt idx="0">
                  <c:v>Average of ADR</c:v>
                </c:pt>
              </c:strCache>
            </c:strRef>
          </c:tx>
          <c:spPr>
            <a:ln w="28575" cap="rnd">
              <a:solidFill>
                <a:schemeClr val="accent1"/>
              </a:solidFill>
              <a:round/>
            </a:ln>
            <a:effectLst/>
          </c:spPr>
          <c:marker>
            <c:symbol val="none"/>
          </c:marker>
          <c:cat>
            <c:strRef>
              <c:f>Pivots!$A$77:$A$88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Pivots!$B$77:$B$88</c:f>
              <c:numCache>
                <c:formatCode>0</c:formatCode>
                <c:ptCount val="12"/>
                <c:pt idx="0">
                  <c:v>1574.8225806451612</c:v>
                </c:pt>
                <c:pt idx="1">
                  <c:v>1460.1754385964912</c:v>
                </c:pt>
                <c:pt idx="2">
                  <c:v>1476.6612903225807</c:v>
                </c:pt>
                <c:pt idx="3">
                  <c:v>1520.8833333333334</c:v>
                </c:pt>
                <c:pt idx="4">
                  <c:v>1488.0967741935483</c:v>
                </c:pt>
                <c:pt idx="5">
                  <c:v>1524.7666666666667</c:v>
                </c:pt>
                <c:pt idx="6">
                  <c:v>1529.4032258064517</c:v>
                </c:pt>
                <c:pt idx="7">
                  <c:v>1507.6774193548388</c:v>
                </c:pt>
                <c:pt idx="8">
                  <c:v>1507.4333333333334</c:v>
                </c:pt>
                <c:pt idx="9">
                  <c:v>1523.983870967742</c:v>
                </c:pt>
                <c:pt idx="10">
                  <c:v>1476.7</c:v>
                </c:pt>
                <c:pt idx="11">
                  <c:v>1486.1774193548388</c:v>
                </c:pt>
              </c:numCache>
            </c:numRef>
          </c:val>
          <c:smooth val="0"/>
          <c:extLst>
            <c:ext xmlns:c16="http://schemas.microsoft.com/office/drawing/2014/chart" uri="{C3380CC4-5D6E-409C-BE32-E72D297353CC}">
              <c16:uniqueId val="{00000000-E89A-453C-8643-DE1939B2BF50}"/>
            </c:ext>
          </c:extLst>
        </c:ser>
        <c:dLbls>
          <c:showLegendKey val="0"/>
          <c:showVal val="0"/>
          <c:showCatName val="0"/>
          <c:showSerName val="0"/>
          <c:showPercent val="0"/>
          <c:showBubbleSize val="0"/>
        </c:dLbls>
        <c:marker val="1"/>
        <c:smooth val="0"/>
        <c:axId val="2056669055"/>
        <c:axId val="2056688735"/>
      </c:lineChart>
      <c:lineChart>
        <c:grouping val="stacked"/>
        <c:varyColors val="0"/>
        <c:ser>
          <c:idx val="1"/>
          <c:order val="1"/>
          <c:tx>
            <c:strRef>
              <c:f>Pivots!$C$76</c:f>
              <c:strCache>
                <c:ptCount val="1"/>
                <c:pt idx="0">
                  <c:v>Average of Occupancy %</c:v>
                </c:pt>
              </c:strCache>
            </c:strRef>
          </c:tx>
          <c:spPr>
            <a:ln w="28575" cap="rnd">
              <a:solidFill>
                <a:schemeClr val="accent2"/>
              </a:solidFill>
              <a:round/>
            </a:ln>
            <a:effectLst/>
          </c:spPr>
          <c:marker>
            <c:symbol val="none"/>
          </c:marker>
          <c:cat>
            <c:strRef>
              <c:f>Pivots!$A$77:$A$88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Pivots!$C$77:$C$88</c:f>
              <c:numCache>
                <c:formatCode>0%</c:formatCode>
                <c:ptCount val="12"/>
                <c:pt idx="0">
                  <c:v>0.77995391705069117</c:v>
                </c:pt>
                <c:pt idx="1">
                  <c:v>0.77318295739348364</c:v>
                </c:pt>
                <c:pt idx="2">
                  <c:v>0.77995391705069128</c:v>
                </c:pt>
                <c:pt idx="3">
                  <c:v>0.77619047619047643</c:v>
                </c:pt>
                <c:pt idx="4">
                  <c:v>0.79493087557603703</c:v>
                </c:pt>
                <c:pt idx="5">
                  <c:v>0.78809523809523807</c:v>
                </c:pt>
                <c:pt idx="6">
                  <c:v>0.76497695852534542</c:v>
                </c:pt>
                <c:pt idx="7">
                  <c:v>0.77188940092165914</c:v>
                </c:pt>
                <c:pt idx="8">
                  <c:v>0.78809523809523818</c:v>
                </c:pt>
                <c:pt idx="9">
                  <c:v>0.76152073732718895</c:v>
                </c:pt>
                <c:pt idx="10">
                  <c:v>0.80595238095238109</c:v>
                </c:pt>
                <c:pt idx="11">
                  <c:v>0.76612903225806472</c:v>
                </c:pt>
              </c:numCache>
            </c:numRef>
          </c:val>
          <c:smooth val="0"/>
          <c:extLst>
            <c:ext xmlns:c16="http://schemas.microsoft.com/office/drawing/2014/chart" uri="{C3380CC4-5D6E-409C-BE32-E72D297353CC}">
              <c16:uniqueId val="{00000001-E89A-453C-8643-DE1939B2BF50}"/>
            </c:ext>
          </c:extLst>
        </c:ser>
        <c:dLbls>
          <c:showLegendKey val="0"/>
          <c:showVal val="0"/>
          <c:showCatName val="0"/>
          <c:showSerName val="0"/>
          <c:showPercent val="0"/>
          <c:showBubbleSize val="0"/>
        </c:dLbls>
        <c:marker val="1"/>
        <c:smooth val="0"/>
        <c:axId val="2056643135"/>
        <c:axId val="2056658495"/>
      </c:lineChart>
      <c:catAx>
        <c:axId val="205666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88735"/>
        <c:crosses val="autoZero"/>
        <c:auto val="1"/>
        <c:lblAlgn val="ctr"/>
        <c:lblOffset val="100"/>
        <c:noMultiLvlLbl val="0"/>
      </c:catAx>
      <c:valAx>
        <c:axId val="2056688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69055"/>
        <c:crosses val="autoZero"/>
        <c:crossBetween val="between"/>
      </c:valAx>
      <c:valAx>
        <c:axId val="20566584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643135"/>
        <c:crosses val="max"/>
        <c:crossBetween val="between"/>
      </c:valAx>
      <c:catAx>
        <c:axId val="2056643135"/>
        <c:scaling>
          <c:orientation val="minMax"/>
        </c:scaling>
        <c:delete val="1"/>
        <c:axPos val="b"/>
        <c:numFmt formatCode="General" sourceLinked="1"/>
        <c:majorTickMark val="out"/>
        <c:minorTickMark val="none"/>
        <c:tickLblPos val="nextTo"/>
        <c:crossAx val="2056658495"/>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Analysis.xlsx]Pivots!PivotTable12</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Pivots!$B$97</c:f>
              <c:strCache>
                <c:ptCount val="1"/>
                <c:pt idx="0">
                  <c:v>Total</c:v>
                </c:pt>
              </c:strCache>
            </c:strRef>
          </c:tx>
          <c:spPr>
            <a:solidFill>
              <a:schemeClr val="accent1"/>
            </a:solidFill>
            <a:ln>
              <a:noFill/>
            </a:ln>
            <a:effectLst/>
          </c:spPr>
          <c:invertIfNegative val="0"/>
          <c:cat>
            <c:strRef>
              <c:f>Pivots!$A$98:$A$110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Pivots!$B$98:$B$110</c:f>
              <c:numCache>
                <c:formatCode>General</c:formatCode>
                <c:ptCount val="12"/>
                <c:pt idx="0">
                  <c:v>677</c:v>
                </c:pt>
                <c:pt idx="1">
                  <c:v>617</c:v>
                </c:pt>
                <c:pt idx="2">
                  <c:v>677</c:v>
                </c:pt>
                <c:pt idx="3">
                  <c:v>652</c:v>
                </c:pt>
                <c:pt idx="4">
                  <c:v>690</c:v>
                </c:pt>
                <c:pt idx="5">
                  <c:v>662</c:v>
                </c:pt>
                <c:pt idx="6">
                  <c:v>664</c:v>
                </c:pt>
                <c:pt idx="7">
                  <c:v>670</c:v>
                </c:pt>
                <c:pt idx="8">
                  <c:v>662</c:v>
                </c:pt>
                <c:pt idx="9">
                  <c:v>661</c:v>
                </c:pt>
                <c:pt idx="10">
                  <c:v>677</c:v>
                </c:pt>
                <c:pt idx="11">
                  <c:v>665</c:v>
                </c:pt>
              </c:numCache>
            </c:numRef>
          </c:val>
          <c:extLst>
            <c:ext xmlns:c16="http://schemas.microsoft.com/office/drawing/2014/chart" uri="{C3380CC4-5D6E-409C-BE32-E72D297353CC}">
              <c16:uniqueId val="{00000000-85B6-41C6-A327-2843FC5CF8D0}"/>
            </c:ext>
          </c:extLst>
        </c:ser>
        <c:dLbls>
          <c:showLegendKey val="0"/>
          <c:showVal val="0"/>
          <c:showCatName val="0"/>
          <c:showSerName val="0"/>
          <c:showPercent val="0"/>
          <c:showBubbleSize val="0"/>
        </c:dLbls>
        <c:gapWidth val="219"/>
        <c:axId val="225308831"/>
        <c:axId val="225318431"/>
      </c:barChart>
      <c:catAx>
        <c:axId val="225308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18431"/>
        <c:crosses val="autoZero"/>
        <c:auto val="1"/>
        <c:lblAlgn val="ctr"/>
        <c:lblOffset val="100"/>
        <c:noMultiLvlLbl val="0"/>
      </c:catAx>
      <c:valAx>
        <c:axId val="22531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Pivots!$B$116</c:f>
              <c:strCache>
                <c:ptCount val="1"/>
                <c:pt idx="0">
                  <c:v>Total</c:v>
                </c:pt>
              </c:strCache>
            </c:strRef>
          </c:tx>
          <c:spPr>
            <a:ln w="28575" cap="rnd">
              <a:solidFill>
                <a:schemeClr val="accent1"/>
              </a:solidFill>
              <a:round/>
            </a:ln>
            <a:effectLst/>
          </c:spPr>
          <c:marker>
            <c:symbol val="none"/>
          </c:marker>
          <c:cat>
            <c:strRef>
              <c:f>Pivots!$A$117:$A$129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Pivots!$B$117:$B$129</c:f>
              <c:numCache>
                <c:formatCode>0</c:formatCode>
                <c:ptCount val="12"/>
                <c:pt idx="0">
                  <c:v>129808.37999999999</c:v>
                </c:pt>
                <c:pt idx="1">
                  <c:v>2860.5400000000154</c:v>
                </c:pt>
                <c:pt idx="2">
                  <c:v>79260.780000000013</c:v>
                </c:pt>
                <c:pt idx="3">
                  <c:v>12449.379999999937</c:v>
                </c:pt>
                <c:pt idx="4">
                  <c:v>35908.020000000011</c:v>
                </c:pt>
                <c:pt idx="5">
                  <c:v>36031.099999999948</c:v>
                </c:pt>
                <c:pt idx="6">
                  <c:v>30344.779999999988</c:v>
                </c:pt>
                <c:pt idx="7">
                  <c:v>26617.299999999967</c:v>
                </c:pt>
                <c:pt idx="8">
                  <c:v>9926.6799999999512</c:v>
                </c:pt>
                <c:pt idx="9">
                  <c:v>26499.799999999985</c:v>
                </c:pt>
                <c:pt idx="10">
                  <c:v>22415.19999999991</c:v>
                </c:pt>
                <c:pt idx="11">
                  <c:v>8699.6999999999771</c:v>
                </c:pt>
              </c:numCache>
            </c:numRef>
          </c:val>
          <c:smooth val="0"/>
          <c:extLst>
            <c:ext xmlns:c16="http://schemas.microsoft.com/office/drawing/2014/chart" uri="{C3380CC4-5D6E-409C-BE32-E72D297353CC}">
              <c16:uniqueId val="{00000000-6DDB-4D91-A035-D0B7C1AB70A0}"/>
            </c:ext>
          </c:extLst>
        </c:ser>
        <c:dLbls>
          <c:showLegendKey val="0"/>
          <c:showVal val="0"/>
          <c:showCatName val="0"/>
          <c:showSerName val="0"/>
          <c:showPercent val="0"/>
          <c:showBubbleSize val="0"/>
        </c:dLbls>
        <c:smooth val="0"/>
        <c:axId val="225304511"/>
        <c:axId val="225303071"/>
      </c:lineChart>
      <c:catAx>
        <c:axId val="22530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03071"/>
        <c:crosses val="autoZero"/>
        <c:auto val="1"/>
        <c:lblAlgn val="ctr"/>
        <c:lblOffset val="100"/>
        <c:noMultiLvlLbl val="0"/>
      </c:catAx>
      <c:valAx>
        <c:axId val="225303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30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Analysis.xlsx]Pivots!PivotTable10</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solidFill>
              <a:schemeClr val="accent1"/>
            </a:solidFill>
            <a:ln>
              <a:noFill/>
            </a:ln>
            <a:effectLst/>
          </c:spPr>
          <c:invertIfNegative val="0"/>
          <c:cat>
            <c:strRef>
              <c:f>Pivots!$A$58:$A$70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Pivots!$B$58:$B$70</c:f>
              <c:numCache>
                <c:formatCode>0</c:formatCode>
                <c:ptCount val="12"/>
                <c:pt idx="0">
                  <c:v>943012.61999999988</c:v>
                </c:pt>
                <c:pt idx="1">
                  <c:v>898882.46000000008</c:v>
                </c:pt>
                <c:pt idx="2">
                  <c:v>922140.22</c:v>
                </c:pt>
                <c:pt idx="3">
                  <c:v>979421.62000000011</c:v>
                </c:pt>
                <c:pt idx="4">
                  <c:v>992550.98</c:v>
                </c:pt>
                <c:pt idx="5">
                  <c:v>980563.89999999991</c:v>
                </c:pt>
                <c:pt idx="6">
                  <c:v>987206.22</c:v>
                </c:pt>
                <c:pt idx="7">
                  <c:v>984417.70000000019</c:v>
                </c:pt>
                <c:pt idx="8">
                  <c:v>981629.32000000007</c:v>
                </c:pt>
                <c:pt idx="9">
                  <c:v>984060.2</c:v>
                </c:pt>
                <c:pt idx="10">
                  <c:v>983774.79999999993</c:v>
                </c:pt>
                <c:pt idx="11">
                  <c:v>977615.30000000016</c:v>
                </c:pt>
              </c:numCache>
            </c:numRef>
          </c:val>
          <c:extLst>
            <c:ext xmlns:c16="http://schemas.microsoft.com/office/drawing/2014/chart" uri="{C3380CC4-5D6E-409C-BE32-E72D297353CC}">
              <c16:uniqueId val="{00000000-E2EC-4363-ACAF-3F2CE950FB03}"/>
            </c:ext>
          </c:extLst>
        </c:ser>
        <c:dLbls>
          <c:showLegendKey val="0"/>
          <c:showVal val="0"/>
          <c:showCatName val="0"/>
          <c:showSerName val="0"/>
          <c:showPercent val="0"/>
          <c:showBubbleSize val="0"/>
        </c:dLbls>
        <c:gapWidth val="219"/>
        <c:overlap val="-27"/>
        <c:axId val="235235375"/>
        <c:axId val="235233455"/>
      </c:barChart>
      <c:catAx>
        <c:axId val="23523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33455"/>
        <c:crosses val="autoZero"/>
        <c:auto val="1"/>
        <c:lblAlgn val="ctr"/>
        <c:lblOffset val="100"/>
        <c:noMultiLvlLbl val="0"/>
      </c:catAx>
      <c:valAx>
        <c:axId val="2352334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3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Analysis.xlsx]Pivots!PivotTable14</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Pivots!$B$142</c:f>
              <c:strCache>
                <c:ptCount val="1"/>
                <c:pt idx="0">
                  <c:v>Sum of Daily_Rent</c:v>
                </c:pt>
              </c:strCache>
            </c:strRef>
          </c:tx>
          <c:spPr>
            <a:solidFill>
              <a:schemeClr val="accent1"/>
            </a:solidFill>
            <a:ln>
              <a:noFill/>
            </a:ln>
            <a:effectLst/>
          </c:spPr>
          <c:invertIfNegative val="0"/>
          <c:cat>
            <c:strRef>
              <c:f>Pivots!$A$143:$A$154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Pivots!$B$143:$B$154</c:f>
              <c:numCache>
                <c:formatCode>0</c:formatCode>
                <c:ptCount val="12"/>
                <c:pt idx="0">
                  <c:v>399999.99999999983</c:v>
                </c:pt>
                <c:pt idx="1">
                  <c:v>399999.99999999988</c:v>
                </c:pt>
                <c:pt idx="2">
                  <c:v>399999.99999999983</c:v>
                </c:pt>
                <c:pt idx="3">
                  <c:v>459999.99999999959</c:v>
                </c:pt>
                <c:pt idx="4">
                  <c:v>459999.99999999959</c:v>
                </c:pt>
                <c:pt idx="5">
                  <c:v>459999.99999999959</c:v>
                </c:pt>
                <c:pt idx="6">
                  <c:v>459999.99999999959</c:v>
                </c:pt>
                <c:pt idx="7">
                  <c:v>459999.99999999959</c:v>
                </c:pt>
                <c:pt idx="8">
                  <c:v>459999.99999999959</c:v>
                </c:pt>
                <c:pt idx="9">
                  <c:v>459999.99999999959</c:v>
                </c:pt>
                <c:pt idx="10">
                  <c:v>459999.99999999959</c:v>
                </c:pt>
                <c:pt idx="11">
                  <c:v>459999.99999999959</c:v>
                </c:pt>
              </c:numCache>
            </c:numRef>
          </c:val>
          <c:extLst>
            <c:ext xmlns:c16="http://schemas.microsoft.com/office/drawing/2014/chart" uri="{C3380CC4-5D6E-409C-BE32-E72D297353CC}">
              <c16:uniqueId val="{00000000-15FA-4608-8CCA-F73CEACE2F8E}"/>
            </c:ext>
          </c:extLst>
        </c:ser>
        <c:ser>
          <c:idx val="1"/>
          <c:order val="1"/>
          <c:tx>
            <c:strRef>
              <c:f>Pivots!$C$142</c:f>
              <c:strCache>
                <c:ptCount val="1"/>
                <c:pt idx="0">
                  <c:v>Sum of Daily_Staff</c:v>
                </c:pt>
              </c:strCache>
            </c:strRef>
          </c:tx>
          <c:spPr>
            <a:solidFill>
              <a:schemeClr val="accent2"/>
            </a:solidFill>
            <a:ln>
              <a:noFill/>
            </a:ln>
            <a:effectLst/>
          </c:spPr>
          <c:invertIfNegative val="0"/>
          <c:cat>
            <c:strRef>
              <c:f>Pivots!$A$143:$A$154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Pivots!$C$143:$C$154</c:f>
              <c:numCache>
                <c:formatCode>0</c:formatCode>
                <c:ptCount val="12"/>
                <c:pt idx="0">
                  <c:v>139999.99999999991</c:v>
                </c:pt>
                <c:pt idx="1">
                  <c:v>140000.00000000003</c:v>
                </c:pt>
                <c:pt idx="2">
                  <c:v>139999.99999999991</c:v>
                </c:pt>
                <c:pt idx="3">
                  <c:v>139999.99999999991</c:v>
                </c:pt>
                <c:pt idx="4">
                  <c:v>139999.99999999991</c:v>
                </c:pt>
                <c:pt idx="5">
                  <c:v>139999.99999999991</c:v>
                </c:pt>
                <c:pt idx="6">
                  <c:v>139999.99999999991</c:v>
                </c:pt>
                <c:pt idx="7">
                  <c:v>139999.99999999991</c:v>
                </c:pt>
                <c:pt idx="8">
                  <c:v>139999.99999999991</c:v>
                </c:pt>
                <c:pt idx="9">
                  <c:v>139999.99999999991</c:v>
                </c:pt>
                <c:pt idx="10">
                  <c:v>139999.99999999991</c:v>
                </c:pt>
                <c:pt idx="11">
                  <c:v>139999.99999999991</c:v>
                </c:pt>
              </c:numCache>
            </c:numRef>
          </c:val>
          <c:extLst>
            <c:ext xmlns:c16="http://schemas.microsoft.com/office/drawing/2014/chart" uri="{C3380CC4-5D6E-409C-BE32-E72D297353CC}">
              <c16:uniqueId val="{00000001-15FA-4608-8CCA-F73CEACE2F8E}"/>
            </c:ext>
          </c:extLst>
        </c:ser>
        <c:ser>
          <c:idx val="2"/>
          <c:order val="2"/>
          <c:tx>
            <c:strRef>
              <c:f>Pivots!$D$142</c:f>
              <c:strCache>
                <c:ptCount val="1"/>
                <c:pt idx="0">
                  <c:v>Sum of Daily_HK</c:v>
                </c:pt>
              </c:strCache>
            </c:strRef>
          </c:tx>
          <c:spPr>
            <a:solidFill>
              <a:schemeClr val="accent3"/>
            </a:solidFill>
            <a:ln>
              <a:noFill/>
            </a:ln>
            <a:effectLst/>
          </c:spPr>
          <c:invertIfNegative val="0"/>
          <c:cat>
            <c:strRef>
              <c:f>Pivots!$A$143:$A$154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Pivots!$D$143:$D$154</c:f>
              <c:numCache>
                <c:formatCode>0</c:formatCode>
                <c:ptCount val="12"/>
                <c:pt idx="0">
                  <c:v>19999.999999999989</c:v>
                </c:pt>
                <c:pt idx="1">
                  <c:v>20000.000000000011</c:v>
                </c:pt>
                <c:pt idx="2">
                  <c:v>20000</c:v>
                </c:pt>
                <c:pt idx="3">
                  <c:v>20000.000000000004</c:v>
                </c:pt>
                <c:pt idx="4">
                  <c:v>19999.999999999985</c:v>
                </c:pt>
                <c:pt idx="5">
                  <c:v>19999.999999999996</c:v>
                </c:pt>
                <c:pt idx="6">
                  <c:v>20000</c:v>
                </c:pt>
                <c:pt idx="7">
                  <c:v>20000.000000000007</c:v>
                </c:pt>
                <c:pt idx="8">
                  <c:v>20000.000000000007</c:v>
                </c:pt>
                <c:pt idx="9">
                  <c:v>20000.000000000007</c:v>
                </c:pt>
                <c:pt idx="10">
                  <c:v>20000.000000000004</c:v>
                </c:pt>
                <c:pt idx="11">
                  <c:v>20000.000000000004</c:v>
                </c:pt>
              </c:numCache>
            </c:numRef>
          </c:val>
          <c:extLst>
            <c:ext xmlns:c16="http://schemas.microsoft.com/office/drawing/2014/chart" uri="{C3380CC4-5D6E-409C-BE32-E72D297353CC}">
              <c16:uniqueId val="{00000002-15FA-4608-8CCA-F73CEACE2F8E}"/>
            </c:ext>
          </c:extLst>
        </c:ser>
        <c:ser>
          <c:idx val="3"/>
          <c:order val="3"/>
          <c:tx>
            <c:strRef>
              <c:f>Pivots!$E$142</c:f>
              <c:strCache>
                <c:ptCount val="1"/>
                <c:pt idx="0">
                  <c:v>Sum of Daily_Electricity</c:v>
                </c:pt>
              </c:strCache>
            </c:strRef>
          </c:tx>
          <c:spPr>
            <a:solidFill>
              <a:schemeClr val="accent4"/>
            </a:solidFill>
            <a:ln>
              <a:noFill/>
            </a:ln>
            <a:effectLst/>
          </c:spPr>
          <c:invertIfNegative val="0"/>
          <c:cat>
            <c:strRef>
              <c:f>Pivots!$A$143:$A$154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Pivots!$E$143:$E$154</c:f>
              <c:numCache>
                <c:formatCode>0</c:formatCode>
                <c:ptCount val="12"/>
                <c:pt idx="0">
                  <c:v>106992.00000000013</c:v>
                </c:pt>
                <c:pt idx="1">
                  <c:v>100498.99999999997</c:v>
                </c:pt>
                <c:pt idx="2">
                  <c:v>101832.00000000001</c:v>
                </c:pt>
                <c:pt idx="3">
                  <c:v>101210.00000000001</c:v>
                </c:pt>
                <c:pt idx="4">
                  <c:v>106289.99999999997</c:v>
                </c:pt>
                <c:pt idx="5">
                  <c:v>96913.000000000044</c:v>
                </c:pt>
                <c:pt idx="6">
                  <c:v>103345.00000000006</c:v>
                </c:pt>
                <c:pt idx="7">
                  <c:v>101990.00000000003</c:v>
                </c:pt>
                <c:pt idx="8">
                  <c:v>103487.00000000009</c:v>
                </c:pt>
                <c:pt idx="9">
                  <c:v>101737.00000000001</c:v>
                </c:pt>
                <c:pt idx="10">
                  <c:v>102413</c:v>
                </c:pt>
                <c:pt idx="11">
                  <c:v>100625.99999999999</c:v>
                </c:pt>
              </c:numCache>
            </c:numRef>
          </c:val>
          <c:extLst>
            <c:ext xmlns:c16="http://schemas.microsoft.com/office/drawing/2014/chart" uri="{C3380CC4-5D6E-409C-BE32-E72D297353CC}">
              <c16:uniqueId val="{00000003-15FA-4608-8CCA-F73CEACE2F8E}"/>
            </c:ext>
          </c:extLst>
        </c:ser>
        <c:ser>
          <c:idx val="4"/>
          <c:order val="4"/>
          <c:tx>
            <c:strRef>
              <c:f>Pivots!$F$142</c:f>
              <c:strCache>
                <c:ptCount val="1"/>
                <c:pt idx="0">
                  <c:v>Sum of Daily Maintenance</c:v>
                </c:pt>
              </c:strCache>
            </c:strRef>
          </c:tx>
          <c:spPr>
            <a:solidFill>
              <a:schemeClr val="accent5"/>
            </a:solidFill>
            <a:ln>
              <a:noFill/>
            </a:ln>
            <a:effectLst/>
          </c:spPr>
          <c:invertIfNegative val="0"/>
          <c:cat>
            <c:strRef>
              <c:f>Pivots!$A$143:$A$154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Pivots!$F$143:$F$154</c:f>
              <c:numCache>
                <c:formatCode>0</c:formatCode>
                <c:ptCount val="12"/>
                <c:pt idx="0">
                  <c:v>40000.000000000015</c:v>
                </c:pt>
                <c:pt idx="1">
                  <c:v>39999.999999999971</c:v>
                </c:pt>
                <c:pt idx="2">
                  <c:v>40000.000000000015</c:v>
                </c:pt>
                <c:pt idx="3">
                  <c:v>40000</c:v>
                </c:pt>
                <c:pt idx="4">
                  <c:v>40000.000000000015</c:v>
                </c:pt>
                <c:pt idx="5">
                  <c:v>40000</c:v>
                </c:pt>
                <c:pt idx="6">
                  <c:v>40000.000000000015</c:v>
                </c:pt>
                <c:pt idx="7">
                  <c:v>40000.000000000015</c:v>
                </c:pt>
                <c:pt idx="8">
                  <c:v>40000</c:v>
                </c:pt>
                <c:pt idx="9">
                  <c:v>40000.000000000015</c:v>
                </c:pt>
                <c:pt idx="10">
                  <c:v>40000</c:v>
                </c:pt>
                <c:pt idx="11">
                  <c:v>40000.000000000015</c:v>
                </c:pt>
              </c:numCache>
            </c:numRef>
          </c:val>
          <c:extLst>
            <c:ext xmlns:c16="http://schemas.microsoft.com/office/drawing/2014/chart" uri="{C3380CC4-5D6E-409C-BE32-E72D297353CC}">
              <c16:uniqueId val="{00000004-15FA-4608-8CCA-F73CEACE2F8E}"/>
            </c:ext>
          </c:extLst>
        </c:ser>
        <c:dLbls>
          <c:showLegendKey val="0"/>
          <c:showVal val="0"/>
          <c:showCatName val="0"/>
          <c:showSerName val="0"/>
          <c:showPercent val="0"/>
          <c:showBubbleSize val="0"/>
        </c:dLbls>
        <c:gapWidth val="150"/>
        <c:overlap val="100"/>
        <c:axId val="235181615"/>
        <c:axId val="235190735"/>
      </c:barChart>
      <c:catAx>
        <c:axId val="23518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90735"/>
        <c:crosses val="autoZero"/>
        <c:auto val="1"/>
        <c:lblAlgn val="ctr"/>
        <c:lblOffset val="100"/>
        <c:noMultiLvlLbl val="0"/>
      </c:catAx>
      <c:valAx>
        <c:axId val="235190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8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Analysis.xlsx]Pivots!PivotTable15</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Pivots!$B$186</c:f>
              <c:strCache>
                <c:ptCount val="1"/>
                <c:pt idx="0">
                  <c:v>Total</c:v>
                </c:pt>
              </c:strCache>
            </c:strRef>
          </c:tx>
          <c:spPr>
            <a:solidFill>
              <a:schemeClr val="accent1"/>
            </a:solidFill>
            <a:ln>
              <a:noFill/>
            </a:ln>
            <a:effectLst/>
          </c:spPr>
          <c:invertIfNegative val="0"/>
          <c:cat>
            <c:strRef>
              <c:f>Pivots!$A$187:$A$199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Pivots!$B$187:$B$199</c:f>
              <c:numCache>
                <c:formatCode>0</c:formatCode>
                <c:ptCount val="12"/>
                <c:pt idx="0">
                  <c:v>236020.62</c:v>
                </c:pt>
                <c:pt idx="1">
                  <c:v>198383.46000000008</c:v>
                </c:pt>
                <c:pt idx="2">
                  <c:v>220308.21999999991</c:v>
                </c:pt>
                <c:pt idx="3">
                  <c:v>218211.62000000008</c:v>
                </c:pt>
                <c:pt idx="4">
                  <c:v>226260.97999999995</c:v>
                </c:pt>
                <c:pt idx="5">
                  <c:v>223650.89999999997</c:v>
                </c:pt>
                <c:pt idx="6">
                  <c:v>223861.22000000006</c:v>
                </c:pt>
                <c:pt idx="7">
                  <c:v>222427.69999999998</c:v>
                </c:pt>
                <c:pt idx="8">
                  <c:v>218142.31999999998</c:v>
                </c:pt>
                <c:pt idx="9">
                  <c:v>222323.19999999998</c:v>
                </c:pt>
                <c:pt idx="10">
                  <c:v>221361.80000000005</c:v>
                </c:pt>
                <c:pt idx="11">
                  <c:v>216989.30000000005</c:v>
                </c:pt>
              </c:numCache>
            </c:numRef>
          </c:val>
          <c:extLst>
            <c:ext xmlns:c16="http://schemas.microsoft.com/office/drawing/2014/chart" uri="{C3380CC4-5D6E-409C-BE32-E72D297353CC}">
              <c16:uniqueId val="{00000000-E66F-4F91-B1B4-2CCD6FDB5A3A}"/>
            </c:ext>
          </c:extLst>
        </c:ser>
        <c:dLbls>
          <c:showLegendKey val="0"/>
          <c:showVal val="0"/>
          <c:showCatName val="0"/>
          <c:showSerName val="0"/>
          <c:showPercent val="0"/>
          <c:showBubbleSize val="0"/>
        </c:dLbls>
        <c:gapWidth val="219"/>
        <c:overlap val="-27"/>
        <c:axId val="1675240192"/>
        <c:axId val="1675240672"/>
      </c:barChart>
      <c:catAx>
        <c:axId val="167524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40672"/>
        <c:crosses val="autoZero"/>
        <c:auto val="1"/>
        <c:lblAlgn val="ctr"/>
        <c:lblOffset val="100"/>
        <c:noMultiLvlLbl val="0"/>
      </c:catAx>
      <c:valAx>
        <c:axId val="1675240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24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[Oyo Hotel Data Analysis.xlsx]Pivots!PivotTable1</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Pivots!$B$207</c:f>
              <c:strCache>
                <c:ptCount val="1"/>
                <c:pt idx="0">
                  <c:v>Sum of Total_Daily_Expense</c:v>
                </c:pt>
              </c:strCache>
            </c:strRef>
          </c:tx>
          <c:spPr>
            <a:solidFill>
              <a:schemeClr val="accent1"/>
            </a:solidFill>
            <a:ln>
              <a:noFill/>
            </a:ln>
            <a:effectLst/>
          </c:spPr>
          <c:invertIfNegative val="0"/>
          <c:cat>
            <c:strRef>
              <c:f>Pivots!$A$208:$A$220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Pivots!$B$208:$B$220</c:f>
              <c:numCache>
                <c:formatCode>0</c:formatCode>
                <c:ptCount val="12"/>
                <c:pt idx="0">
                  <c:v>943012.61999999988</c:v>
                </c:pt>
                <c:pt idx="1">
                  <c:v>898882.46000000008</c:v>
                </c:pt>
                <c:pt idx="2">
                  <c:v>922140.22</c:v>
                </c:pt>
                <c:pt idx="3">
                  <c:v>979421.62000000011</c:v>
                </c:pt>
                <c:pt idx="4">
                  <c:v>992550.98</c:v>
                </c:pt>
                <c:pt idx="5">
                  <c:v>980563.89999999991</c:v>
                </c:pt>
                <c:pt idx="6">
                  <c:v>987206.22</c:v>
                </c:pt>
                <c:pt idx="7">
                  <c:v>984417.70000000019</c:v>
                </c:pt>
                <c:pt idx="8">
                  <c:v>981629.32000000007</c:v>
                </c:pt>
                <c:pt idx="9">
                  <c:v>984060.2</c:v>
                </c:pt>
                <c:pt idx="10">
                  <c:v>983774.79999999993</c:v>
                </c:pt>
                <c:pt idx="11">
                  <c:v>977615.30000000016</c:v>
                </c:pt>
              </c:numCache>
            </c:numRef>
          </c:val>
          <c:extLst>
            <c:ext xmlns:c16="http://schemas.microsoft.com/office/drawing/2014/chart" uri="{C3380CC4-5D6E-409C-BE32-E72D297353CC}">
              <c16:uniqueId val="{00000000-0338-409C-8AFE-D9CEC96A1925}"/>
            </c:ext>
          </c:extLst>
        </c:ser>
        <c:ser>
          <c:idx val="1"/>
          <c:order val="1"/>
          <c:tx>
            <c:strRef>
              <c:f>Pivots!$C$207</c:f>
              <c:strCache>
                <c:ptCount val="1"/>
                <c:pt idx="0">
                  <c:v>Sum of Profit</c:v>
                </c:pt>
              </c:strCache>
            </c:strRef>
          </c:tx>
          <c:spPr>
            <a:solidFill>
              <a:schemeClr val="accent2"/>
            </a:solidFill>
            <a:ln>
              <a:noFill/>
            </a:ln>
            <a:effectLst/>
          </c:spPr>
          <c:invertIfNegative val="0"/>
          <c:cat>
            <c:strRef>
              <c:f>Pivots!$A$208:$A$220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Pivots!$C$208:$C$220</c:f>
              <c:numCache>
                <c:formatCode>0</c:formatCode>
                <c:ptCount val="12"/>
                <c:pt idx="0">
                  <c:v>129808.37999999999</c:v>
                </c:pt>
                <c:pt idx="1">
                  <c:v>2860.5400000000154</c:v>
                </c:pt>
                <c:pt idx="2">
                  <c:v>79260.780000000013</c:v>
                </c:pt>
                <c:pt idx="3">
                  <c:v>12449.379999999937</c:v>
                </c:pt>
                <c:pt idx="4">
                  <c:v>35908.020000000011</c:v>
                </c:pt>
                <c:pt idx="5">
                  <c:v>36031.099999999948</c:v>
                </c:pt>
                <c:pt idx="6">
                  <c:v>30344.779999999988</c:v>
                </c:pt>
                <c:pt idx="7">
                  <c:v>26617.299999999967</c:v>
                </c:pt>
                <c:pt idx="8">
                  <c:v>9926.6799999999512</c:v>
                </c:pt>
                <c:pt idx="9">
                  <c:v>26499.799999999985</c:v>
                </c:pt>
                <c:pt idx="10">
                  <c:v>22415.19999999991</c:v>
                </c:pt>
                <c:pt idx="11">
                  <c:v>8699.6999999999771</c:v>
                </c:pt>
              </c:numCache>
            </c:numRef>
          </c:val>
          <c:extLst>
            <c:ext xmlns:c16="http://schemas.microsoft.com/office/drawing/2014/chart" uri="{C3380CC4-5D6E-409C-BE32-E72D297353CC}">
              <c16:uniqueId val="{00000001-0338-409C-8AFE-D9CEC96A1925}"/>
            </c:ext>
          </c:extLst>
        </c:ser>
        <c:dLbls>
          <c:showLegendKey val="0"/>
          <c:showVal val="0"/>
          <c:showCatName val="0"/>
          <c:showSerName val="0"/>
          <c:showPercent val="0"/>
          <c:showBubbleSize val="0"/>
        </c:dLbls>
        <c:gapWidth val="219"/>
        <c:overlap val="100"/>
        <c:axId val="72772880"/>
        <c:axId val="72774800"/>
      </c:barChart>
      <c:lineChart>
        <c:grouping val="standard"/>
        <c:varyColors val="0"/>
        <c:ser>
          <c:idx val="2"/>
          <c:order val="2"/>
          <c:tx>
            <c:strRef>
              <c:f>Pivots!$D$207</c:f>
              <c:strCache>
                <c:ptCount val="1"/>
                <c:pt idx="0">
                  <c:v>Sum of Rooms_Occupied</c:v>
                </c:pt>
              </c:strCache>
            </c:strRef>
          </c:tx>
          <c:spPr>
            <a:ln w="28575" cap="rnd">
              <a:solidFill>
                <a:schemeClr val="accent3"/>
              </a:solidFill>
              <a:round/>
            </a:ln>
            <a:effectLst/>
          </c:spPr>
          <c:marker>
            <c:symbol val="none"/>
          </c:marker>
          <c:cat>
            <c:strRef>
              <c:f>Pivots!$A$208:$A$220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Pivots!$D$208:$D$220</c:f>
              <c:numCache>
                <c:formatCode>General</c:formatCode>
                <c:ptCount val="12"/>
                <c:pt idx="0">
                  <c:v>677</c:v>
                </c:pt>
                <c:pt idx="1">
                  <c:v>617</c:v>
                </c:pt>
                <c:pt idx="2">
                  <c:v>677</c:v>
                </c:pt>
                <c:pt idx="3">
                  <c:v>652</c:v>
                </c:pt>
                <c:pt idx="4">
                  <c:v>690</c:v>
                </c:pt>
                <c:pt idx="5">
                  <c:v>662</c:v>
                </c:pt>
                <c:pt idx="6">
                  <c:v>664</c:v>
                </c:pt>
                <c:pt idx="7">
                  <c:v>670</c:v>
                </c:pt>
                <c:pt idx="8">
                  <c:v>662</c:v>
                </c:pt>
                <c:pt idx="9">
                  <c:v>661</c:v>
                </c:pt>
                <c:pt idx="10">
                  <c:v>677</c:v>
                </c:pt>
                <c:pt idx="11">
                  <c:v>665</c:v>
                </c:pt>
              </c:numCache>
            </c:numRef>
          </c:val>
          <c:smooth val="0"/>
          <c:extLst>
            <c:ext xmlns:c16="http://schemas.microsoft.com/office/drawing/2014/chart" uri="{C3380CC4-5D6E-409C-BE32-E72D297353CC}">
              <c16:uniqueId val="{00000002-0338-409C-8AFE-D9CEC96A1925}"/>
            </c:ext>
          </c:extLst>
        </c:ser>
        <c:dLbls>
          <c:showLegendKey val="0"/>
          <c:showVal val="0"/>
          <c:showCatName val="0"/>
          <c:showSerName val="0"/>
          <c:showPercent val="0"/>
          <c:showBubbleSize val="0"/>
        </c:dLbls>
        <c:marker val="1"/>
        <c:smooth val="0"/>
        <c:axId val="72777200"/>
        <c:axId val="72750800"/>
      </c:lineChart>
      <c:catAx>
        <c:axId val="7277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4800"/>
        <c:crosses val="autoZero"/>
        <c:auto val="1"/>
        <c:lblAlgn val="ctr"/>
        <c:lblOffset val="100"/>
        <c:noMultiLvlLbl val="0"/>
      </c:catAx>
      <c:valAx>
        <c:axId val="727748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2880"/>
        <c:crosses val="autoZero"/>
        <c:crossBetween val="between"/>
      </c:valAx>
      <c:valAx>
        <c:axId val="72750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77200"/>
        <c:crosses val="max"/>
        <c:crossBetween val="between"/>
      </c:valAx>
      <c:catAx>
        <c:axId val="72777200"/>
        <c:scaling>
          <c:orientation val="minMax"/>
        </c:scaling>
        <c:delete val="1"/>
        <c:axPos val="b"/>
        <c:numFmt formatCode="General" sourceLinked="1"/>
        <c:majorTickMark val="out"/>
        <c:minorTickMark val="none"/>
        <c:tickLblPos val="nextTo"/>
        <c:crossAx val="7275080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19051</xdr:rowOff>
    </xdr:from>
    <xdr:to>
      <xdr:col>29</xdr:col>
      <xdr:colOff>364192</xdr:colOff>
      <xdr:row>2</xdr:row>
      <xdr:rowOff>38101</xdr:rowOff>
    </xdr:to>
    <xdr:sp macro="" textlink="">
      <xdr:nvSpPr>
        <xdr:cNvPr id="5" name="Rectangle 4">
          <a:extLst>
            <a:ext uri="{FF2B5EF4-FFF2-40B4-BE49-F238E27FC236}">
              <a16:creationId xmlns:a16="http://schemas.microsoft.com/office/drawing/2014/main" id="{36A770BB-9D98-7EB9-B42A-55F8078B1AE0}"/>
            </a:ext>
          </a:extLst>
        </xdr:cNvPr>
        <xdr:cNvSpPr/>
      </xdr:nvSpPr>
      <xdr:spPr>
        <a:xfrm>
          <a:off x="0" y="19051"/>
          <a:ext cx="18237574" cy="411256"/>
        </a:xfrm>
        <a:prstGeom prst="rect">
          <a:avLst/>
        </a:prstGeom>
        <a:solidFill>
          <a:srgbClr val="EE2326"/>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chemeClr val="bg1"/>
              </a:solidFill>
            </a:rPr>
            <a:t>OYO Hotel Performance Dashboard (2023 - 2024)</a:t>
          </a:r>
        </a:p>
      </xdr:txBody>
    </xdr:sp>
    <xdr:clientData/>
  </xdr:twoCellAnchor>
  <xdr:twoCellAnchor>
    <xdr:from>
      <xdr:col>18</xdr:col>
      <xdr:colOff>347756</xdr:colOff>
      <xdr:row>2</xdr:row>
      <xdr:rowOff>77320</xdr:rowOff>
    </xdr:from>
    <xdr:to>
      <xdr:col>21</xdr:col>
      <xdr:colOff>478786</xdr:colOff>
      <xdr:row>6</xdr:row>
      <xdr:rowOff>192908</xdr:rowOff>
    </xdr:to>
    <xdr:sp macro="" textlink="Daily_data!X14">
      <xdr:nvSpPr>
        <xdr:cNvPr id="6" name="Rectangle 5">
          <a:extLst>
            <a:ext uri="{FF2B5EF4-FFF2-40B4-BE49-F238E27FC236}">
              <a16:creationId xmlns:a16="http://schemas.microsoft.com/office/drawing/2014/main" id="{9CE51865-926D-BCFA-8949-FE698E4E0F53}"/>
            </a:ext>
          </a:extLst>
        </xdr:cNvPr>
        <xdr:cNvSpPr/>
      </xdr:nvSpPr>
      <xdr:spPr>
        <a:xfrm>
          <a:off x="11441580"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9655FA4-9BBF-4A63-B718-089CFC9E5E70}" type="TxLink">
            <a:rPr lang="en-US" sz="2000" b="1" i="0" u="none" strike="noStrike">
              <a:solidFill>
                <a:schemeClr val="bg1"/>
              </a:solidFill>
              <a:latin typeface="Calibri"/>
              <a:ea typeface="Calibri"/>
              <a:cs typeface="Calibri"/>
            </a:rPr>
            <a:pPr marL="0" indent="0" algn="ctr"/>
            <a:t> ₹ 1,176 </a:t>
          </a:fld>
          <a:endParaRPr lang="en-IN" sz="2000" b="1" i="0" u="none" strike="noStrike">
            <a:solidFill>
              <a:schemeClr val="bg1"/>
            </a:solidFill>
            <a:latin typeface="Calibri"/>
            <a:ea typeface="Calibri"/>
            <a:cs typeface="Calibri"/>
          </a:endParaRPr>
        </a:p>
      </xdr:txBody>
    </xdr:sp>
    <xdr:clientData/>
  </xdr:twoCellAnchor>
  <xdr:twoCellAnchor>
    <xdr:from>
      <xdr:col>7</xdr:col>
      <xdr:colOff>121115</xdr:colOff>
      <xdr:row>2</xdr:row>
      <xdr:rowOff>77320</xdr:rowOff>
    </xdr:from>
    <xdr:to>
      <xdr:col>10</xdr:col>
      <xdr:colOff>252145</xdr:colOff>
      <xdr:row>6</xdr:row>
      <xdr:rowOff>192908</xdr:rowOff>
    </xdr:to>
    <xdr:sp macro="" textlink="Daily_data!X15">
      <xdr:nvSpPr>
        <xdr:cNvPr id="7" name="Rectangle 6">
          <a:extLst>
            <a:ext uri="{FF2B5EF4-FFF2-40B4-BE49-F238E27FC236}">
              <a16:creationId xmlns:a16="http://schemas.microsoft.com/office/drawing/2014/main" id="{D2337F81-118E-5A2B-904C-6E8E8A4C033D}"/>
            </a:ext>
          </a:extLst>
        </xdr:cNvPr>
        <xdr:cNvSpPr/>
      </xdr:nvSpPr>
      <xdr:spPr>
        <a:xfrm>
          <a:off x="4435380"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7681B8C-8D8E-40CD-8CE0-57C7D6F06C45}" type="TxLink">
            <a:rPr lang="en-US" sz="2000" b="1" i="0" u="none" strike="noStrike">
              <a:solidFill>
                <a:schemeClr val="bg1"/>
              </a:solidFill>
              <a:latin typeface="Calibri"/>
              <a:ea typeface="Calibri"/>
              <a:cs typeface="Calibri"/>
            </a:rPr>
            <a:pPr marL="0" indent="0" algn="ctr"/>
            <a:t> ₹ 1,16,15,275 </a:t>
          </a:fld>
          <a:endParaRPr lang="en-US" sz="2000" b="1" i="0" u="none" strike="noStrike">
            <a:solidFill>
              <a:schemeClr val="bg1"/>
            </a:solidFill>
            <a:latin typeface="Calibri"/>
            <a:ea typeface="Calibri"/>
            <a:cs typeface="Calibri"/>
          </a:endParaRPr>
        </a:p>
      </xdr:txBody>
    </xdr:sp>
    <xdr:clientData/>
  </xdr:twoCellAnchor>
  <xdr:twoCellAnchor>
    <xdr:from>
      <xdr:col>3</xdr:col>
      <xdr:colOff>251009</xdr:colOff>
      <xdr:row>2</xdr:row>
      <xdr:rowOff>77320</xdr:rowOff>
    </xdr:from>
    <xdr:to>
      <xdr:col>6</xdr:col>
      <xdr:colOff>382039</xdr:colOff>
      <xdr:row>6</xdr:row>
      <xdr:rowOff>192908</xdr:rowOff>
    </xdr:to>
    <xdr:sp macro="" textlink="Daily_data!X9">
      <xdr:nvSpPr>
        <xdr:cNvPr id="8" name="Rectangle 7">
          <a:extLst>
            <a:ext uri="{FF2B5EF4-FFF2-40B4-BE49-F238E27FC236}">
              <a16:creationId xmlns:a16="http://schemas.microsoft.com/office/drawing/2014/main" id="{7245BF97-4703-E512-677C-02A00F052083}"/>
            </a:ext>
          </a:extLst>
        </xdr:cNvPr>
        <xdr:cNvSpPr/>
      </xdr:nvSpPr>
      <xdr:spPr>
        <a:xfrm>
          <a:off x="2099980"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9571A13-E8E5-4F12-A807-42FEB766D271}" type="TxLink">
            <a:rPr lang="en-US" sz="2000" b="1" i="0" u="none" strike="noStrike">
              <a:solidFill>
                <a:schemeClr val="bg1"/>
              </a:solidFill>
              <a:latin typeface="Calibri"/>
              <a:ea typeface="Calibri"/>
              <a:cs typeface="Calibri"/>
            </a:rPr>
            <a:pPr marL="0" indent="0" algn="ctr"/>
            <a:t> ₹ 1,20,36,097 </a:t>
          </a:fld>
          <a:endParaRPr lang="en-US" sz="2000" b="1" i="0" u="none" strike="noStrike">
            <a:solidFill>
              <a:schemeClr val="bg1"/>
            </a:solidFill>
            <a:latin typeface="Calibri"/>
            <a:ea typeface="Calibri"/>
            <a:cs typeface="Calibri"/>
          </a:endParaRPr>
        </a:p>
      </xdr:txBody>
    </xdr:sp>
    <xdr:clientData/>
  </xdr:twoCellAnchor>
  <xdr:twoCellAnchor>
    <xdr:from>
      <xdr:col>10</xdr:col>
      <xdr:colOff>593538</xdr:colOff>
      <xdr:row>2</xdr:row>
      <xdr:rowOff>77320</xdr:rowOff>
    </xdr:from>
    <xdr:to>
      <xdr:col>14</xdr:col>
      <xdr:colOff>108244</xdr:colOff>
      <xdr:row>6</xdr:row>
      <xdr:rowOff>192908</xdr:rowOff>
    </xdr:to>
    <xdr:sp macro="" textlink="Daily_data!X12">
      <xdr:nvSpPr>
        <xdr:cNvPr id="9" name="Rectangle 8">
          <a:extLst>
            <a:ext uri="{FF2B5EF4-FFF2-40B4-BE49-F238E27FC236}">
              <a16:creationId xmlns:a16="http://schemas.microsoft.com/office/drawing/2014/main" id="{138D7464-A656-C99C-4090-2D1E1818C9E3}"/>
            </a:ext>
          </a:extLst>
        </xdr:cNvPr>
        <xdr:cNvSpPr/>
      </xdr:nvSpPr>
      <xdr:spPr>
        <a:xfrm>
          <a:off x="6756773"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64682DF-61CD-4318-A54A-02350D6F4783}" type="TxLink">
            <a:rPr lang="en-US" sz="2000" b="1" i="0" u="none" strike="noStrike">
              <a:solidFill>
                <a:schemeClr val="bg1"/>
              </a:solidFill>
              <a:latin typeface="Calibri"/>
              <a:ea typeface="Calibri"/>
              <a:cs typeface="Calibri"/>
            </a:rPr>
            <a:pPr marL="0" indent="0" algn="ctr"/>
            <a:t>7974</a:t>
          </a:fld>
          <a:endParaRPr lang="en-IN" sz="2000" b="1" i="0" u="none" strike="noStrike">
            <a:solidFill>
              <a:schemeClr val="bg1"/>
            </a:solidFill>
            <a:latin typeface="Calibri"/>
            <a:ea typeface="Calibri"/>
            <a:cs typeface="Calibri"/>
          </a:endParaRPr>
        </a:p>
      </xdr:txBody>
    </xdr:sp>
    <xdr:clientData/>
  </xdr:twoCellAnchor>
  <xdr:twoCellAnchor>
    <xdr:from>
      <xdr:col>14</xdr:col>
      <xdr:colOff>477651</xdr:colOff>
      <xdr:row>2</xdr:row>
      <xdr:rowOff>77320</xdr:rowOff>
    </xdr:from>
    <xdr:to>
      <xdr:col>17</xdr:col>
      <xdr:colOff>608680</xdr:colOff>
      <xdr:row>6</xdr:row>
      <xdr:rowOff>192908</xdr:rowOff>
    </xdr:to>
    <xdr:sp macro="" textlink="Daily_data!X10">
      <xdr:nvSpPr>
        <xdr:cNvPr id="11" name="Rectangle 10">
          <a:extLst>
            <a:ext uri="{FF2B5EF4-FFF2-40B4-BE49-F238E27FC236}">
              <a16:creationId xmlns:a16="http://schemas.microsoft.com/office/drawing/2014/main" id="{8C270EB3-3083-C70C-71A1-C360B78241A4}"/>
            </a:ext>
          </a:extLst>
        </xdr:cNvPr>
        <xdr:cNvSpPr/>
      </xdr:nvSpPr>
      <xdr:spPr>
        <a:xfrm>
          <a:off x="9106180"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1CA3923-C2B3-4E0A-A8C4-0EAF9C17524A}" type="TxLink">
            <a:rPr lang="en-US" sz="2000" b="1" i="0" u="none" strike="noStrike">
              <a:solidFill>
                <a:schemeClr val="bg1"/>
              </a:solidFill>
              <a:latin typeface="Calibri"/>
              <a:ea typeface="Calibri"/>
              <a:cs typeface="Calibri"/>
            </a:rPr>
            <a:pPr marL="0" indent="0" algn="ctr"/>
            <a:t> ₹ 1,507 </a:t>
          </a:fld>
          <a:endParaRPr lang="en-US" sz="2000" b="1" i="0" u="none" strike="noStrike">
            <a:solidFill>
              <a:schemeClr val="bg1"/>
            </a:solidFill>
            <a:latin typeface="Calibri"/>
            <a:ea typeface="Calibri"/>
            <a:cs typeface="Calibri"/>
          </a:endParaRPr>
        </a:p>
      </xdr:txBody>
    </xdr:sp>
    <xdr:clientData/>
  </xdr:twoCellAnchor>
  <xdr:twoCellAnchor>
    <xdr:from>
      <xdr:col>22</xdr:col>
      <xdr:colOff>217862</xdr:colOff>
      <xdr:row>2</xdr:row>
      <xdr:rowOff>77320</xdr:rowOff>
    </xdr:from>
    <xdr:to>
      <xdr:col>25</xdr:col>
      <xdr:colOff>348892</xdr:colOff>
      <xdr:row>6</xdr:row>
      <xdr:rowOff>192908</xdr:rowOff>
    </xdr:to>
    <xdr:sp macro="" textlink="Daily_data!X11">
      <xdr:nvSpPr>
        <xdr:cNvPr id="12" name="Rectangle 11">
          <a:extLst>
            <a:ext uri="{FF2B5EF4-FFF2-40B4-BE49-F238E27FC236}">
              <a16:creationId xmlns:a16="http://schemas.microsoft.com/office/drawing/2014/main" id="{7427A2FF-4690-664B-E70D-073995E29C30}"/>
            </a:ext>
          </a:extLst>
        </xdr:cNvPr>
        <xdr:cNvSpPr/>
      </xdr:nvSpPr>
      <xdr:spPr>
        <a:xfrm>
          <a:off x="13776980"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F9088BD-7C3E-454A-980A-CC246E4277DA}" type="TxLink">
            <a:rPr lang="en-US" sz="2000" b="1" i="0" u="none" strike="noStrike">
              <a:solidFill>
                <a:schemeClr val="bg1"/>
              </a:solidFill>
              <a:latin typeface="Calibri"/>
              <a:ea typeface="Calibri"/>
              <a:cs typeface="Calibri"/>
            </a:rPr>
            <a:pPr marL="0" indent="0" algn="ctr"/>
            <a:t> ₹ 4,20,822 </a:t>
          </a:fld>
          <a:endParaRPr lang="en-US" sz="2000" b="1" i="0" u="none" strike="noStrike">
            <a:solidFill>
              <a:schemeClr val="bg1"/>
            </a:solidFill>
            <a:latin typeface="Calibri"/>
            <a:ea typeface="Calibri"/>
            <a:cs typeface="Calibri"/>
          </a:endParaRPr>
        </a:p>
      </xdr:txBody>
    </xdr:sp>
    <xdr:clientData/>
  </xdr:twoCellAnchor>
  <xdr:twoCellAnchor>
    <xdr:from>
      <xdr:col>3</xdr:col>
      <xdr:colOff>241484</xdr:colOff>
      <xdr:row>4</xdr:row>
      <xdr:rowOff>118782</xdr:rowOff>
    </xdr:from>
    <xdr:to>
      <xdr:col>6</xdr:col>
      <xdr:colOff>372514</xdr:colOff>
      <xdr:row>6</xdr:row>
      <xdr:rowOff>176576</xdr:rowOff>
    </xdr:to>
    <xdr:sp macro="" textlink="">
      <xdr:nvSpPr>
        <xdr:cNvPr id="3" name="TextBox 2">
          <a:extLst>
            <a:ext uri="{FF2B5EF4-FFF2-40B4-BE49-F238E27FC236}">
              <a16:creationId xmlns:a16="http://schemas.microsoft.com/office/drawing/2014/main" id="{5F6607AC-0881-ECBD-4719-6F9FE2667A6E}"/>
            </a:ext>
          </a:extLst>
        </xdr:cNvPr>
        <xdr:cNvSpPr txBox="1"/>
      </xdr:nvSpPr>
      <xdr:spPr>
        <a:xfrm>
          <a:off x="2090455" y="903194"/>
          <a:ext cx="1980000" cy="450000"/>
        </a:xfrm>
        <a:prstGeom prst="rect">
          <a:avLst/>
        </a:prstGeom>
        <a:solidFill>
          <a:srgbClr val="E8E8E8"/>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rgbClr val="FF0000"/>
              </a:solidFill>
            </a:rPr>
            <a:t>Total Revenue</a:t>
          </a:r>
        </a:p>
      </xdr:txBody>
    </xdr:sp>
    <xdr:clientData/>
  </xdr:twoCellAnchor>
  <xdr:twoCellAnchor>
    <xdr:from>
      <xdr:col>7</xdr:col>
      <xdr:colOff>117848</xdr:colOff>
      <xdr:row>4</xdr:row>
      <xdr:rowOff>118782</xdr:rowOff>
    </xdr:from>
    <xdr:to>
      <xdr:col>10</xdr:col>
      <xdr:colOff>248878</xdr:colOff>
      <xdr:row>6</xdr:row>
      <xdr:rowOff>176576</xdr:rowOff>
    </xdr:to>
    <xdr:sp macro="" textlink="">
      <xdr:nvSpPr>
        <xdr:cNvPr id="4" name="TextBox 3">
          <a:extLst>
            <a:ext uri="{FF2B5EF4-FFF2-40B4-BE49-F238E27FC236}">
              <a16:creationId xmlns:a16="http://schemas.microsoft.com/office/drawing/2014/main" id="{83FF5380-2A30-7EBE-43D6-8EFF085D3017}"/>
            </a:ext>
          </a:extLst>
        </xdr:cNvPr>
        <xdr:cNvSpPr txBox="1"/>
      </xdr:nvSpPr>
      <xdr:spPr>
        <a:xfrm>
          <a:off x="4432113" y="903194"/>
          <a:ext cx="1980000" cy="450000"/>
        </a:xfrm>
        <a:prstGeom prst="rect">
          <a:avLst/>
        </a:prstGeom>
        <a:solidFill>
          <a:srgbClr val="E8E8E8"/>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rgbClr val="FF0000"/>
              </a:solidFill>
            </a:rPr>
            <a:t>Total Expense</a:t>
          </a:r>
        </a:p>
      </xdr:txBody>
    </xdr:sp>
    <xdr:clientData/>
  </xdr:twoCellAnchor>
  <xdr:twoCellAnchor>
    <xdr:from>
      <xdr:col>18</xdr:col>
      <xdr:colOff>349255</xdr:colOff>
      <xdr:row>4</xdr:row>
      <xdr:rowOff>118782</xdr:rowOff>
    </xdr:from>
    <xdr:to>
      <xdr:col>21</xdr:col>
      <xdr:colOff>480285</xdr:colOff>
      <xdr:row>6</xdr:row>
      <xdr:rowOff>176576</xdr:rowOff>
    </xdr:to>
    <xdr:sp macro="" textlink="">
      <xdr:nvSpPr>
        <xdr:cNvPr id="10" name="TextBox 9">
          <a:extLst>
            <a:ext uri="{FF2B5EF4-FFF2-40B4-BE49-F238E27FC236}">
              <a16:creationId xmlns:a16="http://schemas.microsoft.com/office/drawing/2014/main" id="{34ED89E1-D371-70F2-58D8-5007A65D8274}"/>
            </a:ext>
          </a:extLst>
        </xdr:cNvPr>
        <xdr:cNvSpPr txBox="1"/>
      </xdr:nvSpPr>
      <xdr:spPr>
        <a:xfrm>
          <a:off x="11443079" y="903194"/>
          <a:ext cx="1980000" cy="450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1">
              <a:solidFill>
                <a:srgbClr val="FF0000"/>
              </a:solidFill>
              <a:latin typeface="+mn-lt"/>
              <a:ea typeface="+mn-ea"/>
              <a:cs typeface="+mn-cs"/>
            </a:rPr>
            <a:t>Average RevPar</a:t>
          </a:r>
        </a:p>
      </xdr:txBody>
    </xdr:sp>
    <xdr:clientData/>
  </xdr:twoCellAnchor>
  <xdr:twoCellAnchor>
    <xdr:from>
      <xdr:col>22</xdr:col>
      <xdr:colOff>211607</xdr:colOff>
      <xdr:row>4</xdr:row>
      <xdr:rowOff>118782</xdr:rowOff>
    </xdr:from>
    <xdr:to>
      <xdr:col>25</xdr:col>
      <xdr:colOff>342637</xdr:colOff>
      <xdr:row>6</xdr:row>
      <xdr:rowOff>176576</xdr:rowOff>
    </xdr:to>
    <xdr:sp macro="" textlink="">
      <xdr:nvSpPr>
        <xdr:cNvPr id="13" name="TextBox 12">
          <a:extLst>
            <a:ext uri="{FF2B5EF4-FFF2-40B4-BE49-F238E27FC236}">
              <a16:creationId xmlns:a16="http://schemas.microsoft.com/office/drawing/2014/main" id="{B42BD658-EB57-C565-2AAA-F985411BAFAD}"/>
            </a:ext>
          </a:extLst>
        </xdr:cNvPr>
        <xdr:cNvSpPr txBox="1"/>
      </xdr:nvSpPr>
      <xdr:spPr>
        <a:xfrm>
          <a:off x="13770725" y="903194"/>
          <a:ext cx="1980000" cy="450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1">
              <a:solidFill>
                <a:srgbClr val="FF0000"/>
              </a:solidFill>
              <a:latin typeface="+mn-lt"/>
              <a:ea typeface="+mn-ea"/>
              <a:cs typeface="+mn-cs"/>
            </a:rPr>
            <a:t>Net Profit</a:t>
          </a:r>
        </a:p>
      </xdr:txBody>
    </xdr:sp>
    <xdr:clientData/>
  </xdr:twoCellAnchor>
  <xdr:twoCellAnchor>
    <xdr:from>
      <xdr:col>10</xdr:col>
      <xdr:colOff>596529</xdr:colOff>
      <xdr:row>4</xdr:row>
      <xdr:rowOff>118782</xdr:rowOff>
    </xdr:from>
    <xdr:to>
      <xdr:col>14</xdr:col>
      <xdr:colOff>111235</xdr:colOff>
      <xdr:row>6</xdr:row>
      <xdr:rowOff>176576</xdr:rowOff>
    </xdr:to>
    <xdr:sp macro="" textlink="">
      <xdr:nvSpPr>
        <xdr:cNvPr id="14" name="TextBox 13">
          <a:extLst>
            <a:ext uri="{FF2B5EF4-FFF2-40B4-BE49-F238E27FC236}">
              <a16:creationId xmlns:a16="http://schemas.microsoft.com/office/drawing/2014/main" id="{69CF19B1-73F2-A708-6C2B-86B992252C94}"/>
            </a:ext>
          </a:extLst>
        </xdr:cNvPr>
        <xdr:cNvSpPr txBox="1"/>
      </xdr:nvSpPr>
      <xdr:spPr>
        <a:xfrm>
          <a:off x="6759764" y="903194"/>
          <a:ext cx="1980000" cy="450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rgbClr val="FF0000"/>
              </a:solidFill>
            </a:rPr>
            <a:t>Total</a:t>
          </a:r>
          <a:r>
            <a:rPr lang="en-IN" sz="2000" b="1" baseline="0">
              <a:solidFill>
                <a:srgbClr val="FF0000"/>
              </a:solidFill>
            </a:rPr>
            <a:t> Rooms Sold</a:t>
          </a:r>
        </a:p>
      </xdr:txBody>
    </xdr:sp>
    <xdr:clientData/>
  </xdr:twoCellAnchor>
  <xdr:twoCellAnchor>
    <xdr:from>
      <xdr:col>14</xdr:col>
      <xdr:colOff>472893</xdr:colOff>
      <xdr:row>4</xdr:row>
      <xdr:rowOff>118782</xdr:rowOff>
    </xdr:from>
    <xdr:to>
      <xdr:col>17</xdr:col>
      <xdr:colOff>603922</xdr:colOff>
      <xdr:row>6</xdr:row>
      <xdr:rowOff>176576</xdr:rowOff>
    </xdr:to>
    <xdr:sp macro="" textlink="">
      <xdr:nvSpPr>
        <xdr:cNvPr id="15" name="TextBox 14">
          <a:extLst>
            <a:ext uri="{FF2B5EF4-FFF2-40B4-BE49-F238E27FC236}">
              <a16:creationId xmlns:a16="http://schemas.microsoft.com/office/drawing/2014/main" id="{D93583A4-042C-63FB-AADC-0EF858922171}"/>
            </a:ext>
          </a:extLst>
        </xdr:cNvPr>
        <xdr:cNvSpPr txBox="1"/>
      </xdr:nvSpPr>
      <xdr:spPr>
        <a:xfrm>
          <a:off x="9101422" y="903194"/>
          <a:ext cx="1980000" cy="450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1">
              <a:solidFill>
                <a:srgbClr val="FF0000"/>
              </a:solidFill>
              <a:latin typeface="+mn-lt"/>
              <a:ea typeface="+mn-ea"/>
              <a:cs typeface="+mn-cs"/>
            </a:rPr>
            <a:t>Average ADR</a:t>
          </a:r>
        </a:p>
      </xdr:txBody>
    </xdr:sp>
    <xdr:clientData/>
  </xdr:twoCellAnchor>
  <xdr:twoCellAnchor editAs="oneCell">
    <xdr:from>
      <xdr:col>0</xdr:col>
      <xdr:colOff>98049</xdr:colOff>
      <xdr:row>2</xdr:row>
      <xdr:rowOff>126070</xdr:rowOff>
    </xdr:from>
    <xdr:to>
      <xdr:col>3</xdr:col>
      <xdr:colOff>77878</xdr:colOff>
      <xdr:row>7</xdr:row>
      <xdr:rowOff>154085</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D9DA53DE-3C1F-41DE-9D1B-48D845A8D0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049" y="518276"/>
              <a:ext cx="1828800" cy="1008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69236</xdr:colOff>
      <xdr:row>8</xdr:row>
      <xdr:rowOff>66436</xdr:rowOff>
    </xdr:from>
    <xdr:to>
      <xdr:col>3</xdr:col>
      <xdr:colOff>119715</xdr:colOff>
      <xdr:row>31</xdr:row>
      <xdr:rowOff>168088</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8CE89CF0-A20B-4595-8CB2-3D00951F138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9236" y="1635260"/>
              <a:ext cx="1899450" cy="461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182099</xdr:colOff>
      <xdr:row>7</xdr:row>
      <xdr:rowOff>98052</xdr:rowOff>
    </xdr:from>
    <xdr:to>
      <xdr:col>10</xdr:col>
      <xdr:colOff>439835</xdr:colOff>
      <xdr:row>19</xdr:row>
      <xdr:rowOff>84817</xdr:rowOff>
    </xdr:to>
    <xdr:graphicFrame macro="">
      <xdr:nvGraphicFramePr>
        <xdr:cNvPr id="16" name="Chart 15">
          <a:extLst>
            <a:ext uri="{FF2B5EF4-FFF2-40B4-BE49-F238E27FC236}">
              <a16:creationId xmlns:a16="http://schemas.microsoft.com/office/drawing/2014/main" id="{D6B72624-67B9-44C3-9939-CDF7C599B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501465</xdr:colOff>
      <xdr:row>7</xdr:row>
      <xdr:rowOff>98050</xdr:rowOff>
    </xdr:from>
    <xdr:to>
      <xdr:col>18</xdr:col>
      <xdr:colOff>142876</xdr:colOff>
      <xdr:row>19</xdr:row>
      <xdr:rowOff>84815</xdr:rowOff>
    </xdr:to>
    <xdr:graphicFrame macro="">
      <xdr:nvGraphicFramePr>
        <xdr:cNvPr id="22" name="Chart 21">
          <a:extLst>
            <a:ext uri="{FF2B5EF4-FFF2-40B4-BE49-F238E27FC236}">
              <a16:creationId xmlns:a16="http://schemas.microsoft.com/office/drawing/2014/main" id="{D1F12609-4B40-49F9-AD00-E264EC32C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174392</xdr:colOff>
      <xdr:row>19</xdr:row>
      <xdr:rowOff>136070</xdr:rowOff>
    </xdr:from>
    <xdr:to>
      <xdr:col>10</xdr:col>
      <xdr:colOff>432128</xdr:colOff>
      <xdr:row>31</xdr:row>
      <xdr:rowOff>122835</xdr:rowOff>
    </xdr:to>
    <xdr:graphicFrame macro="">
      <xdr:nvGraphicFramePr>
        <xdr:cNvPr id="23" name="Chart 22">
          <a:extLst>
            <a:ext uri="{FF2B5EF4-FFF2-40B4-BE49-F238E27FC236}">
              <a16:creationId xmlns:a16="http://schemas.microsoft.com/office/drawing/2014/main" id="{6CD0B162-A486-488F-8FF2-49A71EC16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495019</xdr:colOff>
      <xdr:row>19</xdr:row>
      <xdr:rowOff>136069</xdr:rowOff>
    </xdr:from>
    <xdr:to>
      <xdr:col>18</xdr:col>
      <xdr:colOff>136430</xdr:colOff>
      <xdr:row>31</xdr:row>
      <xdr:rowOff>122834</xdr:rowOff>
    </xdr:to>
    <xdr:graphicFrame macro="">
      <xdr:nvGraphicFramePr>
        <xdr:cNvPr id="24" name="Chart 23">
          <a:extLst>
            <a:ext uri="{FF2B5EF4-FFF2-40B4-BE49-F238E27FC236}">
              <a16:creationId xmlns:a16="http://schemas.microsoft.com/office/drawing/2014/main" id="{D770487D-A277-4ECE-8A10-EDF32DAAA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202907</xdr:colOff>
      <xdr:row>7</xdr:row>
      <xdr:rowOff>98051</xdr:rowOff>
    </xdr:from>
    <xdr:to>
      <xdr:col>23</xdr:col>
      <xdr:colOff>541290</xdr:colOff>
      <xdr:row>31</xdr:row>
      <xdr:rowOff>71581</xdr:rowOff>
    </xdr:to>
    <xdr:graphicFrame macro="">
      <xdr:nvGraphicFramePr>
        <xdr:cNvPr id="25" name="Chart 24">
          <a:extLst>
            <a:ext uri="{FF2B5EF4-FFF2-40B4-BE49-F238E27FC236}">
              <a16:creationId xmlns:a16="http://schemas.microsoft.com/office/drawing/2014/main" id="{150B2862-4A82-4723-B713-F08C23EF2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xdr:colOff>
      <xdr:row>7</xdr:row>
      <xdr:rowOff>98052</xdr:rowOff>
    </xdr:from>
    <xdr:to>
      <xdr:col>29</xdr:col>
      <xdr:colOff>338382</xdr:colOff>
      <xdr:row>31</xdr:row>
      <xdr:rowOff>71582</xdr:rowOff>
    </xdr:to>
    <xdr:graphicFrame macro="">
      <xdr:nvGraphicFramePr>
        <xdr:cNvPr id="26" name="Chart 25">
          <a:extLst>
            <a:ext uri="{FF2B5EF4-FFF2-40B4-BE49-F238E27FC236}">
              <a16:creationId xmlns:a16="http://schemas.microsoft.com/office/drawing/2014/main" id="{187ED288-7D75-4F66-B83C-9B95F0FB2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87966</xdr:colOff>
      <xdr:row>2</xdr:row>
      <xdr:rowOff>77320</xdr:rowOff>
    </xdr:from>
    <xdr:to>
      <xdr:col>29</xdr:col>
      <xdr:colOff>218996</xdr:colOff>
      <xdr:row>6</xdr:row>
      <xdr:rowOff>192908</xdr:rowOff>
    </xdr:to>
    <xdr:sp macro="" textlink="Daily_data!X20">
      <xdr:nvSpPr>
        <xdr:cNvPr id="27" name="Rectangle 26">
          <a:extLst>
            <a:ext uri="{FF2B5EF4-FFF2-40B4-BE49-F238E27FC236}">
              <a16:creationId xmlns:a16="http://schemas.microsoft.com/office/drawing/2014/main" id="{68988F13-FE03-CA40-260B-6492B457552F}"/>
            </a:ext>
          </a:extLst>
        </xdr:cNvPr>
        <xdr:cNvSpPr/>
      </xdr:nvSpPr>
      <xdr:spPr>
        <a:xfrm>
          <a:off x="16112378" y="469526"/>
          <a:ext cx="1980000" cy="900000"/>
        </a:xfrm>
        <a:prstGeom prst="rect">
          <a:avLst/>
        </a:prstGeom>
        <a:solidFill>
          <a:srgbClr val="EE232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5E80E7A-4269-4D8F-87B0-785505DEEDDB}" type="TxLink">
            <a:rPr lang="en-US" sz="2000" b="1" i="0" u="none" strike="noStrike">
              <a:solidFill>
                <a:schemeClr val="bg1"/>
              </a:solidFill>
              <a:latin typeface="Calibri"/>
              <a:ea typeface="Calibri"/>
              <a:cs typeface="Calibri"/>
            </a:rPr>
            <a:pPr marL="0" indent="0" algn="ctr"/>
            <a:t> ₹ 1,370 </a:t>
          </a:fld>
          <a:endParaRPr lang="en-US" sz="2000" b="1" i="0" u="none" strike="noStrike">
            <a:solidFill>
              <a:schemeClr val="bg1"/>
            </a:solidFill>
            <a:latin typeface="Calibri"/>
            <a:ea typeface="Calibri"/>
            <a:cs typeface="Calibri"/>
          </a:endParaRPr>
        </a:p>
      </xdr:txBody>
    </xdr:sp>
    <xdr:clientData/>
  </xdr:twoCellAnchor>
  <xdr:twoCellAnchor>
    <xdr:from>
      <xdr:col>26</xdr:col>
      <xdr:colOff>87974</xdr:colOff>
      <xdr:row>4</xdr:row>
      <xdr:rowOff>118782</xdr:rowOff>
    </xdr:from>
    <xdr:to>
      <xdr:col>29</xdr:col>
      <xdr:colOff>219004</xdr:colOff>
      <xdr:row>6</xdr:row>
      <xdr:rowOff>176576</xdr:rowOff>
    </xdr:to>
    <xdr:sp macro="" textlink="">
      <xdr:nvSpPr>
        <xdr:cNvPr id="28" name="TextBox 27">
          <a:extLst>
            <a:ext uri="{FF2B5EF4-FFF2-40B4-BE49-F238E27FC236}">
              <a16:creationId xmlns:a16="http://schemas.microsoft.com/office/drawing/2014/main" id="{6B33A036-7360-9EA4-825A-4B8D5B9C8E91}"/>
            </a:ext>
          </a:extLst>
        </xdr:cNvPr>
        <xdr:cNvSpPr txBox="1"/>
      </xdr:nvSpPr>
      <xdr:spPr>
        <a:xfrm>
          <a:off x="16112386" y="903194"/>
          <a:ext cx="1980000" cy="4500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1">
              <a:solidFill>
                <a:srgbClr val="FF0000"/>
              </a:solidFill>
              <a:latin typeface="+mn-lt"/>
              <a:ea typeface="+mn-ea"/>
              <a:cs typeface="+mn-cs"/>
            </a:rPr>
            <a:t>CPOR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xdr:colOff>
      <xdr:row>1</xdr:row>
      <xdr:rowOff>9525</xdr:rowOff>
    </xdr:from>
    <xdr:to>
      <xdr:col>15</xdr:col>
      <xdr:colOff>0</xdr:colOff>
      <xdr:row>15</xdr:row>
      <xdr:rowOff>180975</xdr:rowOff>
    </xdr:to>
    <xdr:graphicFrame macro="">
      <xdr:nvGraphicFramePr>
        <xdr:cNvPr id="2" name="Chart 1">
          <a:extLst>
            <a:ext uri="{FF2B5EF4-FFF2-40B4-BE49-F238E27FC236}">
              <a16:creationId xmlns:a16="http://schemas.microsoft.com/office/drawing/2014/main" id="{28ACAD11-840C-A1E0-FA14-A5CA1C3FA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20</xdr:row>
      <xdr:rowOff>95250</xdr:rowOff>
    </xdr:from>
    <xdr:to>
      <xdr:col>11</xdr:col>
      <xdr:colOff>266700</xdr:colOff>
      <xdr:row>34</xdr:row>
      <xdr:rowOff>171450</xdr:rowOff>
    </xdr:to>
    <xdr:graphicFrame macro="">
      <xdr:nvGraphicFramePr>
        <xdr:cNvPr id="3" name="Chart 2">
          <a:extLst>
            <a:ext uri="{FF2B5EF4-FFF2-40B4-BE49-F238E27FC236}">
              <a16:creationId xmlns:a16="http://schemas.microsoft.com/office/drawing/2014/main" id="{FA62D704-D3F8-1277-154D-3FE672DD7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619125</xdr:colOff>
      <xdr:row>38</xdr:row>
      <xdr:rowOff>133350</xdr:rowOff>
    </xdr:from>
    <xdr:to>
      <xdr:col>13</xdr:col>
      <xdr:colOff>266700</xdr:colOff>
      <xdr:row>50</xdr:row>
      <xdr:rowOff>95250</xdr:rowOff>
    </xdr:to>
    <xdr:graphicFrame macro="">
      <xdr:nvGraphicFramePr>
        <xdr:cNvPr id="5" name="Chart 4">
          <a:extLst>
            <a:ext uri="{FF2B5EF4-FFF2-40B4-BE49-F238E27FC236}">
              <a16:creationId xmlns:a16="http://schemas.microsoft.com/office/drawing/2014/main" id="{BD989401-B746-634D-03E4-EBC22D6DA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638176</xdr:colOff>
      <xdr:row>75</xdr:row>
      <xdr:rowOff>47625</xdr:rowOff>
    </xdr:from>
    <xdr:to>
      <xdr:col>16</xdr:col>
      <xdr:colOff>47625</xdr:colOff>
      <xdr:row>88</xdr:row>
      <xdr:rowOff>28575</xdr:rowOff>
    </xdr:to>
    <xdr:graphicFrame macro="">
      <xdr:nvGraphicFramePr>
        <xdr:cNvPr id="7" name="Chart 6">
          <a:extLst>
            <a:ext uri="{FF2B5EF4-FFF2-40B4-BE49-F238E27FC236}">
              <a16:creationId xmlns:a16="http://schemas.microsoft.com/office/drawing/2014/main" id="{15CD43B5-D6CE-48A6-89EB-D01AE5E9D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1057275</xdr:colOff>
      <xdr:row>94</xdr:row>
      <xdr:rowOff>9525</xdr:rowOff>
    </xdr:from>
    <xdr:to>
      <xdr:col>5</xdr:col>
      <xdr:colOff>1428750</xdr:colOff>
      <xdr:row>109</xdr:row>
      <xdr:rowOff>38100</xdr:rowOff>
    </xdr:to>
    <xdr:graphicFrame macro="">
      <xdr:nvGraphicFramePr>
        <xdr:cNvPr id="8" name="Chart 7">
          <a:extLst>
            <a:ext uri="{FF2B5EF4-FFF2-40B4-BE49-F238E27FC236}">
              <a16:creationId xmlns:a16="http://schemas.microsoft.com/office/drawing/2014/main" id="{E64D1FB9-4E31-E824-BD0F-0D03EC9DA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1057274</xdr:colOff>
      <xdr:row>112</xdr:row>
      <xdr:rowOff>19050</xdr:rowOff>
    </xdr:from>
    <xdr:to>
      <xdr:col>16</xdr:col>
      <xdr:colOff>28574</xdr:colOff>
      <xdr:row>128</xdr:row>
      <xdr:rowOff>9525</xdr:rowOff>
    </xdr:to>
    <xdr:graphicFrame macro="">
      <xdr:nvGraphicFramePr>
        <xdr:cNvPr id="9" name="Chart 8">
          <a:extLst>
            <a:ext uri="{FF2B5EF4-FFF2-40B4-BE49-F238E27FC236}">
              <a16:creationId xmlns:a16="http://schemas.microsoft.com/office/drawing/2014/main" id="{6928780E-188C-6B73-F35D-ECBD78E6E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819150</xdr:colOff>
      <xdr:row>56</xdr:row>
      <xdr:rowOff>85724</xdr:rowOff>
    </xdr:from>
    <xdr:to>
      <xdr:col>12</xdr:col>
      <xdr:colOff>9525</xdr:colOff>
      <xdr:row>68</xdr:row>
      <xdr:rowOff>57149</xdr:rowOff>
    </xdr:to>
    <xdr:graphicFrame macro="">
      <xdr:nvGraphicFramePr>
        <xdr:cNvPr id="10" name="Chart 9">
          <a:extLst>
            <a:ext uri="{FF2B5EF4-FFF2-40B4-BE49-F238E27FC236}">
              <a16:creationId xmlns:a16="http://schemas.microsoft.com/office/drawing/2014/main" id="{B05D30FD-6552-7503-167F-A9AA71319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457199</xdr:colOff>
      <xdr:row>156</xdr:row>
      <xdr:rowOff>38100</xdr:rowOff>
    </xdr:from>
    <xdr:to>
      <xdr:col>8</xdr:col>
      <xdr:colOff>9524</xdr:colOff>
      <xdr:row>177</xdr:row>
      <xdr:rowOff>171450</xdr:rowOff>
    </xdr:to>
    <xdr:graphicFrame macro="">
      <xdr:nvGraphicFramePr>
        <xdr:cNvPr id="11" name="Chart 10">
          <a:extLst>
            <a:ext uri="{FF2B5EF4-FFF2-40B4-BE49-F238E27FC236}">
              <a16:creationId xmlns:a16="http://schemas.microsoft.com/office/drawing/2014/main" id="{52CF8333-370D-C6B5-D1C1-A1FCCBD89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914400</xdr:colOff>
      <xdr:row>182</xdr:row>
      <xdr:rowOff>114300</xdr:rowOff>
    </xdr:from>
    <xdr:to>
      <xdr:col>6</xdr:col>
      <xdr:colOff>171450</xdr:colOff>
      <xdr:row>197</xdr:row>
      <xdr:rowOff>0</xdr:rowOff>
    </xdr:to>
    <xdr:graphicFrame macro="">
      <xdr:nvGraphicFramePr>
        <xdr:cNvPr id="4" name="Chart 3">
          <a:extLst>
            <a:ext uri="{FF2B5EF4-FFF2-40B4-BE49-F238E27FC236}">
              <a16:creationId xmlns:a16="http://schemas.microsoft.com/office/drawing/2014/main" id="{64310230-B403-2565-65D0-7DED4C5B3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571500</xdr:colOff>
      <xdr:row>205</xdr:row>
      <xdr:rowOff>76200</xdr:rowOff>
    </xdr:from>
    <xdr:to>
      <xdr:col>8</xdr:col>
      <xdr:colOff>104773</xdr:colOff>
      <xdr:row>215</xdr:row>
      <xdr:rowOff>180974</xdr:rowOff>
    </xdr:to>
    <xdr:graphicFrame macro="">
      <xdr:nvGraphicFramePr>
        <xdr:cNvPr id="6" name="Chart 5">
          <a:extLst>
            <a:ext uri="{FF2B5EF4-FFF2-40B4-BE49-F238E27FC236}">
              <a16:creationId xmlns:a16="http://schemas.microsoft.com/office/drawing/2014/main" id="{E4B8496C-7790-9784-9A16-513BAE601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3.984457754632" createdVersion="8" refreshedVersion="8" minRefreshableVersion="3" recordCount="731" xr:uid="{11F5F22C-FC76-4430-B312-BE684367BA59}">
  <cacheSource type="worksheet">
    <worksheetSource name="Daily_Data"/>
  </cacheSource>
  <cacheFields count="19">
    <cacheField name="Date" numFmtId="14">
      <sharedItems containsSemiMixedTypes="0" containsNonDate="0" containsDate="1" containsString="0" minDate="2023-01-01T00:00:00" maxDate="2025-01-01T00:00:00"/>
    </cacheField>
    <cacheField name="Month_key" numFmtId="164">
      <sharedItems containsSemiMixedTypes="0" containsNonDate="0" containsDate="1" containsString="0" minDate="2023-01-01T00:00:00" maxDate="2024-12-02T00:00:00"/>
    </cacheField>
    <cacheField name="Month" numFmtId="164">
      <sharedItems count="12">
        <s v="January"/>
        <s v="February"/>
        <s v="March"/>
        <s v="April"/>
        <s v="May"/>
        <s v="June"/>
        <s v="July"/>
        <s v="August"/>
        <s v="September"/>
        <s v="October"/>
        <s v="November"/>
        <s v="December"/>
      </sharedItems>
    </cacheField>
    <cacheField name="Year" numFmtId="164">
      <sharedItems count="2">
        <s v="2023"/>
        <s v="2024"/>
      </sharedItems>
    </cacheField>
    <cacheField name="Rooms_Occupied" numFmtId="0">
      <sharedItems containsSemiMixedTypes="0" containsString="0" containsNumber="1" containsInteger="1" minValue="8" maxValue="14"/>
    </cacheField>
    <cacheField name="Max_rooms" numFmtId="0">
      <sharedItems containsSemiMixedTypes="0" containsString="0" containsNumber="1" containsInteger="1" minValue="14" maxValue="14"/>
    </cacheField>
    <cacheField name="Occupancy_rate" numFmtId="9">
      <sharedItems containsSemiMixedTypes="0" containsString="0" containsNumber="1" minValue="0.5714285714285714" maxValue="1" count="7">
        <n v="0.8571428571428571"/>
        <n v="0.7857142857142857"/>
        <n v="0.9285714285714286"/>
        <n v="1"/>
        <n v="0.7142857142857143"/>
        <n v="0.6428571428571429"/>
        <n v="0.5714285714285714"/>
      </sharedItems>
    </cacheField>
    <cacheField name="Room_rate" numFmtId="0">
      <sharedItems containsSemiMixedTypes="0" containsString="0" containsNumber="1" containsInteger="1" minValue="1002" maxValue="1996"/>
    </cacheField>
    <cacheField name="Total_Sales" numFmtId="0">
      <sharedItems containsSemiMixedTypes="0" containsString="0" containsNumber="1" containsInteger="1" minValue="8016" maxValue="27944"/>
    </cacheField>
    <cacheField name="OTA Commision" numFmtId="1">
      <sharedItems containsSemiMixedTypes="0" containsString="0" containsNumber="1" minValue="1763.52" maxValue="6147.68"/>
    </cacheField>
    <cacheField name="Daily_Rent" numFmtId="1">
      <sharedItems containsSemiMixedTypes="0" containsString="0" containsNumber="1" minValue="6129.0322580645161" maxValue="8333.3333333333339"/>
    </cacheField>
    <cacheField name="Daily_Staff" numFmtId="1">
      <sharedItems containsSemiMixedTypes="0" containsString="0" containsNumber="1" minValue="2258.0645161290322" maxValue="2500"/>
    </cacheField>
    <cacheField name="Daily_HK" numFmtId="1">
      <sharedItems containsSemiMixedTypes="0" containsString="0" containsNumber="1" minValue="219.78021978021977" maxValue="465.11627906976742"/>
    </cacheField>
    <cacheField name="Daily_Electricity" numFmtId="1">
      <sharedItems containsSemiMixedTypes="0" containsString="0" containsNumber="1" minValue="1308.9326542161857" maxValue="2129.7037111942564"/>
    </cacheField>
    <cacheField name="Daily Maintenance" numFmtId="1">
      <sharedItems containsSemiMixedTypes="0" containsString="0" containsNumber="1" minValue="645.16129032258061" maxValue="714.28571428571433"/>
    </cacheField>
    <cacheField name="Total_Daily_Expense" numFmtId="1">
      <sharedItems containsSemiMixedTypes="0" containsString="0" containsNumber="1" minValue="12796.314227504245" maxValue="19784.93670682731"/>
    </cacheField>
    <cacheField name="Profit" numFmtId="1">
      <sharedItems containsSemiMixedTypes="0" containsString="0" containsNumber="1" minValue="-6086.0992952853594" maxValue="9647.9477671652567"/>
    </cacheField>
    <cacheField name="ADR" numFmtId="1">
      <sharedItems containsSemiMixedTypes="0" containsString="0" containsNumber="1" containsInteger="1" minValue="1002" maxValue="1996"/>
    </cacheField>
    <cacheField name="RevPar" numFmtId="1">
      <sharedItems containsSemiMixedTypes="0" containsString="0" containsNumber="1" minValue="572.57142857142856" maxValue="1996"/>
    </cacheField>
  </cacheFields>
  <extLst>
    <ext xmlns:x14="http://schemas.microsoft.com/office/spreadsheetml/2009/9/main" uri="{725AE2AE-9491-48be-B2B4-4EB974FC3084}">
      <x14:pivotCacheDefinition pivotCacheId="1930711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1">
  <r>
    <d v="2023-01-01T00:00:00"/>
    <d v="2023-01-01T00:00:00"/>
    <x v="0"/>
    <x v="0"/>
    <n v="12"/>
    <n v="14"/>
    <x v="0"/>
    <n v="1687"/>
    <n v="20244"/>
    <n v="4453.68"/>
    <n v="6129.0322580645161"/>
    <n v="2258.0645161290322"/>
    <n v="335.19553072625695"/>
    <n v="1740.2844476482248"/>
    <n v="645.16129032258061"/>
    <n v="15561.418042890609"/>
    <n v="4682.5819571093907"/>
    <n v="1687"/>
    <n v="1446"/>
  </r>
  <r>
    <d v="2023-01-02T00:00:00"/>
    <d v="2023-01-01T00:00:00"/>
    <x v="0"/>
    <x v="0"/>
    <n v="12"/>
    <n v="14"/>
    <x v="0"/>
    <n v="1458"/>
    <n v="17496"/>
    <n v="3849.12"/>
    <n v="6129.0322580645161"/>
    <n v="2258.0645161290322"/>
    <n v="335.19553072625695"/>
    <n v="1740.2844476482248"/>
    <n v="645.16129032258061"/>
    <n v="14956.858042890612"/>
    <n v="2539.1419571093884"/>
    <n v="1458"/>
    <n v="1249.7142857142858"/>
  </r>
  <r>
    <d v="2023-01-03T00:00:00"/>
    <d v="2023-01-01T00:00:00"/>
    <x v="0"/>
    <x v="0"/>
    <n v="12"/>
    <n v="14"/>
    <x v="0"/>
    <n v="1561"/>
    <n v="18732"/>
    <n v="4121.04"/>
    <n v="6129.0322580645161"/>
    <n v="2258.0645161290322"/>
    <n v="335.19553072625695"/>
    <n v="1740.2844476482248"/>
    <n v="645.16129032258061"/>
    <n v="15228.77804289061"/>
    <n v="3503.2219571093901"/>
    <n v="1561"/>
    <n v="1338"/>
  </r>
  <r>
    <d v="2023-01-04T00:00:00"/>
    <d v="2023-01-01T00:00:00"/>
    <x v="0"/>
    <x v="0"/>
    <n v="11"/>
    <n v="14"/>
    <x v="1"/>
    <n v="1970"/>
    <n v="21670"/>
    <n v="4767.3999999999996"/>
    <n v="6129.0322580645161"/>
    <n v="2258.0645161290322"/>
    <n v="307.26256983240222"/>
    <n v="1651.9403135700127"/>
    <n v="645.16129032258061"/>
    <n v="15758.860947918545"/>
    <n v="5911.1390520814548"/>
    <n v="1970"/>
    <n v="1547.8571428571429"/>
  </r>
  <r>
    <d v="2023-01-05T00:00:00"/>
    <d v="2023-01-01T00:00:00"/>
    <x v="0"/>
    <x v="0"/>
    <n v="12"/>
    <n v="14"/>
    <x v="0"/>
    <n v="1556"/>
    <n v="18672"/>
    <n v="4107.84"/>
    <n v="6129.0322580645161"/>
    <n v="2258.0645161290322"/>
    <n v="335.19553072625695"/>
    <n v="1740.2844476482248"/>
    <n v="645.16129032258061"/>
    <n v="15215.578042890609"/>
    <n v="3456.4219571093909"/>
    <n v="1556"/>
    <n v="1333.7142857142858"/>
  </r>
  <r>
    <d v="2023-01-06T00:00:00"/>
    <d v="2023-01-01T00:00:00"/>
    <x v="0"/>
    <x v="0"/>
    <n v="13"/>
    <n v="14"/>
    <x v="2"/>
    <n v="1572"/>
    <n v="20436"/>
    <n v="4495.92"/>
    <n v="6129.0322580645161"/>
    <n v="2258.0645161290322"/>
    <n v="363.12849162011173"/>
    <n v="1828.6285817264372"/>
    <n v="645.16129032258061"/>
    <n v="15719.93513786268"/>
    <n v="4716.0648621373202"/>
    <n v="1572"/>
    <n v="1459.7142857142858"/>
  </r>
  <r>
    <d v="2023-01-07T00:00:00"/>
    <d v="2023-01-01T00:00:00"/>
    <x v="0"/>
    <x v="0"/>
    <n v="14"/>
    <n v="14"/>
    <x v="3"/>
    <n v="1922"/>
    <n v="26908"/>
    <n v="5919.76"/>
    <n v="6129.0322580645161"/>
    <n v="2258.0645161290322"/>
    <n v="391.06145251396646"/>
    <n v="1916.9727158046494"/>
    <n v="645.16129032258061"/>
    <n v="17260.052232834743"/>
    <n v="9647.9477671652567"/>
    <n v="1922"/>
    <n v="1922"/>
  </r>
  <r>
    <d v="2023-01-08T00:00:00"/>
    <d v="2023-01-01T00:00:00"/>
    <x v="0"/>
    <x v="0"/>
    <n v="13"/>
    <n v="14"/>
    <x v="2"/>
    <n v="1588"/>
    <n v="20644"/>
    <n v="4541.68"/>
    <n v="6129.0322580645161"/>
    <n v="2258.0645161290322"/>
    <n v="363.12849162011173"/>
    <n v="1828.6285817264372"/>
    <n v="645.16129032258061"/>
    <n v="15765.695137862678"/>
    <n v="4878.3048621373218"/>
    <n v="1588"/>
    <n v="1474.5714285714287"/>
  </r>
  <r>
    <d v="2023-01-09T00:00:00"/>
    <d v="2023-01-01T00:00:00"/>
    <x v="0"/>
    <x v="0"/>
    <n v="12"/>
    <n v="14"/>
    <x v="0"/>
    <n v="1540"/>
    <n v="18480"/>
    <n v="4065.6"/>
    <n v="6129.0322580645161"/>
    <n v="2258.0645161290322"/>
    <n v="335.19553072625695"/>
    <n v="1740.2844476482248"/>
    <n v="645.16129032258061"/>
    <n v="15173.338042890611"/>
    <n v="3306.6619571093888"/>
    <n v="1540"/>
    <n v="1320"/>
  </r>
  <r>
    <d v="2023-01-10T00:00:00"/>
    <d v="2023-01-01T00:00:00"/>
    <x v="0"/>
    <x v="0"/>
    <n v="11"/>
    <n v="14"/>
    <x v="1"/>
    <n v="1777"/>
    <n v="19547"/>
    <n v="4300.34"/>
    <n v="6129.0322580645161"/>
    <n v="2258.0645161290322"/>
    <n v="307.26256983240222"/>
    <n v="1651.9403135700127"/>
    <n v="645.16129032258061"/>
    <n v="15291.800947918544"/>
    <n v="4255.1990520814561"/>
    <n v="1777"/>
    <n v="1396.2142857142858"/>
  </r>
  <r>
    <d v="2023-01-11T00:00:00"/>
    <d v="2023-01-01T00:00:00"/>
    <x v="0"/>
    <x v="0"/>
    <n v="10"/>
    <n v="14"/>
    <x v="4"/>
    <n v="1141"/>
    <n v="11410"/>
    <n v="2510.1999999999998"/>
    <n v="6129.0322580645161"/>
    <n v="2258.0645161290322"/>
    <n v="279.32960893854749"/>
    <n v="1563.5961794918003"/>
    <n v="645.16129032258061"/>
    <n v="13385.383852946477"/>
    <n v="-1975.3838529464774"/>
    <n v="1141"/>
    <n v="815"/>
  </r>
  <r>
    <d v="2023-01-12T00:00:00"/>
    <d v="2023-01-01T00:00:00"/>
    <x v="0"/>
    <x v="0"/>
    <n v="9"/>
    <n v="14"/>
    <x v="5"/>
    <n v="1316"/>
    <n v="11844"/>
    <n v="2605.6799999999998"/>
    <n v="6129.0322580645161"/>
    <n v="2258.0645161290322"/>
    <n v="251.39664804469274"/>
    <n v="1475.2520454135879"/>
    <n v="645.16129032258061"/>
    <n v="13364.58675797441"/>
    <n v="-1520.5867579744099"/>
    <n v="1316"/>
    <n v="846"/>
  </r>
  <r>
    <d v="2023-01-13T00:00:00"/>
    <d v="2023-01-01T00:00:00"/>
    <x v="0"/>
    <x v="0"/>
    <n v="14"/>
    <n v="14"/>
    <x v="3"/>
    <n v="1538"/>
    <n v="21532"/>
    <n v="4737.04"/>
    <n v="6129.0322580645161"/>
    <n v="2258.0645161290322"/>
    <n v="391.06145251396646"/>
    <n v="1916.9727158046494"/>
    <n v="645.16129032258061"/>
    <n v="16077.332232834746"/>
    <n v="5454.6677671652542"/>
    <n v="1538"/>
    <n v="1538"/>
  </r>
  <r>
    <d v="2023-01-14T00:00:00"/>
    <d v="2023-01-01T00:00:00"/>
    <x v="0"/>
    <x v="0"/>
    <n v="11"/>
    <n v="14"/>
    <x v="1"/>
    <n v="1191"/>
    <n v="13101"/>
    <n v="2882.22"/>
    <n v="6129.0322580645161"/>
    <n v="2258.0645161290322"/>
    <n v="307.26256983240222"/>
    <n v="1651.9403135700127"/>
    <n v="645.16129032258061"/>
    <n v="13873.680947918545"/>
    <n v="-772.68094791854492"/>
    <n v="1191"/>
    <n v="935.78571428571433"/>
  </r>
  <r>
    <d v="2023-01-15T00:00:00"/>
    <d v="2023-01-01T00:00:00"/>
    <x v="0"/>
    <x v="0"/>
    <n v="8"/>
    <n v="14"/>
    <x v="6"/>
    <n v="1864"/>
    <n v="14912"/>
    <n v="3280.64"/>
    <n v="6129.0322580645161"/>
    <n v="2258.0645161290322"/>
    <n v="223.46368715083798"/>
    <n v="1386.9079113353757"/>
    <n v="645.16129032258061"/>
    <n v="13923.269663002344"/>
    <n v="988.7303369976562"/>
    <n v="1864"/>
    <n v="1065.1428571428571"/>
  </r>
  <r>
    <d v="2023-01-16T00:00:00"/>
    <d v="2023-01-01T00:00:00"/>
    <x v="0"/>
    <x v="0"/>
    <n v="13"/>
    <n v="14"/>
    <x v="2"/>
    <n v="1479"/>
    <n v="19227"/>
    <n v="4229.9399999999996"/>
    <n v="6129.0322580645161"/>
    <n v="2258.0645161290322"/>
    <n v="363.12849162011173"/>
    <n v="1828.6285817264372"/>
    <n v="645.16129032258061"/>
    <n v="15453.955137862678"/>
    <n v="3773.0448621373216"/>
    <n v="1479"/>
    <n v="1373.3571428571429"/>
  </r>
  <r>
    <d v="2023-01-17T00:00:00"/>
    <d v="2023-01-01T00:00:00"/>
    <x v="0"/>
    <x v="0"/>
    <n v="10"/>
    <n v="14"/>
    <x v="4"/>
    <n v="1513"/>
    <n v="15130"/>
    <n v="3328.6"/>
    <n v="6129.0322580645161"/>
    <n v="2258.0645161290322"/>
    <n v="279.32960893854749"/>
    <n v="1563.5961794918003"/>
    <n v="645.16129032258061"/>
    <n v="14203.783852946477"/>
    <n v="926.21614705352295"/>
    <n v="1513"/>
    <n v="1080.7142857142858"/>
  </r>
  <r>
    <d v="2023-01-18T00:00:00"/>
    <d v="2023-01-01T00:00:00"/>
    <x v="0"/>
    <x v="0"/>
    <n v="10"/>
    <n v="14"/>
    <x v="4"/>
    <n v="1577"/>
    <n v="15770"/>
    <n v="3469.4"/>
    <n v="6129.0322580645161"/>
    <n v="2258.0645161290322"/>
    <n v="279.32960893854749"/>
    <n v="1563.5961794918003"/>
    <n v="645.16129032258061"/>
    <n v="14344.583852946478"/>
    <n v="1425.4161470535219"/>
    <n v="1577"/>
    <n v="1126.4285714285713"/>
  </r>
  <r>
    <d v="2023-01-19T00:00:00"/>
    <d v="2023-01-01T00:00:00"/>
    <x v="0"/>
    <x v="0"/>
    <n v="10"/>
    <n v="14"/>
    <x v="4"/>
    <n v="1282"/>
    <n v="12820"/>
    <n v="2820.4"/>
    <n v="6129.0322580645161"/>
    <n v="2258.0645161290322"/>
    <n v="279.32960893854749"/>
    <n v="1563.5961794918003"/>
    <n v="645.16129032258061"/>
    <n v="13695.583852946478"/>
    <n v="-875.58385294647815"/>
    <n v="1282"/>
    <n v="915.71428571428567"/>
  </r>
  <r>
    <d v="2023-01-20T00:00:00"/>
    <d v="2023-01-01T00:00:00"/>
    <x v="0"/>
    <x v="0"/>
    <n v="9"/>
    <n v="14"/>
    <x v="5"/>
    <n v="1339"/>
    <n v="12051"/>
    <n v="2651.22"/>
    <n v="6129.0322580645161"/>
    <n v="2258.0645161290322"/>
    <n v="251.39664804469274"/>
    <n v="1475.2520454135879"/>
    <n v="645.16129032258061"/>
    <n v="13410.126757974411"/>
    <n v="-1359.1267579744108"/>
    <n v="1339"/>
    <n v="860.78571428571433"/>
  </r>
  <r>
    <d v="2023-01-21T00:00:00"/>
    <d v="2023-01-01T00:00:00"/>
    <x v="0"/>
    <x v="0"/>
    <n v="14"/>
    <n v="14"/>
    <x v="3"/>
    <n v="1405"/>
    <n v="19670"/>
    <n v="4327.3999999999996"/>
    <n v="6129.0322580645161"/>
    <n v="2258.0645161290322"/>
    <n v="391.06145251396646"/>
    <n v="1916.9727158046494"/>
    <n v="645.16129032258061"/>
    <n v="15667.692232834746"/>
    <n v="4002.3077671652536"/>
    <n v="1405"/>
    <n v="1405"/>
  </r>
  <r>
    <d v="2023-01-22T00:00:00"/>
    <d v="2023-01-01T00:00:00"/>
    <x v="0"/>
    <x v="0"/>
    <n v="14"/>
    <n v="14"/>
    <x v="3"/>
    <n v="1513"/>
    <n v="21182"/>
    <n v="4660.04"/>
    <n v="6129.0322580645161"/>
    <n v="2258.0645161290322"/>
    <n v="391.06145251396646"/>
    <n v="1916.9727158046494"/>
    <n v="645.16129032258061"/>
    <n v="16000.332232834746"/>
    <n v="5181.6677671652542"/>
    <n v="1513"/>
    <n v="1513"/>
  </r>
  <r>
    <d v="2023-01-23T00:00:00"/>
    <d v="2023-01-01T00:00:00"/>
    <x v="0"/>
    <x v="0"/>
    <n v="12"/>
    <n v="14"/>
    <x v="0"/>
    <n v="1563"/>
    <n v="18756"/>
    <n v="4126.32"/>
    <n v="6129.0322580645161"/>
    <n v="2258.0645161290322"/>
    <n v="335.19553072625695"/>
    <n v="1740.2844476482248"/>
    <n v="645.16129032258061"/>
    <n v="15234.058042890609"/>
    <n v="3521.9419571093913"/>
    <n v="1563"/>
    <n v="1339.7142857142858"/>
  </r>
  <r>
    <d v="2023-01-24T00:00:00"/>
    <d v="2023-01-01T00:00:00"/>
    <x v="0"/>
    <x v="0"/>
    <n v="12"/>
    <n v="14"/>
    <x v="0"/>
    <n v="1949"/>
    <n v="23388"/>
    <n v="5145.3599999999997"/>
    <n v="6129.0322580645161"/>
    <n v="2258.0645161290322"/>
    <n v="335.19553072625695"/>
    <n v="1740.2844476482248"/>
    <n v="645.16129032258061"/>
    <n v="16253.09804289061"/>
    <n v="7134.9019571093904"/>
    <n v="1949"/>
    <n v="1670.5714285714287"/>
  </r>
  <r>
    <d v="2023-01-25T00:00:00"/>
    <d v="2023-01-01T00:00:00"/>
    <x v="0"/>
    <x v="0"/>
    <n v="9"/>
    <n v="14"/>
    <x v="5"/>
    <n v="1231"/>
    <n v="11079"/>
    <n v="2437.38"/>
    <n v="6129.0322580645161"/>
    <n v="2258.0645161290322"/>
    <n v="251.39664804469274"/>
    <n v="1475.2520454135879"/>
    <n v="645.16129032258061"/>
    <n v="13196.286757974411"/>
    <n v="-2117.2867579744106"/>
    <n v="1231"/>
    <n v="791.35714285714289"/>
  </r>
  <r>
    <d v="2023-01-26T00:00:00"/>
    <d v="2023-01-01T00:00:00"/>
    <x v="0"/>
    <x v="0"/>
    <n v="14"/>
    <n v="14"/>
    <x v="3"/>
    <n v="1917"/>
    <n v="26838"/>
    <n v="5904.36"/>
    <n v="6129.0322580645161"/>
    <n v="2258.0645161290322"/>
    <n v="391.06145251396646"/>
    <n v="1916.9727158046494"/>
    <n v="645.16129032258061"/>
    <n v="17244.652232834742"/>
    <n v="9593.3477671652581"/>
    <n v="1917"/>
    <n v="1917"/>
  </r>
  <r>
    <d v="2023-01-27T00:00:00"/>
    <d v="2023-01-01T00:00:00"/>
    <x v="0"/>
    <x v="0"/>
    <n v="11"/>
    <n v="14"/>
    <x v="1"/>
    <n v="1910"/>
    <n v="21010"/>
    <n v="4622.2"/>
    <n v="6129.0322580645161"/>
    <n v="2258.0645161290322"/>
    <n v="307.26256983240222"/>
    <n v="1651.9403135700127"/>
    <n v="645.16129032258061"/>
    <n v="15613.660947918544"/>
    <n v="5396.3390520814555"/>
    <n v="1910"/>
    <n v="1500.7142857142858"/>
  </r>
  <r>
    <d v="2023-01-28T00:00:00"/>
    <d v="2023-01-01T00:00:00"/>
    <x v="0"/>
    <x v="0"/>
    <n v="14"/>
    <n v="14"/>
    <x v="3"/>
    <n v="1776"/>
    <n v="24864"/>
    <n v="5470.08"/>
    <n v="6129.0322580645161"/>
    <n v="2258.0645161290322"/>
    <n v="391.06145251396646"/>
    <n v="1916.9727158046494"/>
    <n v="645.16129032258061"/>
    <n v="16810.372232834747"/>
    <n v="8053.6277671652533"/>
    <n v="1776"/>
    <n v="1776"/>
  </r>
  <r>
    <d v="2023-01-29T00:00:00"/>
    <d v="2023-01-01T00:00:00"/>
    <x v="0"/>
    <x v="0"/>
    <n v="11"/>
    <n v="14"/>
    <x v="1"/>
    <n v="1547"/>
    <n v="17017"/>
    <n v="3743.7400000000002"/>
    <n v="6129.0322580645161"/>
    <n v="2258.0645161290322"/>
    <n v="307.26256983240222"/>
    <n v="1651.9403135700127"/>
    <n v="645.16129032258061"/>
    <n v="14735.200947918545"/>
    <n v="2281.7990520814546"/>
    <n v="1547"/>
    <n v="1215.5"/>
  </r>
  <r>
    <d v="2023-01-30T00:00:00"/>
    <d v="2023-01-01T00:00:00"/>
    <x v="0"/>
    <x v="0"/>
    <n v="9"/>
    <n v="14"/>
    <x v="5"/>
    <n v="1864"/>
    <n v="16776"/>
    <n v="3690.72"/>
    <n v="6129.0322580645161"/>
    <n v="2258.0645161290322"/>
    <n v="251.39664804469274"/>
    <n v="1475.2520454135879"/>
    <n v="645.16129032258061"/>
    <n v="14449.626757974411"/>
    <n v="2326.3732420255892"/>
    <n v="1864"/>
    <n v="1198.2857142857142"/>
  </r>
  <r>
    <d v="2023-01-31T00:00:00"/>
    <d v="2023-01-01T00:00:00"/>
    <x v="0"/>
    <x v="0"/>
    <n v="12"/>
    <n v="14"/>
    <x v="0"/>
    <n v="1937"/>
    <n v="23244"/>
    <n v="5113.68"/>
    <n v="6129.0322580645161"/>
    <n v="2258.0645161290322"/>
    <n v="335.19553072625695"/>
    <n v="1740.2844476482248"/>
    <n v="645.16129032258061"/>
    <n v="16221.418042890609"/>
    <n v="7022.5819571093907"/>
    <n v="1937"/>
    <n v="1660.2857142857142"/>
  </r>
  <r>
    <d v="2023-02-01T00:00:00"/>
    <d v="2023-02-01T00:00:00"/>
    <x v="1"/>
    <x v="0"/>
    <n v="12"/>
    <n v="14"/>
    <x v="0"/>
    <n v="1857"/>
    <n v="22284"/>
    <n v="4902.4800000000005"/>
    <n v="6785.7142857142853"/>
    <n v="2500"/>
    <n v="379.74683544303798"/>
    <n v="1864.0171790235081"/>
    <n v="714.28571428571433"/>
    <n v="17146.244014466545"/>
    <n v="5137.7559855334548"/>
    <n v="1857"/>
    <n v="1591.7142857142858"/>
  </r>
  <r>
    <d v="2023-02-02T00:00:00"/>
    <d v="2023-02-01T00:00:00"/>
    <x v="1"/>
    <x v="0"/>
    <n v="8"/>
    <n v="14"/>
    <x v="6"/>
    <n v="1327"/>
    <n v="10616"/>
    <n v="2335.52"/>
    <n v="6785.7142857142853"/>
    <n v="2500"/>
    <n v="253.16455696202533"/>
    <n v="1482.1209764918626"/>
    <n v="714.28571428571433"/>
    <n v="14070.805533453886"/>
    <n v="-3454.8055334538858"/>
    <n v="1327"/>
    <n v="758.28571428571433"/>
  </r>
  <r>
    <d v="2023-02-03T00:00:00"/>
    <d v="2023-02-01T00:00:00"/>
    <x v="1"/>
    <x v="0"/>
    <n v="13"/>
    <n v="14"/>
    <x v="2"/>
    <n v="1643"/>
    <n v="21359"/>
    <n v="4698.9800000000005"/>
    <n v="6785.7142857142853"/>
    <n v="2500"/>
    <n v="411.39240506329116"/>
    <n v="1959.4912296564194"/>
    <n v="714.28571428571433"/>
    <n v="17069.86363471971"/>
    <n v="4289.1363652802902"/>
    <n v="1643"/>
    <n v="1525.6428571428571"/>
  </r>
  <r>
    <d v="2023-02-04T00:00:00"/>
    <d v="2023-02-01T00:00:00"/>
    <x v="1"/>
    <x v="0"/>
    <n v="12"/>
    <n v="14"/>
    <x v="0"/>
    <n v="1578"/>
    <n v="18936"/>
    <n v="4165.92"/>
    <n v="6785.7142857142853"/>
    <n v="2500"/>
    <n v="379.74683544303798"/>
    <n v="1864.0171790235081"/>
    <n v="714.28571428571433"/>
    <n v="16409.684014466544"/>
    <n v="2526.3159855334561"/>
    <n v="1578"/>
    <n v="1352.5714285714287"/>
  </r>
  <r>
    <d v="2023-02-05T00:00:00"/>
    <d v="2023-02-01T00:00:00"/>
    <x v="1"/>
    <x v="0"/>
    <n v="9"/>
    <n v="14"/>
    <x v="5"/>
    <n v="1192"/>
    <n v="10728"/>
    <n v="2360.16"/>
    <n v="6785.7142857142853"/>
    <n v="2500"/>
    <n v="284.81012658227849"/>
    <n v="1577.5950271247739"/>
    <n v="714.28571428571433"/>
    <n v="14222.565153707052"/>
    <n v="-3494.5651537070516"/>
    <n v="1192"/>
    <n v="766.28571428571433"/>
  </r>
  <r>
    <d v="2023-02-06T00:00:00"/>
    <d v="2023-02-01T00:00:00"/>
    <x v="1"/>
    <x v="0"/>
    <n v="12"/>
    <n v="14"/>
    <x v="0"/>
    <n v="1121"/>
    <n v="13452"/>
    <n v="2959.44"/>
    <n v="6785.7142857142853"/>
    <n v="2500"/>
    <n v="379.74683544303798"/>
    <n v="1864.0171790235081"/>
    <n v="714.28571428571433"/>
    <n v="15203.204014466544"/>
    <n v="-1751.2040144665443"/>
    <n v="1121"/>
    <n v="960.85714285714289"/>
  </r>
  <r>
    <d v="2023-02-07T00:00:00"/>
    <d v="2023-02-01T00:00:00"/>
    <x v="1"/>
    <x v="0"/>
    <n v="14"/>
    <n v="14"/>
    <x v="3"/>
    <n v="1736"/>
    <n v="24304"/>
    <n v="5346.88"/>
    <n v="6785.7142857142853"/>
    <n v="2500"/>
    <n v="443.03797468354435"/>
    <n v="2054.9652802893311"/>
    <n v="714.28571428571433"/>
    <n v="17844.883254972876"/>
    <n v="6459.1167450271241"/>
    <n v="1736"/>
    <n v="1736"/>
  </r>
  <r>
    <d v="2023-02-08T00:00:00"/>
    <d v="2023-02-01T00:00:00"/>
    <x v="1"/>
    <x v="0"/>
    <n v="11"/>
    <n v="14"/>
    <x v="1"/>
    <n v="1391"/>
    <n v="15301"/>
    <n v="3366.22"/>
    <n v="6785.7142857142853"/>
    <n v="2500"/>
    <n v="348.10126582278485"/>
    <n v="1768.5431283905968"/>
    <n v="714.28571428571433"/>
    <n v="15482.86439421338"/>
    <n v="-181.86439421338036"/>
    <n v="1391"/>
    <n v="1092.9285714285713"/>
  </r>
  <r>
    <d v="2023-02-09T00:00:00"/>
    <d v="2023-02-01T00:00:00"/>
    <x v="1"/>
    <x v="0"/>
    <n v="9"/>
    <n v="14"/>
    <x v="5"/>
    <n v="1608"/>
    <n v="14472"/>
    <n v="3183.84"/>
    <n v="6785.7142857142853"/>
    <n v="2500"/>
    <n v="284.81012658227849"/>
    <n v="1577.5950271247739"/>
    <n v="714.28571428571433"/>
    <n v="15046.245153707052"/>
    <n v="-574.24515370705194"/>
    <n v="1608"/>
    <n v="1033.7142857142858"/>
  </r>
  <r>
    <d v="2023-02-10T00:00:00"/>
    <d v="2023-02-01T00:00:00"/>
    <x v="1"/>
    <x v="0"/>
    <n v="11"/>
    <n v="14"/>
    <x v="1"/>
    <n v="1415"/>
    <n v="15565"/>
    <n v="3424.3"/>
    <n v="6785.7142857142853"/>
    <n v="2500"/>
    <n v="348.10126582278485"/>
    <n v="1768.5431283905968"/>
    <n v="714.28571428571433"/>
    <n v="15540.94439421338"/>
    <n v="24.055605786619708"/>
    <n v="1415"/>
    <n v="1111.7857142857142"/>
  </r>
  <r>
    <d v="2023-02-11T00:00:00"/>
    <d v="2023-02-01T00:00:00"/>
    <x v="1"/>
    <x v="0"/>
    <n v="12"/>
    <n v="14"/>
    <x v="0"/>
    <n v="1540"/>
    <n v="18480"/>
    <n v="4065.6"/>
    <n v="6785.7142857142853"/>
    <n v="2500"/>
    <n v="379.74683544303798"/>
    <n v="1864.0171790235081"/>
    <n v="714.28571428571433"/>
    <n v="16309.364014466544"/>
    <n v="2170.6359855334558"/>
    <n v="1540"/>
    <n v="1320"/>
  </r>
  <r>
    <d v="2023-02-12T00:00:00"/>
    <d v="2023-02-01T00:00:00"/>
    <x v="1"/>
    <x v="0"/>
    <n v="8"/>
    <n v="14"/>
    <x v="6"/>
    <n v="1879"/>
    <n v="15032"/>
    <n v="3307.04"/>
    <n v="6785.7142857142853"/>
    <n v="2500"/>
    <n v="253.16455696202533"/>
    <n v="1482.1209764918626"/>
    <n v="714.28571428571433"/>
    <n v="15042.325533453886"/>
    <n v="-10.325533453886237"/>
    <n v="1879"/>
    <n v="1073.7142857142858"/>
  </r>
  <r>
    <d v="2023-02-13T00:00:00"/>
    <d v="2023-02-01T00:00:00"/>
    <x v="1"/>
    <x v="0"/>
    <n v="12"/>
    <n v="14"/>
    <x v="0"/>
    <n v="1949"/>
    <n v="23388"/>
    <n v="5145.3599999999997"/>
    <n v="6785.7142857142853"/>
    <n v="2500"/>
    <n v="379.74683544303798"/>
    <n v="1864.0171790235081"/>
    <n v="714.28571428571433"/>
    <n v="17389.124014466546"/>
    <n v="5998.8759855334538"/>
    <n v="1949"/>
    <n v="1670.5714285714287"/>
  </r>
  <r>
    <d v="2023-02-14T00:00:00"/>
    <d v="2023-02-01T00:00:00"/>
    <x v="1"/>
    <x v="0"/>
    <n v="9"/>
    <n v="14"/>
    <x v="5"/>
    <n v="1780"/>
    <n v="16020"/>
    <n v="3524.4"/>
    <n v="6785.7142857142853"/>
    <n v="2500"/>
    <n v="284.81012658227849"/>
    <n v="1577.5950271247739"/>
    <n v="714.28571428571433"/>
    <n v="15386.805153707053"/>
    <n v="633.19484629294675"/>
    <n v="1780"/>
    <n v="1144.2857142857142"/>
  </r>
  <r>
    <d v="2023-02-15T00:00:00"/>
    <d v="2023-02-01T00:00:00"/>
    <x v="1"/>
    <x v="0"/>
    <n v="14"/>
    <n v="14"/>
    <x v="3"/>
    <n v="1876"/>
    <n v="26264"/>
    <n v="5778.08"/>
    <n v="6785.7142857142853"/>
    <n v="2500"/>
    <n v="443.03797468354435"/>
    <n v="2054.9652802893311"/>
    <n v="714.28571428571433"/>
    <n v="18276.083254972873"/>
    <n v="7987.916745027127"/>
    <n v="1876"/>
    <n v="1876"/>
  </r>
  <r>
    <d v="2023-02-16T00:00:00"/>
    <d v="2023-02-01T00:00:00"/>
    <x v="1"/>
    <x v="0"/>
    <n v="13"/>
    <n v="14"/>
    <x v="2"/>
    <n v="1914"/>
    <n v="24882"/>
    <n v="5474.04"/>
    <n v="6785.7142857142853"/>
    <n v="2500"/>
    <n v="411.39240506329116"/>
    <n v="1959.4912296564194"/>
    <n v="714.28571428571433"/>
    <n v="17844.923634719707"/>
    <n v="7037.0763652802925"/>
    <n v="1914"/>
    <n v="1777.2857142857142"/>
  </r>
  <r>
    <d v="2023-02-17T00:00:00"/>
    <d v="2023-02-01T00:00:00"/>
    <x v="1"/>
    <x v="0"/>
    <n v="13"/>
    <n v="14"/>
    <x v="2"/>
    <n v="1287"/>
    <n v="16731"/>
    <n v="3680.82"/>
    <n v="6785.7142857142853"/>
    <n v="2500"/>
    <n v="411.39240506329116"/>
    <n v="1959.4912296564194"/>
    <n v="714.28571428571433"/>
    <n v="16051.70363471971"/>
    <n v="679.29636528029005"/>
    <n v="1287"/>
    <n v="1195.0714285714287"/>
  </r>
  <r>
    <d v="2023-02-18T00:00:00"/>
    <d v="2023-02-01T00:00:00"/>
    <x v="1"/>
    <x v="0"/>
    <n v="13"/>
    <n v="14"/>
    <x v="2"/>
    <n v="1337"/>
    <n v="17381"/>
    <n v="3823.82"/>
    <n v="6785.7142857142853"/>
    <n v="2500"/>
    <n v="411.39240506329116"/>
    <n v="1959.4912296564194"/>
    <n v="714.28571428571433"/>
    <n v="16194.70363471971"/>
    <n v="1186.29636528029"/>
    <n v="1337"/>
    <n v="1241.5"/>
  </r>
  <r>
    <d v="2023-02-19T00:00:00"/>
    <d v="2023-02-01T00:00:00"/>
    <x v="1"/>
    <x v="0"/>
    <n v="12"/>
    <n v="14"/>
    <x v="0"/>
    <n v="1979"/>
    <n v="23748"/>
    <n v="5224.5600000000004"/>
    <n v="6785.7142857142853"/>
    <n v="2500"/>
    <n v="379.74683544303798"/>
    <n v="1864.0171790235081"/>
    <n v="714.28571428571433"/>
    <n v="17468.324014466547"/>
    <n v="6279.6759855334531"/>
    <n v="1979"/>
    <n v="1696.2857142857142"/>
  </r>
  <r>
    <d v="2023-02-20T00:00:00"/>
    <d v="2023-02-01T00:00:00"/>
    <x v="1"/>
    <x v="0"/>
    <n v="9"/>
    <n v="14"/>
    <x v="5"/>
    <n v="1428"/>
    <n v="12852"/>
    <n v="2827.44"/>
    <n v="6785.7142857142853"/>
    <n v="2500"/>
    <n v="284.81012658227849"/>
    <n v="1577.5950271247739"/>
    <n v="714.28571428571433"/>
    <n v="14689.84515370705"/>
    <n v="-1837.8451537070505"/>
    <n v="1428"/>
    <n v="918"/>
  </r>
  <r>
    <d v="2023-02-21T00:00:00"/>
    <d v="2023-02-01T00:00:00"/>
    <x v="1"/>
    <x v="0"/>
    <n v="12"/>
    <n v="14"/>
    <x v="0"/>
    <n v="1050"/>
    <n v="12600"/>
    <n v="2772"/>
    <n v="6785.7142857142853"/>
    <n v="2500"/>
    <n v="379.74683544303798"/>
    <n v="1864.0171790235081"/>
    <n v="714.28571428571433"/>
    <n v="15015.764014466546"/>
    <n v="-2415.7640144665456"/>
    <n v="1050"/>
    <n v="900"/>
  </r>
  <r>
    <d v="2023-02-22T00:00:00"/>
    <d v="2023-02-01T00:00:00"/>
    <x v="1"/>
    <x v="0"/>
    <n v="13"/>
    <n v="14"/>
    <x v="2"/>
    <n v="1209"/>
    <n v="15717"/>
    <n v="3457.7400000000002"/>
    <n v="6785.7142857142853"/>
    <n v="2500"/>
    <n v="411.39240506329116"/>
    <n v="1959.4912296564194"/>
    <n v="714.28571428571433"/>
    <n v="15828.62363471971"/>
    <n v="-111.62363471971003"/>
    <n v="1209"/>
    <n v="1122.6428571428571"/>
  </r>
  <r>
    <d v="2023-02-23T00:00:00"/>
    <d v="2023-02-01T00:00:00"/>
    <x v="1"/>
    <x v="0"/>
    <n v="12"/>
    <n v="14"/>
    <x v="0"/>
    <n v="1061"/>
    <n v="12732"/>
    <n v="2801.04"/>
    <n v="6785.7142857142853"/>
    <n v="2500"/>
    <n v="379.74683544303798"/>
    <n v="1864.0171790235081"/>
    <n v="714.28571428571433"/>
    <n v="15044.804014466547"/>
    <n v="-2312.8040144665465"/>
    <n v="1061"/>
    <n v="909.42857142857144"/>
  </r>
  <r>
    <d v="2023-02-24T00:00:00"/>
    <d v="2023-02-01T00:00:00"/>
    <x v="1"/>
    <x v="0"/>
    <n v="13"/>
    <n v="14"/>
    <x v="2"/>
    <n v="1087"/>
    <n v="14131"/>
    <n v="3108.82"/>
    <n v="6785.7142857142853"/>
    <n v="2500"/>
    <n v="411.39240506329116"/>
    <n v="1959.4912296564194"/>
    <n v="714.28571428571433"/>
    <n v="15479.70363471971"/>
    <n v="-1348.70363471971"/>
    <n v="1087"/>
    <n v="1009.3571428571429"/>
  </r>
  <r>
    <d v="2023-02-25T00:00:00"/>
    <d v="2023-02-01T00:00:00"/>
    <x v="1"/>
    <x v="0"/>
    <n v="14"/>
    <n v="14"/>
    <x v="3"/>
    <n v="1144"/>
    <n v="16016"/>
    <n v="3523.52"/>
    <n v="6785.7142857142853"/>
    <n v="2500"/>
    <n v="443.03797468354435"/>
    <n v="2054.9652802893311"/>
    <n v="714.28571428571433"/>
    <n v="16021.523254972873"/>
    <n v="-5.5232549728734739"/>
    <n v="1144"/>
    <n v="1144"/>
  </r>
  <r>
    <d v="2023-02-26T00:00:00"/>
    <d v="2023-02-01T00:00:00"/>
    <x v="1"/>
    <x v="0"/>
    <n v="9"/>
    <n v="14"/>
    <x v="5"/>
    <n v="1863"/>
    <n v="16767"/>
    <n v="3688.7400000000002"/>
    <n v="6785.7142857142853"/>
    <n v="2500"/>
    <n v="284.81012658227849"/>
    <n v="1577.5950271247739"/>
    <n v="714.28571428571433"/>
    <n v="15551.145153707053"/>
    <n v="1215.8548462929466"/>
    <n v="1863"/>
    <n v="1197.6428571428571"/>
  </r>
  <r>
    <d v="2023-02-27T00:00:00"/>
    <d v="2023-02-01T00:00:00"/>
    <x v="1"/>
    <x v="0"/>
    <n v="9"/>
    <n v="14"/>
    <x v="5"/>
    <n v="1312"/>
    <n v="11808"/>
    <n v="2597.7600000000002"/>
    <n v="6785.7142857142853"/>
    <n v="2500"/>
    <n v="284.81012658227849"/>
    <n v="1577.5950271247739"/>
    <n v="714.28571428571433"/>
    <n v="14460.16515370705"/>
    <n v="-2652.1651537070502"/>
    <n v="1312"/>
    <n v="843.42857142857144"/>
  </r>
  <r>
    <d v="2023-02-28T00:00:00"/>
    <d v="2023-02-01T00:00:00"/>
    <x v="1"/>
    <x v="0"/>
    <n v="8"/>
    <n v="14"/>
    <x v="6"/>
    <n v="1501"/>
    <n v="12008"/>
    <n v="2641.76"/>
    <n v="6785.7142857142853"/>
    <n v="2500"/>
    <n v="253.16455696202533"/>
    <n v="1482.1209764918626"/>
    <n v="714.28571428571433"/>
    <n v="14377.045533453886"/>
    <n v="-2369.0455334538856"/>
    <n v="1501"/>
    <n v="857.71428571428567"/>
  </r>
  <r>
    <d v="2023-03-01T00:00:00"/>
    <d v="2023-03-01T00:00:00"/>
    <x v="2"/>
    <x v="0"/>
    <n v="13"/>
    <n v="14"/>
    <x v="2"/>
    <n v="1597"/>
    <n v="20761"/>
    <n v="4567.42"/>
    <n v="6129.0322580645161"/>
    <n v="2258.0645161290322"/>
    <n v="380.11695906432749"/>
    <n v="1735.1607243916244"/>
    <n v="645.16129032258061"/>
    <n v="15714.955747972082"/>
    <n v="5046.0442520279175"/>
    <n v="1597"/>
    <n v="1482.9285714285713"/>
  </r>
  <r>
    <d v="2023-03-02T00:00:00"/>
    <d v="2023-03-01T00:00:00"/>
    <x v="2"/>
    <x v="0"/>
    <n v="12"/>
    <n v="14"/>
    <x v="0"/>
    <n v="1247"/>
    <n v="14964"/>
    <n v="3292.08"/>
    <n v="6129.0322580645161"/>
    <n v="2258.0645161290322"/>
    <n v="350.87719298245611"/>
    <n v="1649.9151103565366"/>
    <n v="645.16129032258061"/>
    <n v="14325.130367855123"/>
    <n v="638.86963214487696"/>
    <n v="1247"/>
    <n v="1068.8571428571429"/>
  </r>
  <r>
    <d v="2023-03-03T00:00:00"/>
    <d v="2023-03-01T00:00:00"/>
    <x v="2"/>
    <x v="0"/>
    <n v="12"/>
    <n v="14"/>
    <x v="0"/>
    <n v="1687"/>
    <n v="20244"/>
    <n v="4453.68"/>
    <n v="6129.0322580645161"/>
    <n v="2258.0645161290322"/>
    <n v="350.87719298245611"/>
    <n v="1649.9151103565366"/>
    <n v="645.16129032258061"/>
    <n v="15486.730367855122"/>
    <n v="4757.2696321448784"/>
    <n v="1687"/>
    <n v="1446"/>
  </r>
  <r>
    <d v="2023-03-04T00:00:00"/>
    <d v="2023-03-01T00:00:00"/>
    <x v="2"/>
    <x v="0"/>
    <n v="12"/>
    <n v="14"/>
    <x v="0"/>
    <n v="1978"/>
    <n v="23736"/>
    <n v="5221.92"/>
    <n v="6129.0322580645161"/>
    <n v="2258.0645161290322"/>
    <n v="350.87719298245611"/>
    <n v="1649.9151103565366"/>
    <n v="645.16129032258061"/>
    <n v="16254.970367855123"/>
    <n v="7481.0296321448768"/>
    <n v="1978"/>
    <n v="1695.4285714285713"/>
  </r>
  <r>
    <d v="2023-03-05T00:00:00"/>
    <d v="2023-03-01T00:00:00"/>
    <x v="2"/>
    <x v="0"/>
    <n v="11"/>
    <n v="14"/>
    <x v="1"/>
    <n v="1380"/>
    <n v="15180"/>
    <n v="3339.6"/>
    <n v="6129.0322580645161"/>
    <n v="2258.0645161290322"/>
    <n v="321.63742690058479"/>
    <n v="1564.6694963214488"/>
    <n v="645.16129032258061"/>
    <n v="14258.164987738162"/>
    <n v="921.83501226183762"/>
    <n v="1380"/>
    <n v="1084.2857142857142"/>
  </r>
  <r>
    <d v="2023-03-06T00:00:00"/>
    <d v="2023-03-01T00:00:00"/>
    <x v="2"/>
    <x v="0"/>
    <n v="14"/>
    <n v="14"/>
    <x v="3"/>
    <n v="1774"/>
    <n v="24836"/>
    <n v="5463.92"/>
    <n v="6129.0322580645161"/>
    <n v="2258.0645161290322"/>
    <n v="409.35672514619881"/>
    <n v="1820.406338426712"/>
    <n v="645.16129032258061"/>
    <n v="16725.941128089042"/>
    <n v="8110.0588719109583"/>
    <n v="1774"/>
    <n v="1774"/>
  </r>
  <r>
    <d v="2023-03-07T00:00:00"/>
    <d v="2023-03-01T00:00:00"/>
    <x v="2"/>
    <x v="0"/>
    <n v="13"/>
    <n v="14"/>
    <x v="2"/>
    <n v="1278"/>
    <n v="16614"/>
    <n v="3655.08"/>
    <n v="6129.0322580645161"/>
    <n v="2258.0645161290322"/>
    <n v="380.11695906432749"/>
    <n v="1735.1607243916244"/>
    <n v="645.16129032258061"/>
    <n v="14802.615747972082"/>
    <n v="1811.3842520279177"/>
    <n v="1278"/>
    <n v="1186.7142857142858"/>
  </r>
  <r>
    <d v="2023-03-08T00:00:00"/>
    <d v="2023-03-01T00:00:00"/>
    <x v="2"/>
    <x v="0"/>
    <n v="11"/>
    <n v="14"/>
    <x v="1"/>
    <n v="1526"/>
    <n v="16786"/>
    <n v="3692.92"/>
    <n v="6129.0322580645161"/>
    <n v="2258.0645161290322"/>
    <n v="321.63742690058479"/>
    <n v="1564.6694963214488"/>
    <n v="645.16129032258061"/>
    <n v="14611.484987738164"/>
    <n v="2174.5150122618361"/>
    <n v="1526"/>
    <n v="1199"/>
  </r>
  <r>
    <d v="2023-03-09T00:00:00"/>
    <d v="2023-03-01T00:00:00"/>
    <x v="2"/>
    <x v="0"/>
    <n v="11"/>
    <n v="14"/>
    <x v="1"/>
    <n v="1715"/>
    <n v="18865"/>
    <n v="4150.3"/>
    <n v="6129.0322580645161"/>
    <n v="2258.0645161290322"/>
    <n v="321.63742690058479"/>
    <n v="1564.6694963214488"/>
    <n v="645.16129032258061"/>
    <n v="15068.864987738163"/>
    <n v="3796.1350122618369"/>
    <n v="1715"/>
    <n v="1347.5"/>
  </r>
  <r>
    <d v="2023-03-10T00:00:00"/>
    <d v="2023-03-01T00:00:00"/>
    <x v="2"/>
    <x v="0"/>
    <n v="14"/>
    <n v="14"/>
    <x v="3"/>
    <n v="1648"/>
    <n v="23072"/>
    <n v="5075.84"/>
    <n v="6129.0322580645161"/>
    <n v="2258.0645161290322"/>
    <n v="409.35672514619881"/>
    <n v="1820.406338426712"/>
    <n v="645.16129032258061"/>
    <n v="16337.86112808904"/>
    <n v="6734.13887191096"/>
    <n v="1648"/>
    <n v="1648"/>
  </r>
  <r>
    <d v="2023-03-11T00:00:00"/>
    <d v="2023-03-01T00:00:00"/>
    <x v="2"/>
    <x v="0"/>
    <n v="10"/>
    <n v="14"/>
    <x v="4"/>
    <n v="1112"/>
    <n v="11120"/>
    <n v="2446.4"/>
    <n v="6129.0322580645161"/>
    <n v="2258.0645161290322"/>
    <n v="292.39766081871346"/>
    <n v="1479.4238822863613"/>
    <n v="645.16129032258061"/>
    <n v="13250.479607621204"/>
    <n v="-2130.4796076212042"/>
    <n v="1112"/>
    <n v="794.28571428571433"/>
  </r>
  <r>
    <d v="2023-03-12T00:00:00"/>
    <d v="2023-03-01T00:00:00"/>
    <x v="2"/>
    <x v="0"/>
    <n v="8"/>
    <n v="14"/>
    <x v="6"/>
    <n v="1336"/>
    <n v="10688"/>
    <n v="2351.36"/>
    <n v="6129.0322580645161"/>
    <n v="2258.0645161290322"/>
    <n v="233.91812865497076"/>
    <n v="1308.9326542161857"/>
    <n v="645.16129032258061"/>
    <n v="12926.468847387285"/>
    <n v="-2238.4688473872848"/>
    <n v="1336"/>
    <n v="763.42857142857144"/>
  </r>
  <r>
    <d v="2023-03-13T00:00:00"/>
    <d v="2023-03-01T00:00:00"/>
    <x v="2"/>
    <x v="0"/>
    <n v="11"/>
    <n v="14"/>
    <x v="1"/>
    <n v="1786"/>
    <n v="19646"/>
    <n v="4322.12"/>
    <n v="6129.0322580645161"/>
    <n v="2258.0645161290322"/>
    <n v="321.63742690058479"/>
    <n v="1564.6694963214488"/>
    <n v="645.16129032258061"/>
    <n v="15240.684987738163"/>
    <n v="4405.3150122618372"/>
    <n v="1786"/>
    <n v="1403.2857142857142"/>
  </r>
  <r>
    <d v="2023-03-14T00:00:00"/>
    <d v="2023-03-01T00:00:00"/>
    <x v="2"/>
    <x v="0"/>
    <n v="11"/>
    <n v="14"/>
    <x v="1"/>
    <n v="1054"/>
    <n v="11594"/>
    <n v="2550.6799999999998"/>
    <n v="6129.0322580645161"/>
    <n v="2258.0645161290322"/>
    <n v="321.63742690058479"/>
    <n v="1564.6694963214488"/>
    <n v="645.16129032258061"/>
    <n v="13469.244987738162"/>
    <n v="-1875.2449877381623"/>
    <n v="1054"/>
    <n v="828.14285714285711"/>
  </r>
  <r>
    <d v="2023-03-15T00:00:00"/>
    <d v="2023-03-01T00:00:00"/>
    <x v="2"/>
    <x v="0"/>
    <n v="9"/>
    <n v="14"/>
    <x v="5"/>
    <n v="1160"/>
    <n v="10440"/>
    <n v="2296.8000000000002"/>
    <n v="6129.0322580645161"/>
    <n v="2258.0645161290322"/>
    <n v="263.15789473684208"/>
    <n v="1394.1782682512735"/>
    <n v="645.16129032258061"/>
    <n v="12986.394227504245"/>
    <n v="-2546.3942275042446"/>
    <n v="1160"/>
    <n v="745.71428571428567"/>
  </r>
  <r>
    <d v="2023-03-16T00:00:00"/>
    <d v="2023-03-01T00:00:00"/>
    <x v="2"/>
    <x v="0"/>
    <n v="14"/>
    <n v="14"/>
    <x v="3"/>
    <n v="1152"/>
    <n v="16128"/>
    <n v="3548.16"/>
    <n v="6129.0322580645161"/>
    <n v="2258.0645161290322"/>
    <n v="409.35672514619881"/>
    <n v="1820.406338426712"/>
    <n v="645.16129032258061"/>
    <n v="14810.18112808904"/>
    <n v="1317.8188719109603"/>
    <n v="1152"/>
    <n v="1152"/>
  </r>
  <r>
    <d v="2023-03-17T00:00:00"/>
    <d v="2023-03-01T00:00:00"/>
    <x v="2"/>
    <x v="0"/>
    <n v="13"/>
    <n v="14"/>
    <x v="2"/>
    <n v="1135"/>
    <n v="14755"/>
    <n v="3246.1"/>
    <n v="6129.0322580645161"/>
    <n v="2258.0645161290322"/>
    <n v="380.11695906432749"/>
    <n v="1735.1607243916244"/>
    <n v="645.16129032258061"/>
    <n v="14393.635747972081"/>
    <n v="361.36425202791906"/>
    <n v="1135"/>
    <n v="1053.9285714285713"/>
  </r>
  <r>
    <d v="2023-03-18T00:00:00"/>
    <d v="2023-03-01T00:00:00"/>
    <x v="2"/>
    <x v="0"/>
    <n v="12"/>
    <n v="14"/>
    <x v="0"/>
    <n v="1900"/>
    <n v="22800"/>
    <n v="5016"/>
    <n v="6129.0322580645161"/>
    <n v="2258.0645161290322"/>
    <n v="350.87719298245611"/>
    <n v="1649.9151103565366"/>
    <n v="645.16129032258061"/>
    <n v="16049.050367855121"/>
    <n v="6750.9496321448787"/>
    <n v="1900"/>
    <n v="1628.5714285714287"/>
  </r>
  <r>
    <d v="2023-03-19T00:00:00"/>
    <d v="2023-03-01T00:00:00"/>
    <x v="2"/>
    <x v="0"/>
    <n v="10"/>
    <n v="14"/>
    <x v="4"/>
    <n v="1229"/>
    <n v="12290"/>
    <n v="2703.8"/>
    <n v="6129.0322580645161"/>
    <n v="2258.0645161290322"/>
    <n v="292.39766081871346"/>
    <n v="1479.4238822863613"/>
    <n v="645.16129032258061"/>
    <n v="13507.879607621204"/>
    <n v="-1217.8796076212038"/>
    <n v="1229"/>
    <n v="877.85714285714289"/>
  </r>
  <r>
    <d v="2023-03-20T00:00:00"/>
    <d v="2023-03-01T00:00:00"/>
    <x v="2"/>
    <x v="0"/>
    <n v="12"/>
    <n v="14"/>
    <x v="0"/>
    <n v="1008"/>
    <n v="12096"/>
    <n v="2661.12"/>
    <n v="6129.0322580645161"/>
    <n v="2258.0645161290322"/>
    <n v="350.87719298245611"/>
    <n v="1649.9151103565366"/>
    <n v="645.16129032258061"/>
    <n v="13694.170367855122"/>
    <n v="-1598.1703678551221"/>
    <n v="1008"/>
    <n v="864"/>
  </r>
  <r>
    <d v="2023-03-21T00:00:00"/>
    <d v="2023-03-01T00:00:00"/>
    <x v="2"/>
    <x v="0"/>
    <n v="11"/>
    <n v="14"/>
    <x v="1"/>
    <n v="1006"/>
    <n v="11066"/>
    <n v="2434.52"/>
    <n v="6129.0322580645161"/>
    <n v="2258.0645161290322"/>
    <n v="321.63742690058479"/>
    <n v="1564.6694963214488"/>
    <n v="645.16129032258061"/>
    <n v="13353.084987738162"/>
    <n v="-2287.0849877381625"/>
    <n v="1006"/>
    <n v="790.42857142857144"/>
  </r>
  <r>
    <d v="2023-03-22T00:00:00"/>
    <d v="2023-03-01T00:00:00"/>
    <x v="2"/>
    <x v="0"/>
    <n v="9"/>
    <n v="14"/>
    <x v="5"/>
    <n v="1831"/>
    <n v="16479"/>
    <n v="3625.38"/>
    <n v="6129.0322580645161"/>
    <n v="2258.0645161290322"/>
    <n v="263.15789473684208"/>
    <n v="1394.1782682512735"/>
    <n v="645.16129032258061"/>
    <n v="14314.974227504244"/>
    <n v="2164.0257724957555"/>
    <n v="1831"/>
    <n v="1177.0714285714287"/>
  </r>
  <r>
    <d v="2023-03-23T00:00:00"/>
    <d v="2023-03-01T00:00:00"/>
    <x v="2"/>
    <x v="0"/>
    <n v="9"/>
    <n v="14"/>
    <x v="5"/>
    <n v="1064"/>
    <n v="9576"/>
    <n v="2106.7199999999998"/>
    <n v="6129.0322580645161"/>
    <n v="2258.0645161290322"/>
    <n v="263.15789473684208"/>
    <n v="1394.1782682512735"/>
    <n v="645.16129032258061"/>
    <n v="12796.314227504245"/>
    <n v="-3220.3142275042446"/>
    <n v="1064"/>
    <n v="684"/>
  </r>
  <r>
    <d v="2023-03-24T00:00:00"/>
    <d v="2023-03-01T00:00:00"/>
    <x v="2"/>
    <x v="0"/>
    <n v="10"/>
    <n v="14"/>
    <x v="4"/>
    <n v="1685"/>
    <n v="16850"/>
    <n v="3707"/>
    <n v="6129.0322580645161"/>
    <n v="2258.0645161290322"/>
    <n v="292.39766081871346"/>
    <n v="1479.4238822863613"/>
    <n v="645.16129032258061"/>
    <n v="14511.079607621203"/>
    <n v="2338.9203923787973"/>
    <n v="1685"/>
    <n v="1203.5714285714287"/>
  </r>
  <r>
    <d v="2023-03-25T00:00:00"/>
    <d v="2023-03-01T00:00:00"/>
    <x v="2"/>
    <x v="0"/>
    <n v="10"/>
    <n v="14"/>
    <x v="4"/>
    <n v="1756"/>
    <n v="17560"/>
    <n v="3863.2"/>
    <n v="6129.0322580645161"/>
    <n v="2258.0645161290322"/>
    <n v="292.39766081871346"/>
    <n v="1479.4238822863613"/>
    <n v="645.16129032258061"/>
    <n v="14667.279607621203"/>
    <n v="2892.7203923787965"/>
    <n v="1756"/>
    <n v="1254.2857142857142"/>
  </r>
  <r>
    <d v="2023-03-26T00:00:00"/>
    <d v="2023-03-01T00:00:00"/>
    <x v="2"/>
    <x v="0"/>
    <n v="8"/>
    <n v="14"/>
    <x v="6"/>
    <n v="1703"/>
    <n v="13624"/>
    <n v="2997.28"/>
    <n v="6129.0322580645161"/>
    <n v="2258.0645161290322"/>
    <n v="233.91812865497076"/>
    <n v="1308.9326542161857"/>
    <n v="645.16129032258061"/>
    <n v="13572.388847387285"/>
    <n v="51.611152612715159"/>
    <n v="1703"/>
    <n v="973.14285714285711"/>
  </r>
  <r>
    <d v="2023-03-27T00:00:00"/>
    <d v="2023-03-01T00:00:00"/>
    <x v="2"/>
    <x v="0"/>
    <n v="14"/>
    <n v="14"/>
    <x v="3"/>
    <n v="1658"/>
    <n v="23212"/>
    <n v="5106.6400000000003"/>
    <n v="6129.0322580645161"/>
    <n v="2258.0645161290322"/>
    <n v="409.35672514619881"/>
    <n v="1820.406338426712"/>
    <n v="645.16129032258061"/>
    <n v="16368.661128089041"/>
    <n v="6843.3388719109589"/>
    <n v="1658"/>
    <n v="1658"/>
  </r>
  <r>
    <d v="2023-03-28T00:00:00"/>
    <d v="2023-03-01T00:00:00"/>
    <x v="2"/>
    <x v="0"/>
    <n v="9"/>
    <n v="14"/>
    <x v="5"/>
    <n v="1765"/>
    <n v="15885"/>
    <n v="3494.7"/>
    <n v="6129.0322580645161"/>
    <n v="2258.0645161290322"/>
    <n v="263.15789473684208"/>
    <n v="1394.1782682512735"/>
    <n v="645.16129032258061"/>
    <n v="14184.294227504244"/>
    <n v="1700.7057724957558"/>
    <n v="1765"/>
    <n v="1134.6428571428571"/>
  </r>
  <r>
    <d v="2023-03-29T00:00:00"/>
    <d v="2023-03-01T00:00:00"/>
    <x v="2"/>
    <x v="0"/>
    <n v="10"/>
    <n v="14"/>
    <x v="4"/>
    <n v="1465"/>
    <n v="14650"/>
    <n v="3223"/>
    <n v="6129.0322580645161"/>
    <n v="2258.0645161290322"/>
    <n v="292.39766081871346"/>
    <n v="1479.4238822863613"/>
    <n v="645.16129032258061"/>
    <n v="14027.079607621203"/>
    <n v="622.92039237879726"/>
    <n v="1465"/>
    <n v="1046.4285714285713"/>
  </r>
  <r>
    <d v="2023-03-30T00:00:00"/>
    <d v="2023-03-01T00:00:00"/>
    <x v="2"/>
    <x v="0"/>
    <n v="9"/>
    <n v="14"/>
    <x v="5"/>
    <n v="1940"/>
    <n v="17460"/>
    <n v="3841.2"/>
    <n v="6129.0322580645161"/>
    <n v="2258.0645161290322"/>
    <n v="263.15789473684208"/>
    <n v="1394.1782682512735"/>
    <n v="645.16129032258061"/>
    <n v="14530.794227504244"/>
    <n v="2929.2057724957558"/>
    <n v="1940"/>
    <n v="1247.1428571428571"/>
  </r>
  <r>
    <d v="2023-03-31T00:00:00"/>
    <d v="2023-03-01T00:00:00"/>
    <x v="2"/>
    <x v="0"/>
    <n v="10"/>
    <n v="14"/>
    <x v="4"/>
    <n v="1315"/>
    <n v="13150"/>
    <n v="2893"/>
    <n v="6129.0322580645161"/>
    <n v="2258.0645161290322"/>
    <n v="292.39766081871346"/>
    <n v="1479.4238822863613"/>
    <n v="645.16129032258061"/>
    <n v="13697.079607621203"/>
    <n v="-547.07960762120274"/>
    <n v="1315"/>
    <n v="939.28571428571433"/>
  </r>
  <r>
    <d v="2023-04-01T00:00:00"/>
    <d v="2023-04-01T00:00:00"/>
    <x v="3"/>
    <x v="0"/>
    <n v="11"/>
    <n v="14"/>
    <x v="1"/>
    <n v="1305"/>
    <n v="14355"/>
    <n v="3158.1"/>
    <n v="7000"/>
    <n v="2333.3333333333335"/>
    <n v="342.67912772585669"/>
    <n v="1658.4373831775702"/>
    <n v="666.66666666666663"/>
    <n v="15159.216510903427"/>
    <n v="-804.21651090342675"/>
    <n v="1305"/>
    <n v="1025.3571428571429"/>
  </r>
  <r>
    <d v="2023-04-02T00:00:00"/>
    <d v="2023-04-01T00:00:00"/>
    <x v="3"/>
    <x v="0"/>
    <n v="14"/>
    <n v="14"/>
    <x v="3"/>
    <n v="1450"/>
    <n v="20300"/>
    <n v="4466"/>
    <n v="7000"/>
    <n v="2333.3333333333335"/>
    <n v="436.13707165109037"/>
    <n v="1932.8112149532712"/>
    <n v="666.66666666666663"/>
    <n v="16834.948286604362"/>
    <n v="3465.0517133956382"/>
    <n v="1450"/>
    <n v="1450"/>
  </r>
  <r>
    <d v="2023-04-03T00:00:00"/>
    <d v="2023-04-01T00:00:00"/>
    <x v="3"/>
    <x v="0"/>
    <n v="11"/>
    <n v="14"/>
    <x v="1"/>
    <n v="1668"/>
    <n v="18348"/>
    <n v="4036.56"/>
    <n v="7000"/>
    <n v="2333.3333333333335"/>
    <n v="342.67912772585669"/>
    <n v="1658.4373831775702"/>
    <n v="666.66666666666663"/>
    <n v="16037.676510903426"/>
    <n v="2310.3234890965741"/>
    <n v="1668"/>
    <n v="1310.5714285714287"/>
  </r>
  <r>
    <d v="2023-04-04T00:00:00"/>
    <d v="2023-04-01T00:00:00"/>
    <x v="3"/>
    <x v="0"/>
    <n v="13"/>
    <n v="14"/>
    <x v="2"/>
    <n v="1859"/>
    <n v="24167"/>
    <n v="5316.74"/>
    <n v="7000"/>
    <n v="2333.3333333333335"/>
    <n v="404.98442367601251"/>
    <n v="1841.3532710280376"/>
    <n v="666.66666666666663"/>
    <n v="17563.07769470405"/>
    <n v="6603.9223052959496"/>
    <n v="1859"/>
    <n v="1726.2142857142858"/>
  </r>
  <r>
    <d v="2023-04-05T00:00:00"/>
    <d v="2023-04-01T00:00:00"/>
    <x v="3"/>
    <x v="0"/>
    <n v="8"/>
    <n v="14"/>
    <x v="6"/>
    <n v="1083"/>
    <n v="8664"/>
    <n v="1906.08"/>
    <n v="7000"/>
    <n v="2333.3333333333335"/>
    <n v="249.22118380062307"/>
    <n v="1384.0635514018693"/>
    <n v="666.66666666666663"/>
    <n v="13539.364735202491"/>
    <n v="-4875.3647352024909"/>
    <n v="1083"/>
    <n v="618.85714285714289"/>
  </r>
  <r>
    <d v="2023-04-06T00:00:00"/>
    <d v="2023-04-01T00:00:00"/>
    <x v="3"/>
    <x v="0"/>
    <n v="12"/>
    <n v="14"/>
    <x v="0"/>
    <n v="1269"/>
    <n v="15228"/>
    <n v="3350.16"/>
    <n v="7000"/>
    <n v="2333.3333333333335"/>
    <n v="373.8317757009346"/>
    <n v="1749.895327102804"/>
    <n v="666.66666666666663"/>
    <n v="15473.887102803739"/>
    <n v="-245.88710280373925"/>
    <n v="1269"/>
    <n v="1087.7142857142858"/>
  </r>
  <r>
    <d v="2023-04-07T00:00:00"/>
    <d v="2023-04-01T00:00:00"/>
    <x v="3"/>
    <x v="0"/>
    <n v="13"/>
    <n v="14"/>
    <x v="2"/>
    <n v="1620"/>
    <n v="21060"/>
    <n v="4633.2"/>
    <n v="7000"/>
    <n v="2333.3333333333335"/>
    <n v="404.98442367601251"/>
    <n v="1841.3532710280376"/>
    <n v="666.66666666666663"/>
    <n v="16879.537694704053"/>
    <n v="4180.4623052959469"/>
    <n v="1620"/>
    <n v="1504.2857142857142"/>
  </r>
  <r>
    <d v="2023-04-08T00:00:00"/>
    <d v="2023-04-01T00:00:00"/>
    <x v="3"/>
    <x v="0"/>
    <n v="8"/>
    <n v="14"/>
    <x v="6"/>
    <n v="1633"/>
    <n v="13064"/>
    <n v="2874.08"/>
    <n v="7000"/>
    <n v="2333.3333333333335"/>
    <n v="249.22118380062307"/>
    <n v="1384.0635514018693"/>
    <n v="666.66666666666663"/>
    <n v="14507.364735202491"/>
    <n v="-1443.3647352024909"/>
    <n v="1633"/>
    <n v="933.14285714285711"/>
  </r>
  <r>
    <d v="2023-04-09T00:00:00"/>
    <d v="2023-04-01T00:00:00"/>
    <x v="3"/>
    <x v="0"/>
    <n v="13"/>
    <n v="14"/>
    <x v="2"/>
    <n v="1003"/>
    <n v="13039"/>
    <n v="2868.58"/>
    <n v="7000"/>
    <n v="2333.3333333333335"/>
    <n v="404.98442367601251"/>
    <n v="1841.3532710280376"/>
    <n v="666.66666666666663"/>
    <n v="15114.917694704051"/>
    <n v="-2075.9176947040505"/>
    <n v="1003"/>
    <n v="931.35714285714289"/>
  </r>
  <r>
    <d v="2023-04-10T00:00:00"/>
    <d v="2023-04-01T00:00:00"/>
    <x v="3"/>
    <x v="0"/>
    <n v="11"/>
    <n v="14"/>
    <x v="1"/>
    <n v="1708"/>
    <n v="18788"/>
    <n v="4133.3599999999997"/>
    <n v="7000"/>
    <n v="2333.3333333333335"/>
    <n v="342.67912772585669"/>
    <n v="1658.4373831775702"/>
    <n v="666.66666666666663"/>
    <n v="16134.476510903427"/>
    <n v="2653.523489096573"/>
    <n v="1708"/>
    <n v="1342"/>
  </r>
  <r>
    <d v="2023-04-11T00:00:00"/>
    <d v="2023-04-01T00:00:00"/>
    <x v="3"/>
    <x v="0"/>
    <n v="11"/>
    <n v="14"/>
    <x v="1"/>
    <n v="1813"/>
    <n v="19943"/>
    <n v="4387.46"/>
    <n v="7000"/>
    <n v="2333.3333333333335"/>
    <n v="342.67912772585669"/>
    <n v="1658.4373831775702"/>
    <n v="666.66666666666663"/>
    <n v="16388.576510903426"/>
    <n v="3554.4234890965745"/>
    <n v="1813"/>
    <n v="1424.5"/>
  </r>
  <r>
    <d v="2023-04-12T00:00:00"/>
    <d v="2023-04-01T00:00:00"/>
    <x v="3"/>
    <x v="0"/>
    <n v="9"/>
    <n v="14"/>
    <x v="5"/>
    <n v="1276"/>
    <n v="11484"/>
    <n v="2526.48"/>
    <n v="7000"/>
    <n v="2333.3333333333335"/>
    <n v="280.37383177570098"/>
    <n v="1475.5214953271029"/>
    <n v="666.66666666666663"/>
    <n v="14282.375327102804"/>
    <n v="-2798.3753271028036"/>
    <n v="1276"/>
    <n v="820.28571428571433"/>
  </r>
  <r>
    <d v="2023-04-13T00:00:00"/>
    <d v="2023-04-01T00:00:00"/>
    <x v="3"/>
    <x v="0"/>
    <n v="12"/>
    <n v="14"/>
    <x v="0"/>
    <n v="1199"/>
    <n v="14388"/>
    <n v="3165.36"/>
    <n v="7000"/>
    <n v="2333.3333333333335"/>
    <n v="373.8317757009346"/>
    <n v="1749.895327102804"/>
    <n v="666.66666666666663"/>
    <n v="15289.08710280374"/>
    <n v="-901.08710280373998"/>
    <n v="1199"/>
    <n v="1027.7142857142858"/>
  </r>
  <r>
    <d v="2023-04-14T00:00:00"/>
    <d v="2023-04-01T00:00:00"/>
    <x v="3"/>
    <x v="0"/>
    <n v="14"/>
    <n v="14"/>
    <x v="3"/>
    <n v="1432"/>
    <n v="20048"/>
    <n v="4410.5600000000004"/>
    <n v="7000"/>
    <n v="2333.3333333333335"/>
    <n v="436.13707165109037"/>
    <n v="1932.8112149532712"/>
    <n v="666.66666666666663"/>
    <n v="16779.508286604363"/>
    <n v="3268.4917133956369"/>
    <n v="1432"/>
    <n v="1432"/>
  </r>
  <r>
    <d v="2023-04-15T00:00:00"/>
    <d v="2023-04-01T00:00:00"/>
    <x v="3"/>
    <x v="0"/>
    <n v="9"/>
    <n v="14"/>
    <x v="5"/>
    <n v="1606"/>
    <n v="14454"/>
    <n v="3179.88"/>
    <n v="7000"/>
    <n v="2333.3333333333335"/>
    <n v="280.37383177570098"/>
    <n v="1475.5214953271029"/>
    <n v="666.66666666666663"/>
    <n v="14935.775327102805"/>
    <n v="-481.77532710280502"/>
    <n v="1606"/>
    <n v="1032.4285714285713"/>
  </r>
  <r>
    <d v="2023-04-16T00:00:00"/>
    <d v="2023-04-01T00:00:00"/>
    <x v="3"/>
    <x v="0"/>
    <n v="8"/>
    <n v="14"/>
    <x v="6"/>
    <n v="1992"/>
    <n v="15936"/>
    <n v="3505.92"/>
    <n v="7000"/>
    <n v="2333.3333333333335"/>
    <n v="249.22118380062307"/>
    <n v="1384.0635514018693"/>
    <n v="666.66666666666663"/>
    <n v="15139.204735202491"/>
    <n v="796.79526479750893"/>
    <n v="1992"/>
    <n v="1138.2857142857142"/>
  </r>
  <r>
    <d v="2023-04-17T00:00:00"/>
    <d v="2023-04-01T00:00:00"/>
    <x v="3"/>
    <x v="0"/>
    <n v="11"/>
    <n v="14"/>
    <x v="1"/>
    <n v="1306"/>
    <n v="14366"/>
    <n v="3160.52"/>
    <n v="7000"/>
    <n v="2333.3333333333335"/>
    <n v="342.67912772585669"/>
    <n v="1658.4373831775702"/>
    <n v="666.66666666666663"/>
    <n v="15161.636510903427"/>
    <n v="-795.63651090342682"/>
    <n v="1306"/>
    <n v="1026.1428571428571"/>
  </r>
  <r>
    <d v="2023-04-18T00:00:00"/>
    <d v="2023-04-01T00:00:00"/>
    <x v="3"/>
    <x v="0"/>
    <n v="14"/>
    <n v="14"/>
    <x v="3"/>
    <n v="1801"/>
    <n v="25214"/>
    <n v="5547.08"/>
    <n v="7000"/>
    <n v="2333.3333333333335"/>
    <n v="436.13707165109037"/>
    <n v="1932.8112149532712"/>
    <n v="666.66666666666663"/>
    <n v="17916.028286604364"/>
    <n v="7297.9717133956365"/>
    <n v="1801"/>
    <n v="1801"/>
  </r>
  <r>
    <d v="2023-04-19T00:00:00"/>
    <d v="2023-04-01T00:00:00"/>
    <x v="3"/>
    <x v="0"/>
    <n v="8"/>
    <n v="14"/>
    <x v="6"/>
    <n v="1762"/>
    <n v="14096"/>
    <n v="3101.12"/>
    <n v="7000"/>
    <n v="2333.3333333333335"/>
    <n v="249.22118380062307"/>
    <n v="1384.0635514018693"/>
    <n v="666.66666666666663"/>
    <n v="14734.40473520249"/>
    <n v="-638.40473520248997"/>
    <n v="1762"/>
    <n v="1006.8571428571429"/>
  </r>
  <r>
    <d v="2023-04-20T00:00:00"/>
    <d v="2023-04-01T00:00:00"/>
    <x v="3"/>
    <x v="0"/>
    <n v="8"/>
    <n v="14"/>
    <x v="6"/>
    <n v="1659"/>
    <n v="13272"/>
    <n v="2919.84"/>
    <n v="7000"/>
    <n v="2333.3333333333335"/>
    <n v="249.22118380062307"/>
    <n v="1384.0635514018693"/>
    <n v="666.66666666666663"/>
    <n v="14553.124735202491"/>
    <n v="-1281.1247352024911"/>
    <n v="1659"/>
    <n v="948"/>
  </r>
  <r>
    <d v="2023-04-21T00:00:00"/>
    <d v="2023-04-01T00:00:00"/>
    <x v="3"/>
    <x v="0"/>
    <n v="9"/>
    <n v="14"/>
    <x v="5"/>
    <n v="1877"/>
    <n v="16893"/>
    <n v="3716.46"/>
    <n v="7000"/>
    <n v="2333.3333333333335"/>
    <n v="280.37383177570098"/>
    <n v="1475.5214953271029"/>
    <n v="666.66666666666663"/>
    <n v="15472.355327102803"/>
    <n v="1420.6446728971969"/>
    <n v="1877"/>
    <n v="1206.6428571428571"/>
  </r>
  <r>
    <d v="2023-04-22T00:00:00"/>
    <d v="2023-04-01T00:00:00"/>
    <x v="3"/>
    <x v="0"/>
    <n v="9"/>
    <n v="14"/>
    <x v="5"/>
    <n v="1155"/>
    <n v="10395"/>
    <n v="2286.9"/>
    <n v="7000"/>
    <n v="2333.3333333333335"/>
    <n v="280.37383177570098"/>
    <n v="1475.5214953271029"/>
    <n v="666.66666666666663"/>
    <n v="14042.795327102804"/>
    <n v="-3647.7953271028036"/>
    <n v="1155"/>
    <n v="742.5"/>
  </r>
  <r>
    <d v="2023-04-23T00:00:00"/>
    <d v="2023-04-01T00:00:00"/>
    <x v="3"/>
    <x v="0"/>
    <n v="14"/>
    <n v="14"/>
    <x v="3"/>
    <n v="1862"/>
    <n v="26068"/>
    <n v="5734.96"/>
    <n v="7000"/>
    <n v="2333.3333333333335"/>
    <n v="436.13707165109037"/>
    <n v="1932.8112149532712"/>
    <n v="666.66666666666663"/>
    <n v="18103.908286604361"/>
    <n v="7964.0917133956391"/>
    <n v="1862"/>
    <n v="1862"/>
  </r>
  <r>
    <d v="2023-04-24T00:00:00"/>
    <d v="2023-04-01T00:00:00"/>
    <x v="3"/>
    <x v="0"/>
    <n v="10"/>
    <n v="14"/>
    <x v="4"/>
    <n v="1131"/>
    <n v="11310"/>
    <n v="2488.1999999999998"/>
    <n v="7000"/>
    <n v="2333.3333333333335"/>
    <n v="311.52647975077883"/>
    <n v="1566.9794392523365"/>
    <n v="666.66666666666663"/>
    <n v="14366.705919003116"/>
    <n v="-3056.7059190031159"/>
    <n v="1131"/>
    <n v="807.85714285714289"/>
  </r>
  <r>
    <d v="2023-04-25T00:00:00"/>
    <d v="2023-04-01T00:00:00"/>
    <x v="3"/>
    <x v="0"/>
    <n v="8"/>
    <n v="14"/>
    <x v="6"/>
    <n v="1517"/>
    <n v="12136"/>
    <n v="2669.92"/>
    <n v="7000"/>
    <n v="2333.3333333333335"/>
    <n v="249.22118380062307"/>
    <n v="1384.0635514018693"/>
    <n v="666.66666666666663"/>
    <n v="14303.204735202491"/>
    <n v="-2167.2047352024911"/>
    <n v="1517"/>
    <n v="866.85714285714289"/>
  </r>
  <r>
    <d v="2023-04-26T00:00:00"/>
    <d v="2023-04-01T00:00:00"/>
    <x v="3"/>
    <x v="0"/>
    <n v="9"/>
    <n v="14"/>
    <x v="5"/>
    <n v="1492"/>
    <n v="13428"/>
    <n v="2954.16"/>
    <n v="7000"/>
    <n v="2333.3333333333335"/>
    <n v="280.37383177570098"/>
    <n v="1475.5214953271029"/>
    <n v="666.66666666666663"/>
    <n v="14710.055327102804"/>
    <n v="-1282.0553271028039"/>
    <n v="1492"/>
    <n v="959.14285714285711"/>
  </r>
  <r>
    <d v="2023-04-27T00:00:00"/>
    <d v="2023-04-01T00:00:00"/>
    <x v="3"/>
    <x v="0"/>
    <n v="8"/>
    <n v="14"/>
    <x v="6"/>
    <n v="1071"/>
    <n v="8568"/>
    <n v="1884.96"/>
    <n v="7000"/>
    <n v="2333.3333333333335"/>
    <n v="249.22118380062307"/>
    <n v="1384.0635514018693"/>
    <n v="666.66666666666663"/>
    <n v="13518.24473520249"/>
    <n v="-4950.2447352024901"/>
    <n v="1071"/>
    <n v="612"/>
  </r>
  <r>
    <d v="2023-04-28T00:00:00"/>
    <d v="2023-04-01T00:00:00"/>
    <x v="3"/>
    <x v="0"/>
    <n v="12"/>
    <n v="14"/>
    <x v="0"/>
    <n v="1877"/>
    <n v="22524"/>
    <n v="4955.28"/>
    <n v="7000"/>
    <n v="2333.3333333333335"/>
    <n v="373.8317757009346"/>
    <n v="1749.895327102804"/>
    <n v="666.66666666666663"/>
    <n v="17079.007102803738"/>
    <n v="5444.9928971962618"/>
    <n v="1877"/>
    <n v="1608.8571428571429"/>
  </r>
  <r>
    <d v="2023-04-29T00:00:00"/>
    <d v="2023-04-01T00:00:00"/>
    <x v="3"/>
    <x v="0"/>
    <n v="12"/>
    <n v="14"/>
    <x v="0"/>
    <n v="1348"/>
    <n v="16176"/>
    <n v="3558.72"/>
    <n v="7000"/>
    <n v="2333.3333333333335"/>
    <n v="373.8317757009346"/>
    <n v="1749.895327102804"/>
    <n v="666.66666666666663"/>
    <n v="15682.447102803739"/>
    <n v="493.55289719626126"/>
    <n v="1348"/>
    <n v="1155.4285714285713"/>
  </r>
  <r>
    <d v="2023-04-30T00:00:00"/>
    <d v="2023-04-01T00:00:00"/>
    <x v="3"/>
    <x v="0"/>
    <n v="12"/>
    <n v="14"/>
    <x v="0"/>
    <n v="1867"/>
    <n v="22404"/>
    <n v="4928.88"/>
    <n v="7000"/>
    <n v="2333.3333333333335"/>
    <n v="373.8317757009346"/>
    <n v="1749.895327102804"/>
    <n v="666.66666666666663"/>
    <n v="17052.607102803744"/>
    <n v="5351.3928971962559"/>
    <n v="1867"/>
    <n v="1600.2857142857142"/>
  </r>
  <r>
    <d v="2023-05-01T00:00:00"/>
    <d v="2023-05-01T00:00:00"/>
    <x v="4"/>
    <x v="0"/>
    <n v="10"/>
    <n v="14"/>
    <x v="4"/>
    <n v="1946"/>
    <n v="19460"/>
    <n v="4281.2"/>
    <n v="6774.1935483870966"/>
    <n v="2258.0645161290322"/>
    <n v="274.72527472527469"/>
    <n v="1507.2460120524638"/>
    <n v="645.16129032258061"/>
    <n v="15740.590641616449"/>
    <n v="3719.4093583835511"/>
    <n v="1946"/>
    <n v="1390"/>
  </r>
  <r>
    <d v="2023-05-02T00:00:00"/>
    <d v="2023-05-01T00:00:00"/>
    <x v="4"/>
    <x v="0"/>
    <n v="14"/>
    <n v="14"/>
    <x v="3"/>
    <n v="1736"/>
    <n v="24304"/>
    <n v="5346.88"/>
    <n v="6774.1935483870966"/>
    <n v="2258.0645161290322"/>
    <n v="384.61538461538458"/>
    <n v="1845.4218362282877"/>
    <n v="645.16129032258061"/>
    <n v="17254.33657568238"/>
    <n v="7049.6634243176195"/>
    <n v="1736"/>
    <n v="1736"/>
  </r>
  <r>
    <d v="2023-05-03T00:00:00"/>
    <d v="2023-05-01T00:00:00"/>
    <x v="4"/>
    <x v="0"/>
    <n v="10"/>
    <n v="14"/>
    <x v="4"/>
    <n v="1259"/>
    <n v="12590"/>
    <n v="2769.8"/>
    <n v="6774.1935483870966"/>
    <n v="2258.0645161290322"/>
    <n v="274.72527472527469"/>
    <n v="1507.2460120524638"/>
    <n v="645.16129032258061"/>
    <n v="14229.190641616451"/>
    <n v="-1639.1906416164511"/>
    <n v="1259"/>
    <n v="899.28571428571433"/>
  </r>
  <r>
    <d v="2023-05-04T00:00:00"/>
    <d v="2023-05-01T00:00:00"/>
    <x v="4"/>
    <x v="0"/>
    <n v="10"/>
    <n v="14"/>
    <x v="4"/>
    <n v="1774"/>
    <n v="17740"/>
    <n v="3902.8"/>
    <n v="6774.1935483870966"/>
    <n v="2258.0645161290322"/>
    <n v="274.72527472527469"/>
    <n v="1507.2460120524638"/>
    <n v="645.16129032258061"/>
    <n v="15362.190641616451"/>
    <n v="2377.8093583835489"/>
    <n v="1774"/>
    <n v="1267.1428571428571"/>
  </r>
  <r>
    <d v="2023-05-05T00:00:00"/>
    <d v="2023-05-01T00:00:00"/>
    <x v="4"/>
    <x v="0"/>
    <n v="12"/>
    <n v="14"/>
    <x v="0"/>
    <n v="1970"/>
    <n v="23640"/>
    <n v="5200.8"/>
    <n v="6774.1935483870966"/>
    <n v="2258.0645161290322"/>
    <n v="329.67032967032964"/>
    <n v="1676.333924140376"/>
    <n v="645.16129032258061"/>
    <n v="16884.223608649416"/>
    <n v="6755.7763913505842"/>
    <n v="1970"/>
    <n v="1688.5714285714287"/>
  </r>
  <r>
    <d v="2023-05-06T00:00:00"/>
    <d v="2023-05-01T00:00:00"/>
    <x v="4"/>
    <x v="0"/>
    <n v="13"/>
    <n v="14"/>
    <x v="2"/>
    <n v="1553"/>
    <n v="20189"/>
    <n v="4441.58"/>
    <n v="6774.1935483870966"/>
    <n v="2258.0645161290322"/>
    <n v="357.14285714285711"/>
    <n v="1760.8778801843318"/>
    <n v="645.16129032258061"/>
    <n v="16237.0200921659"/>
    <n v="3951.9799078341002"/>
    <n v="1553"/>
    <n v="1442.0714285714287"/>
  </r>
  <r>
    <d v="2023-05-07T00:00:00"/>
    <d v="2023-05-01T00:00:00"/>
    <x v="4"/>
    <x v="0"/>
    <n v="12"/>
    <n v="14"/>
    <x v="0"/>
    <n v="1370"/>
    <n v="16440"/>
    <n v="3616.8"/>
    <n v="6774.1935483870966"/>
    <n v="2258.0645161290322"/>
    <n v="329.67032967032964"/>
    <n v="1676.333924140376"/>
    <n v="645.16129032258061"/>
    <n v="15300.223608649416"/>
    <n v="1139.7763913505842"/>
    <n v="1370"/>
    <n v="1174.2857142857142"/>
  </r>
  <r>
    <d v="2023-05-08T00:00:00"/>
    <d v="2023-05-01T00:00:00"/>
    <x v="4"/>
    <x v="0"/>
    <n v="14"/>
    <n v="14"/>
    <x v="3"/>
    <n v="1458"/>
    <n v="20412"/>
    <n v="4490.6400000000003"/>
    <n v="6774.1935483870966"/>
    <n v="2258.0645161290322"/>
    <n v="384.61538461538458"/>
    <n v="1845.4218362282877"/>
    <n v="645.16129032258061"/>
    <n v="16398.096575682383"/>
    <n v="4013.9034243176175"/>
    <n v="1458"/>
    <n v="1458"/>
  </r>
  <r>
    <d v="2023-05-09T00:00:00"/>
    <d v="2023-05-01T00:00:00"/>
    <x v="4"/>
    <x v="0"/>
    <n v="13"/>
    <n v="14"/>
    <x v="2"/>
    <n v="1803"/>
    <n v="23439"/>
    <n v="5156.58"/>
    <n v="6774.1935483870966"/>
    <n v="2258.0645161290322"/>
    <n v="357.14285714285711"/>
    <n v="1760.8778801843318"/>
    <n v="645.16129032258061"/>
    <n v="16952.020092165898"/>
    <n v="6486.9799078341021"/>
    <n v="1803"/>
    <n v="1674.2142857142858"/>
  </r>
  <r>
    <d v="2023-05-10T00:00:00"/>
    <d v="2023-05-01T00:00:00"/>
    <x v="4"/>
    <x v="0"/>
    <n v="13"/>
    <n v="14"/>
    <x v="2"/>
    <n v="1142"/>
    <n v="14846"/>
    <n v="3266.12"/>
    <n v="6774.1935483870966"/>
    <n v="2258.0645161290322"/>
    <n v="357.14285714285711"/>
    <n v="1760.8778801843318"/>
    <n v="645.16129032258061"/>
    <n v="15061.560092165901"/>
    <n v="-215.56009216590064"/>
    <n v="1142"/>
    <n v="1060.4285714285713"/>
  </r>
  <r>
    <d v="2023-05-11T00:00:00"/>
    <d v="2023-05-01T00:00:00"/>
    <x v="4"/>
    <x v="0"/>
    <n v="11"/>
    <n v="14"/>
    <x v="1"/>
    <n v="1214"/>
    <n v="13354"/>
    <n v="2937.88"/>
    <n v="6774.1935483870966"/>
    <n v="2258.0645161290322"/>
    <n v="302.19780219780216"/>
    <n v="1591.7899680964197"/>
    <n v="645.16129032258061"/>
    <n v="14509.287125132932"/>
    <n v="-1155.2871251329325"/>
    <n v="1214"/>
    <n v="953.85714285714289"/>
  </r>
  <r>
    <d v="2023-05-12T00:00:00"/>
    <d v="2023-05-01T00:00:00"/>
    <x v="4"/>
    <x v="0"/>
    <n v="14"/>
    <n v="14"/>
    <x v="3"/>
    <n v="1756"/>
    <n v="24584"/>
    <n v="5408.4800000000005"/>
    <n v="6774.1935483870966"/>
    <n v="2258.0645161290322"/>
    <n v="384.61538461538458"/>
    <n v="1845.4218362282877"/>
    <n v="645.16129032258061"/>
    <n v="17315.936575682383"/>
    <n v="7268.0634243176173"/>
    <n v="1756"/>
    <n v="1756"/>
  </r>
  <r>
    <d v="2023-05-13T00:00:00"/>
    <d v="2023-05-01T00:00:00"/>
    <x v="4"/>
    <x v="0"/>
    <n v="13"/>
    <n v="14"/>
    <x v="2"/>
    <n v="1113"/>
    <n v="14469"/>
    <n v="3183.18"/>
    <n v="6774.1935483870966"/>
    <n v="2258.0645161290322"/>
    <n v="357.14285714285711"/>
    <n v="1760.8778801843318"/>
    <n v="645.16129032258061"/>
    <n v="14978.620092165898"/>
    <n v="-509.62009216589831"/>
    <n v="1113"/>
    <n v="1033.5"/>
  </r>
  <r>
    <d v="2023-05-14T00:00:00"/>
    <d v="2023-05-01T00:00:00"/>
    <x v="4"/>
    <x v="0"/>
    <n v="12"/>
    <n v="14"/>
    <x v="0"/>
    <n v="1895"/>
    <n v="22740"/>
    <n v="5002.8"/>
    <n v="6774.1935483870966"/>
    <n v="2258.0645161290322"/>
    <n v="329.67032967032964"/>
    <n v="1676.333924140376"/>
    <n v="645.16129032258061"/>
    <n v="16686.223608649416"/>
    <n v="6053.7763913505842"/>
    <n v="1895"/>
    <n v="1624.2857142857142"/>
  </r>
  <r>
    <d v="2023-05-15T00:00:00"/>
    <d v="2023-05-01T00:00:00"/>
    <x v="4"/>
    <x v="0"/>
    <n v="12"/>
    <n v="14"/>
    <x v="0"/>
    <n v="1058"/>
    <n v="12696"/>
    <n v="2793.12"/>
    <n v="6774.1935483870966"/>
    <n v="2258.0645161290322"/>
    <n v="329.67032967032964"/>
    <n v="1676.333924140376"/>
    <n v="645.16129032258061"/>
    <n v="14476.543608649416"/>
    <n v="-1780.5436086494155"/>
    <n v="1058"/>
    <n v="906.85714285714289"/>
  </r>
  <r>
    <d v="2023-05-16T00:00:00"/>
    <d v="2023-05-01T00:00:00"/>
    <x v="4"/>
    <x v="0"/>
    <n v="14"/>
    <n v="14"/>
    <x v="3"/>
    <n v="1226"/>
    <n v="17164"/>
    <n v="3776.08"/>
    <n v="6774.1935483870966"/>
    <n v="2258.0645161290322"/>
    <n v="384.61538461538458"/>
    <n v="1845.4218362282877"/>
    <n v="645.16129032258061"/>
    <n v="15683.536575682383"/>
    <n v="1480.463424317617"/>
    <n v="1226"/>
    <n v="1226"/>
  </r>
  <r>
    <d v="2023-05-17T00:00:00"/>
    <d v="2023-05-01T00:00:00"/>
    <x v="4"/>
    <x v="0"/>
    <n v="10"/>
    <n v="14"/>
    <x v="4"/>
    <n v="1531"/>
    <n v="15310"/>
    <n v="3368.2"/>
    <n v="6774.1935483870966"/>
    <n v="2258.0645161290322"/>
    <n v="274.72527472527469"/>
    <n v="1507.2460120524638"/>
    <n v="645.16129032258061"/>
    <n v="14827.590641616449"/>
    <n v="482.40935838355108"/>
    <n v="1531"/>
    <n v="1093.5714285714287"/>
  </r>
  <r>
    <d v="2023-05-18T00:00:00"/>
    <d v="2023-05-01T00:00:00"/>
    <x v="4"/>
    <x v="0"/>
    <n v="9"/>
    <n v="14"/>
    <x v="5"/>
    <n v="1979"/>
    <n v="17811"/>
    <n v="3918.42"/>
    <n v="6774.1935483870966"/>
    <n v="2258.0645161290322"/>
    <n v="247.25274725274724"/>
    <n v="1422.7020560085077"/>
    <n v="645.16129032258061"/>
    <n v="15265.794158099965"/>
    <n v="2545.205841900035"/>
    <n v="1979"/>
    <n v="1272.2142857142858"/>
  </r>
  <r>
    <d v="2023-05-19T00:00:00"/>
    <d v="2023-05-01T00:00:00"/>
    <x v="4"/>
    <x v="0"/>
    <n v="13"/>
    <n v="14"/>
    <x v="2"/>
    <n v="1842"/>
    <n v="23946"/>
    <n v="5268.12"/>
    <n v="6774.1935483870966"/>
    <n v="2258.0645161290322"/>
    <n v="357.14285714285711"/>
    <n v="1760.8778801843318"/>
    <n v="645.16129032258061"/>
    <n v="17063.560092165899"/>
    <n v="6882.4399078341012"/>
    <n v="1842"/>
    <n v="1710.4285714285713"/>
  </r>
  <r>
    <d v="2023-05-20T00:00:00"/>
    <d v="2023-05-01T00:00:00"/>
    <x v="4"/>
    <x v="0"/>
    <n v="9"/>
    <n v="14"/>
    <x v="5"/>
    <n v="1182"/>
    <n v="10638"/>
    <n v="2340.36"/>
    <n v="6774.1935483870966"/>
    <n v="2258.0645161290322"/>
    <n v="247.25274725274724"/>
    <n v="1422.7020560085077"/>
    <n v="645.16129032258061"/>
    <n v="13687.734158099965"/>
    <n v="-3049.7341580999655"/>
    <n v="1182"/>
    <n v="759.85714285714289"/>
  </r>
  <r>
    <d v="2023-05-21T00:00:00"/>
    <d v="2023-05-01T00:00:00"/>
    <x v="4"/>
    <x v="0"/>
    <n v="12"/>
    <n v="14"/>
    <x v="0"/>
    <n v="1428"/>
    <n v="17136"/>
    <n v="3769.92"/>
    <n v="6774.1935483870966"/>
    <n v="2258.0645161290322"/>
    <n v="329.67032967032964"/>
    <n v="1676.333924140376"/>
    <n v="645.16129032258061"/>
    <n v="15453.343608649415"/>
    <n v="1682.6563913505852"/>
    <n v="1428"/>
    <n v="1224"/>
  </r>
  <r>
    <d v="2023-05-22T00:00:00"/>
    <d v="2023-05-01T00:00:00"/>
    <x v="4"/>
    <x v="0"/>
    <n v="10"/>
    <n v="14"/>
    <x v="4"/>
    <n v="1960"/>
    <n v="19600"/>
    <n v="4312"/>
    <n v="6774.1935483870966"/>
    <n v="2258.0645161290322"/>
    <n v="274.72527472527469"/>
    <n v="1507.2460120524638"/>
    <n v="645.16129032258061"/>
    <n v="15771.390641616448"/>
    <n v="3828.6093583835518"/>
    <n v="1960"/>
    <n v="1400"/>
  </r>
  <r>
    <d v="2023-05-23T00:00:00"/>
    <d v="2023-05-01T00:00:00"/>
    <x v="4"/>
    <x v="0"/>
    <n v="10"/>
    <n v="14"/>
    <x v="4"/>
    <n v="1122"/>
    <n v="11220"/>
    <n v="2468.4"/>
    <n v="6774.1935483870966"/>
    <n v="2258.0645161290322"/>
    <n v="274.72527472527469"/>
    <n v="1507.2460120524638"/>
    <n v="645.16129032258061"/>
    <n v="13927.79064161645"/>
    <n v="-2707.7906416164496"/>
    <n v="1122"/>
    <n v="801.42857142857144"/>
  </r>
  <r>
    <d v="2023-05-24T00:00:00"/>
    <d v="2023-05-01T00:00:00"/>
    <x v="4"/>
    <x v="0"/>
    <n v="11"/>
    <n v="14"/>
    <x v="1"/>
    <n v="1090"/>
    <n v="11990"/>
    <n v="2637.8"/>
    <n v="6774.1935483870966"/>
    <n v="2258.0645161290322"/>
    <n v="302.19780219780216"/>
    <n v="1591.7899680964197"/>
    <n v="645.16129032258061"/>
    <n v="14209.207125132934"/>
    <n v="-2219.2071251329344"/>
    <n v="1090"/>
    <n v="856.42857142857144"/>
  </r>
  <r>
    <d v="2023-05-25T00:00:00"/>
    <d v="2023-05-01T00:00:00"/>
    <x v="4"/>
    <x v="0"/>
    <n v="12"/>
    <n v="14"/>
    <x v="0"/>
    <n v="1225"/>
    <n v="14700"/>
    <n v="3234"/>
    <n v="6774.1935483870966"/>
    <n v="2258.0645161290322"/>
    <n v="329.67032967032964"/>
    <n v="1676.333924140376"/>
    <n v="645.16129032258061"/>
    <n v="14917.423608649415"/>
    <n v="-217.42360864941475"/>
    <n v="1225"/>
    <n v="1050"/>
  </r>
  <r>
    <d v="2023-05-26T00:00:00"/>
    <d v="2023-05-01T00:00:00"/>
    <x v="4"/>
    <x v="0"/>
    <n v="13"/>
    <n v="14"/>
    <x v="2"/>
    <n v="1243"/>
    <n v="16159"/>
    <n v="3554.98"/>
    <n v="6774.1935483870966"/>
    <n v="2258.0645161290322"/>
    <n v="357.14285714285711"/>
    <n v="1760.8778801843318"/>
    <n v="645.16129032258061"/>
    <n v="15350.420092165898"/>
    <n v="808.57990783410241"/>
    <n v="1243"/>
    <n v="1154.2142857142858"/>
  </r>
  <r>
    <d v="2023-05-27T00:00:00"/>
    <d v="2023-05-01T00:00:00"/>
    <x v="4"/>
    <x v="0"/>
    <n v="8"/>
    <n v="14"/>
    <x v="6"/>
    <n v="1763"/>
    <n v="14104"/>
    <n v="3102.88"/>
    <n v="6774.1935483870966"/>
    <n v="2258.0645161290322"/>
    <n v="219.78021978021977"/>
    <n v="1338.1580999645516"/>
    <n v="645.16129032258061"/>
    <n v="14338.237674583481"/>
    <n v="-234.23767458348084"/>
    <n v="1763"/>
    <n v="1007.4285714285714"/>
  </r>
  <r>
    <d v="2023-05-28T00:00:00"/>
    <d v="2023-05-01T00:00:00"/>
    <x v="4"/>
    <x v="0"/>
    <n v="13"/>
    <n v="14"/>
    <x v="2"/>
    <n v="1909"/>
    <n v="24817"/>
    <n v="5459.74"/>
    <n v="6774.1935483870966"/>
    <n v="2258.0645161290322"/>
    <n v="357.14285714285711"/>
    <n v="1760.8778801843318"/>
    <n v="645.16129032258061"/>
    <n v="17255.180092165898"/>
    <n v="7561.8199078341022"/>
    <n v="1909"/>
    <n v="1772.6428571428571"/>
  </r>
  <r>
    <d v="2023-05-29T00:00:00"/>
    <d v="2023-05-01T00:00:00"/>
    <x v="4"/>
    <x v="0"/>
    <n v="11"/>
    <n v="14"/>
    <x v="1"/>
    <n v="1103"/>
    <n v="12133"/>
    <n v="2669.26"/>
    <n v="6774.1935483870966"/>
    <n v="2258.0645161290322"/>
    <n v="302.19780219780216"/>
    <n v="1591.7899680964197"/>
    <n v="645.16129032258061"/>
    <n v="14240.667125132934"/>
    <n v="-2107.6671251329335"/>
    <n v="1103"/>
    <n v="866.64285714285711"/>
  </r>
  <r>
    <d v="2023-05-30T00:00:00"/>
    <d v="2023-05-01T00:00:00"/>
    <x v="4"/>
    <x v="0"/>
    <n v="12"/>
    <n v="14"/>
    <x v="0"/>
    <n v="1176"/>
    <n v="14112"/>
    <n v="3104.64"/>
    <n v="6774.1935483870966"/>
    <n v="2258.0645161290322"/>
    <n v="329.67032967032964"/>
    <n v="1676.333924140376"/>
    <n v="645.16129032258061"/>
    <n v="14788.063608649414"/>
    <n v="-676.06360864941416"/>
    <n v="1176"/>
    <n v="1008"/>
  </r>
  <r>
    <d v="2023-05-31T00:00:00"/>
    <d v="2023-05-01T00:00:00"/>
    <x v="4"/>
    <x v="0"/>
    <n v="14"/>
    <n v="14"/>
    <x v="3"/>
    <n v="1694"/>
    <n v="23716"/>
    <n v="5217.5200000000004"/>
    <n v="6774.1935483870966"/>
    <n v="2258.0645161290322"/>
    <n v="384.61538461538458"/>
    <n v="1845.4218362282877"/>
    <n v="645.16129032258061"/>
    <n v="17124.97657568238"/>
    <n v="6591.0234243176201"/>
    <n v="1694"/>
    <n v="1694"/>
  </r>
  <r>
    <d v="2023-06-01T00:00:00"/>
    <d v="2023-06-01T00:00:00"/>
    <x v="5"/>
    <x v="0"/>
    <n v="11"/>
    <n v="14"/>
    <x v="1"/>
    <n v="1321"/>
    <n v="14531"/>
    <n v="3196.82"/>
    <n v="7000"/>
    <n v="2333.3333333333335"/>
    <n v="335.36585365853659"/>
    <n v="1619.8379674796747"/>
    <n v="666.66666666666663"/>
    <n v="15152.023821138211"/>
    <n v="-621.02382113821113"/>
    <n v="1321"/>
    <n v="1037.9285714285713"/>
  </r>
  <r>
    <d v="2023-06-02T00:00:00"/>
    <d v="2023-06-01T00:00:00"/>
    <x v="5"/>
    <x v="0"/>
    <n v="8"/>
    <n v="14"/>
    <x v="6"/>
    <n v="1198"/>
    <n v="9584"/>
    <n v="2108.48"/>
    <n v="7000"/>
    <n v="2333.3333333333335"/>
    <n v="243.90243902439025"/>
    <n v="1354.1294308943088"/>
    <n v="666.66666666666663"/>
    <n v="13706.511869918699"/>
    <n v="-4122.5118699186987"/>
    <n v="1198"/>
    <n v="684.57142857142856"/>
  </r>
  <r>
    <d v="2023-06-03T00:00:00"/>
    <d v="2023-06-01T00:00:00"/>
    <x v="5"/>
    <x v="0"/>
    <n v="14"/>
    <n v="14"/>
    <x v="3"/>
    <n v="1525"/>
    <n v="21350"/>
    <n v="4697"/>
    <n v="7000"/>
    <n v="2333.3333333333335"/>
    <n v="426.82926829268291"/>
    <n v="1885.5465040650406"/>
    <n v="666.66666666666663"/>
    <n v="17009.375772357726"/>
    <n v="4340.6242276422745"/>
    <n v="1525"/>
    <n v="1525"/>
  </r>
  <r>
    <d v="2023-06-04T00:00:00"/>
    <d v="2023-06-01T00:00:00"/>
    <x v="5"/>
    <x v="0"/>
    <n v="10"/>
    <n v="14"/>
    <x v="4"/>
    <n v="1905"/>
    <n v="19050"/>
    <n v="4191"/>
    <n v="7000"/>
    <n v="2333.3333333333335"/>
    <n v="304.8780487804878"/>
    <n v="1531.2684552845528"/>
    <n v="666.66666666666663"/>
    <n v="16027.14650406504"/>
    <n v="3022.8534959349599"/>
    <n v="1905"/>
    <n v="1360.7142857142858"/>
  </r>
  <r>
    <d v="2023-06-05T00:00:00"/>
    <d v="2023-06-01T00:00:00"/>
    <x v="5"/>
    <x v="0"/>
    <n v="10"/>
    <n v="14"/>
    <x v="4"/>
    <n v="1265"/>
    <n v="12650"/>
    <n v="2783"/>
    <n v="7000"/>
    <n v="2333.3333333333335"/>
    <n v="304.8780487804878"/>
    <n v="1531.2684552845528"/>
    <n v="666.66666666666663"/>
    <n v="14619.14650406504"/>
    <n v="-1969.1465040650401"/>
    <n v="1265"/>
    <n v="903.57142857142856"/>
  </r>
  <r>
    <d v="2023-06-06T00:00:00"/>
    <d v="2023-06-01T00:00:00"/>
    <x v="5"/>
    <x v="0"/>
    <n v="12"/>
    <n v="14"/>
    <x v="0"/>
    <n v="1246"/>
    <n v="14952"/>
    <n v="3289.44"/>
    <n v="7000"/>
    <n v="2333.3333333333335"/>
    <n v="365.85365853658539"/>
    <n v="1708.4074796747968"/>
    <n v="666.66666666666663"/>
    <n v="15363.701138211383"/>
    <n v="-411.7011382113833"/>
    <n v="1246"/>
    <n v="1068"/>
  </r>
  <r>
    <d v="2023-06-07T00:00:00"/>
    <d v="2023-06-01T00:00:00"/>
    <x v="5"/>
    <x v="0"/>
    <n v="14"/>
    <n v="14"/>
    <x v="3"/>
    <n v="1560"/>
    <n v="21840"/>
    <n v="4804.8"/>
    <n v="7000"/>
    <n v="2333.3333333333335"/>
    <n v="426.82926829268291"/>
    <n v="1885.5465040650406"/>
    <n v="666.66666666666663"/>
    <n v="17117.175772357725"/>
    <n v="4722.8242276422752"/>
    <n v="1560"/>
    <n v="1560"/>
  </r>
  <r>
    <d v="2023-06-08T00:00:00"/>
    <d v="2023-06-01T00:00:00"/>
    <x v="5"/>
    <x v="0"/>
    <n v="9"/>
    <n v="14"/>
    <x v="5"/>
    <n v="1428"/>
    <n v="12852"/>
    <n v="2827.44"/>
    <n v="7000"/>
    <n v="2333.3333333333335"/>
    <n v="274.39024390243901"/>
    <n v="1442.6989430894309"/>
    <n v="666.66666666666663"/>
    <n v="14544.529186991871"/>
    <n v="-1692.529186991871"/>
    <n v="1428"/>
    <n v="918"/>
  </r>
  <r>
    <d v="2023-06-09T00:00:00"/>
    <d v="2023-06-01T00:00:00"/>
    <x v="5"/>
    <x v="0"/>
    <n v="9"/>
    <n v="14"/>
    <x v="5"/>
    <n v="1775"/>
    <n v="15975"/>
    <n v="3514.5"/>
    <n v="7000"/>
    <n v="2333.3333333333335"/>
    <n v="274.39024390243901"/>
    <n v="1442.6989430894309"/>
    <n v="666.66666666666663"/>
    <n v="15231.589186991869"/>
    <n v="743.4108130081313"/>
    <n v="1775"/>
    <n v="1141.0714285714287"/>
  </r>
  <r>
    <d v="2023-06-10T00:00:00"/>
    <d v="2023-06-01T00:00:00"/>
    <x v="5"/>
    <x v="0"/>
    <n v="13"/>
    <n v="14"/>
    <x v="2"/>
    <n v="1944"/>
    <n v="25272"/>
    <n v="5559.84"/>
    <n v="7000"/>
    <n v="2333.3333333333335"/>
    <n v="396.34146341463418"/>
    <n v="1796.9769918699185"/>
    <n v="666.66666666666663"/>
    <n v="17753.158455284556"/>
    <n v="7518.8415447154439"/>
    <n v="1944"/>
    <n v="1805.1428571428571"/>
  </r>
  <r>
    <d v="2023-06-11T00:00:00"/>
    <d v="2023-06-01T00:00:00"/>
    <x v="5"/>
    <x v="0"/>
    <n v="8"/>
    <n v="14"/>
    <x v="6"/>
    <n v="1235"/>
    <n v="9880"/>
    <n v="2173.6"/>
    <n v="7000"/>
    <n v="2333.3333333333335"/>
    <n v="243.90243902439025"/>
    <n v="1354.1294308943088"/>
    <n v="666.66666666666663"/>
    <n v="13771.6318699187"/>
    <n v="-3891.6318699186995"/>
    <n v="1235"/>
    <n v="705.71428571428567"/>
  </r>
  <r>
    <d v="2023-06-12T00:00:00"/>
    <d v="2023-06-01T00:00:00"/>
    <x v="5"/>
    <x v="0"/>
    <n v="8"/>
    <n v="14"/>
    <x v="6"/>
    <n v="1542"/>
    <n v="12336"/>
    <n v="2713.92"/>
    <n v="7000"/>
    <n v="2333.3333333333335"/>
    <n v="243.90243902439025"/>
    <n v="1354.1294308943088"/>
    <n v="666.66666666666663"/>
    <n v="14311.951869918699"/>
    <n v="-1975.9518699186992"/>
    <n v="1542"/>
    <n v="881.14285714285711"/>
  </r>
  <r>
    <d v="2023-06-13T00:00:00"/>
    <d v="2023-06-01T00:00:00"/>
    <x v="5"/>
    <x v="0"/>
    <n v="9"/>
    <n v="14"/>
    <x v="5"/>
    <n v="1645"/>
    <n v="14805"/>
    <n v="3257.1"/>
    <n v="7000"/>
    <n v="2333.3333333333335"/>
    <n v="274.39024390243901"/>
    <n v="1442.6989430894309"/>
    <n v="666.66666666666663"/>
    <n v="14974.189186991871"/>
    <n v="-169.18918699187088"/>
    <n v="1645"/>
    <n v="1057.5"/>
  </r>
  <r>
    <d v="2023-06-14T00:00:00"/>
    <d v="2023-06-01T00:00:00"/>
    <x v="5"/>
    <x v="0"/>
    <n v="13"/>
    <n v="14"/>
    <x v="2"/>
    <n v="1305"/>
    <n v="16965"/>
    <n v="3732.3"/>
    <n v="7000"/>
    <n v="2333.3333333333335"/>
    <n v="396.34146341463418"/>
    <n v="1796.9769918699185"/>
    <n v="666.66666666666663"/>
    <n v="15925.618455284552"/>
    <n v="1039.3815447154484"/>
    <n v="1305"/>
    <n v="1211.7857142857142"/>
  </r>
  <r>
    <d v="2023-06-15T00:00:00"/>
    <d v="2023-06-01T00:00:00"/>
    <x v="5"/>
    <x v="0"/>
    <n v="12"/>
    <n v="14"/>
    <x v="0"/>
    <n v="1235"/>
    <n v="14820"/>
    <n v="3260.4"/>
    <n v="7000"/>
    <n v="2333.3333333333335"/>
    <n v="365.85365853658539"/>
    <n v="1708.4074796747968"/>
    <n v="666.66666666666663"/>
    <n v="15334.661138211382"/>
    <n v="-514.66113821138242"/>
    <n v="1235"/>
    <n v="1058.5714285714287"/>
  </r>
  <r>
    <d v="2023-06-16T00:00:00"/>
    <d v="2023-06-01T00:00:00"/>
    <x v="5"/>
    <x v="0"/>
    <n v="11"/>
    <n v="14"/>
    <x v="1"/>
    <n v="1044"/>
    <n v="11484"/>
    <n v="2526.48"/>
    <n v="7000"/>
    <n v="2333.3333333333335"/>
    <n v="335.36585365853659"/>
    <n v="1619.8379674796747"/>
    <n v="666.66666666666663"/>
    <n v="14481.683821138211"/>
    <n v="-2997.683821138211"/>
    <n v="1044"/>
    <n v="820.28571428571433"/>
  </r>
  <r>
    <d v="2023-06-17T00:00:00"/>
    <d v="2023-06-01T00:00:00"/>
    <x v="5"/>
    <x v="0"/>
    <n v="9"/>
    <n v="14"/>
    <x v="5"/>
    <n v="1098"/>
    <n v="9882"/>
    <n v="2174.04"/>
    <n v="7000"/>
    <n v="2333.3333333333335"/>
    <n v="274.39024390243901"/>
    <n v="1442.6989430894309"/>
    <n v="666.66666666666663"/>
    <n v="13891.12918699187"/>
    <n v="-4009.1291869918696"/>
    <n v="1098"/>
    <n v="705.85714285714289"/>
  </r>
  <r>
    <d v="2023-06-18T00:00:00"/>
    <d v="2023-06-01T00:00:00"/>
    <x v="5"/>
    <x v="0"/>
    <n v="9"/>
    <n v="14"/>
    <x v="5"/>
    <n v="1628"/>
    <n v="14652"/>
    <n v="3223.44"/>
    <n v="7000"/>
    <n v="2333.3333333333335"/>
    <n v="274.39024390243901"/>
    <n v="1442.6989430894309"/>
    <n v="666.66666666666663"/>
    <n v="14940.529186991871"/>
    <n v="-288.52918699187103"/>
    <n v="1628"/>
    <n v="1046.5714285714287"/>
  </r>
  <r>
    <d v="2023-06-19T00:00:00"/>
    <d v="2023-06-01T00:00:00"/>
    <x v="5"/>
    <x v="0"/>
    <n v="14"/>
    <n v="14"/>
    <x v="3"/>
    <n v="1733"/>
    <n v="24262"/>
    <n v="5337.64"/>
    <n v="7000"/>
    <n v="2333.3333333333335"/>
    <n v="426.82926829268291"/>
    <n v="1885.5465040650406"/>
    <n v="666.66666666666663"/>
    <n v="17650.015772357725"/>
    <n v="6611.9842276422751"/>
    <n v="1733"/>
    <n v="1733"/>
  </r>
  <r>
    <d v="2023-06-20T00:00:00"/>
    <d v="2023-06-01T00:00:00"/>
    <x v="5"/>
    <x v="0"/>
    <n v="12"/>
    <n v="14"/>
    <x v="0"/>
    <n v="1560"/>
    <n v="18720"/>
    <n v="4118.3999999999996"/>
    <n v="7000"/>
    <n v="2333.3333333333335"/>
    <n v="365.85365853658539"/>
    <n v="1708.4074796747968"/>
    <n v="666.66666666666663"/>
    <n v="16192.661138211382"/>
    <n v="2527.3388617886176"/>
    <n v="1560"/>
    <n v="1337.1428571428571"/>
  </r>
  <r>
    <d v="2023-06-21T00:00:00"/>
    <d v="2023-06-01T00:00:00"/>
    <x v="5"/>
    <x v="0"/>
    <n v="8"/>
    <n v="14"/>
    <x v="6"/>
    <n v="1362"/>
    <n v="10896"/>
    <n v="2397.12"/>
    <n v="7000"/>
    <n v="2333.3333333333335"/>
    <n v="243.90243902439025"/>
    <n v="1354.1294308943088"/>
    <n v="666.66666666666663"/>
    <n v="13995.151869918698"/>
    <n v="-3099.1518699186981"/>
    <n v="1362"/>
    <n v="778.28571428571433"/>
  </r>
  <r>
    <d v="2023-06-22T00:00:00"/>
    <d v="2023-06-01T00:00:00"/>
    <x v="5"/>
    <x v="0"/>
    <n v="11"/>
    <n v="14"/>
    <x v="1"/>
    <n v="1367"/>
    <n v="15037"/>
    <n v="3308.14"/>
    <n v="7000"/>
    <n v="2333.3333333333335"/>
    <n v="335.36585365853659"/>
    <n v="1619.8379674796747"/>
    <n v="666.66666666666663"/>
    <n v="15263.343821138211"/>
    <n v="-226.34382113821084"/>
    <n v="1367"/>
    <n v="1074.0714285714287"/>
  </r>
  <r>
    <d v="2023-06-23T00:00:00"/>
    <d v="2023-06-01T00:00:00"/>
    <x v="5"/>
    <x v="0"/>
    <n v="14"/>
    <n v="14"/>
    <x v="3"/>
    <n v="1882"/>
    <n v="26348"/>
    <n v="5796.56"/>
    <n v="7000"/>
    <n v="2333.3333333333335"/>
    <n v="426.82926829268291"/>
    <n v="1885.5465040650406"/>
    <n v="666.66666666666663"/>
    <n v="18108.935772357727"/>
    <n v="8239.0642276422732"/>
    <n v="1882"/>
    <n v="1882"/>
  </r>
  <r>
    <d v="2023-06-24T00:00:00"/>
    <d v="2023-06-01T00:00:00"/>
    <x v="5"/>
    <x v="0"/>
    <n v="13"/>
    <n v="14"/>
    <x v="2"/>
    <n v="1482"/>
    <n v="19266"/>
    <n v="4238.5200000000004"/>
    <n v="7000"/>
    <n v="2333.3333333333335"/>
    <n v="396.34146341463418"/>
    <n v="1796.9769918699185"/>
    <n v="666.66666666666663"/>
    <n v="16431.838455284553"/>
    <n v="2834.1615447154472"/>
    <n v="1482"/>
    <n v="1376.1428571428571"/>
  </r>
  <r>
    <d v="2023-06-25T00:00:00"/>
    <d v="2023-06-01T00:00:00"/>
    <x v="5"/>
    <x v="0"/>
    <n v="14"/>
    <n v="14"/>
    <x v="3"/>
    <n v="1592"/>
    <n v="22288"/>
    <n v="4903.3599999999997"/>
    <n v="7000"/>
    <n v="2333.3333333333335"/>
    <n v="426.82926829268291"/>
    <n v="1885.5465040650406"/>
    <n v="666.66666666666663"/>
    <n v="17215.735772357726"/>
    <n v="5072.2642276422739"/>
    <n v="1592"/>
    <n v="1592"/>
  </r>
  <r>
    <d v="2023-06-26T00:00:00"/>
    <d v="2023-06-01T00:00:00"/>
    <x v="5"/>
    <x v="0"/>
    <n v="10"/>
    <n v="14"/>
    <x v="4"/>
    <n v="1780"/>
    <n v="17800"/>
    <n v="3916"/>
    <n v="7000"/>
    <n v="2333.3333333333335"/>
    <n v="304.8780487804878"/>
    <n v="1531.2684552845528"/>
    <n v="666.66666666666663"/>
    <n v="15752.14650406504"/>
    <n v="2047.8534959349599"/>
    <n v="1780"/>
    <n v="1271.4285714285713"/>
  </r>
  <r>
    <d v="2023-06-27T00:00:00"/>
    <d v="2023-06-01T00:00:00"/>
    <x v="5"/>
    <x v="0"/>
    <n v="14"/>
    <n v="14"/>
    <x v="3"/>
    <n v="1546"/>
    <n v="21644"/>
    <n v="4761.68"/>
    <n v="7000"/>
    <n v="2333.3333333333335"/>
    <n v="426.82926829268291"/>
    <n v="1885.5465040650406"/>
    <n v="666.66666666666663"/>
    <n v="17074.055772357726"/>
    <n v="4569.9442276422742"/>
    <n v="1546"/>
    <n v="1546"/>
  </r>
  <r>
    <d v="2023-06-28T00:00:00"/>
    <d v="2023-06-01T00:00:00"/>
    <x v="5"/>
    <x v="0"/>
    <n v="8"/>
    <n v="14"/>
    <x v="6"/>
    <n v="1353"/>
    <n v="10824"/>
    <n v="2381.2800000000002"/>
    <n v="7000"/>
    <n v="2333.3333333333335"/>
    <n v="243.90243902439025"/>
    <n v="1354.1294308943088"/>
    <n v="666.66666666666663"/>
    <n v="13979.3118699187"/>
    <n v="-3155.3118699186998"/>
    <n v="1353"/>
    <n v="773.14285714285711"/>
  </r>
  <r>
    <d v="2023-06-29T00:00:00"/>
    <d v="2023-06-01T00:00:00"/>
    <x v="5"/>
    <x v="0"/>
    <n v="13"/>
    <n v="14"/>
    <x v="2"/>
    <n v="1655"/>
    <n v="21515"/>
    <n v="4733.3"/>
    <n v="7000"/>
    <n v="2333.3333333333335"/>
    <n v="396.34146341463418"/>
    <n v="1796.9769918699185"/>
    <n v="666.66666666666663"/>
    <n v="16926.618455284552"/>
    <n v="4588.3815447154484"/>
    <n v="1655"/>
    <n v="1536.7857142857142"/>
  </r>
  <r>
    <d v="2023-06-30T00:00:00"/>
    <d v="2023-06-01T00:00:00"/>
    <x v="5"/>
    <x v="0"/>
    <n v="8"/>
    <n v="14"/>
    <x v="6"/>
    <n v="1599"/>
    <n v="12792"/>
    <n v="2814.2400000000002"/>
    <n v="7000"/>
    <n v="2333.3333333333335"/>
    <n v="243.90243902439025"/>
    <n v="1354.1294308943088"/>
    <n v="666.66666666666663"/>
    <n v="14412.271869918699"/>
    <n v="-1620.2718699186989"/>
    <n v="1599"/>
    <n v="913.71428571428567"/>
  </r>
  <r>
    <d v="2023-07-01T00:00:00"/>
    <d v="2023-07-01T00:00:00"/>
    <x v="6"/>
    <x v="0"/>
    <n v="8"/>
    <n v="14"/>
    <x v="6"/>
    <n v="1476"/>
    <n v="11808"/>
    <n v="2597.7600000000002"/>
    <n v="6774.1935483870966"/>
    <n v="2258.0645161290322"/>
    <n v="240.24024024024024"/>
    <n v="1408.6887532693986"/>
    <n v="645.16129032258061"/>
    <n v="13924.108348348349"/>
    <n v="-2116.108348348349"/>
    <n v="1476"/>
    <n v="843.42857142857144"/>
  </r>
  <r>
    <d v="2023-07-02T00:00:00"/>
    <d v="2023-07-01T00:00:00"/>
    <x v="6"/>
    <x v="0"/>
    <n v="8"/>
    <n v="14"/>
    <x v="6"/>
    <n v="1503"/>
    <n v="12024"/>
    <n v="2645.28"/>
    <n v="6774.1935483870966"/>
    <n v="2258.0645161290322"/>
    <n v="240.24024024024024"/>
    <n v="1408.6887532693986"/>
    <n v="645.16129032258061"/>
    <n v="13971.628348348349"/>
    <n v="-1947.6283483483494"/>
    <n v="1503"/>
    <n v="858.85714285714289"/>
  </r>
  <r>
    <d v="2023-07-03T00:00:00"/>
    <d v="2023-07-01T00:00:00"/>
    <x v="6"/>
    <x v="0"/>
    <n v="14"/>
    <n v="14"/>
    <x v="3"/>
    <n v="1477"/>
    <n v="20678"/>
    <n v="4549.16"/>
    <n v="6774.1935483870966"/>
    <n v="2258.0645161290322"/>
    <n v="420.42042042042044"/>
    <n v="1966.1698343504795"/>
    <n v="645.16129032258061"/>
    <n v="16613.169609609609"/>
    <n v="4064.8303903903907"/>
    <n v="1477"/>
    <n v="1477"/>
  </r>
  <r>
    <d v="2023-07-04T00:00:00"/>
    <d v="2023-07-01T00:00:00"/>
    <x v="6"/>
    <x v="0"/>
    <n v="8"/>
    <n v="14"/>
    <x v="6"/>
    <n v="1002"/>
    <n v="8016"/>
    <n v="1763.52"/>
    <n v="6774.1935483870966"/>
    <n v="2258.0645161290322"/>
    <n v="240.24024024024024"/>
    <n v="1408.6887532693986"/>
    <n v="645.16129032258061"/>
    <n v="13089.868348348349"/>
    <n v="-5073.8683483483492"/>
    <n v="1002"/>
    <n v="572.57142857142856"/>
  </r>
  <r>
    <d v="2023-07-05T00:00:00"/>
    <d v="2023-07-01T00:00:00"/>
    <x v="6"/>
    <x v="0"/>
    <n v="11"/>
    <n v="14"/>
    <x v="1"/>
    <n v="1686"/>
    <n v="18546"/>
    <n v="4080.12"/>
    <n v="6774.1935483870966"/>
    <n v="2258.0645161290322"/>
    <n v="330.33033033033036"/>
    <n v="1687.4292938099391"/>
    <n v="645.16129032258061"/>
    <n v="15775.298978978981"/>
    <n v="2770.7010210210192"/>
    <n v="1686"/>
    <n v="1324.7142857142858"/>
  </r>
  <r>
    <d v="2023-07-06T00:00:00"/>
    <d v="2023-07-01T00:00:00"/>
    <x v="6"/>
    <x v="0"/>
    <n v="8"/>
    <n v="14"/>
    <x v="6"/>
    <n v="1541"/>
    <n v="12328"/>
    <n v="2712.16"/>
    <n v="6774.1935483870966"/>
    <n v="2258.0645161290322"/>
    <n v="240.24024024024024"/>
    <n v="1408.6887532693986"/>
    <n v="645.16129032258061"/>
    <n v="14038.508348348349"/>
    <n v="-1710.5083483483486"/>
    <n v="1541"/>
    <n v="880.57142857142856"/>
  </r>
  <r>
    <d v="2023-07-07T00:00:00"/>
    <d v="2023-07-01T00:00:00"/>
    <x v="6"/>
    <x v="0"/>
    <n v="14"/>
    <n v="14"/>
    <x v="3"/>
    <n v="1525"/>
    <n v="21350"/>
    <n v="4697"/>
    <n v="6774.1935483870966"/>
    <n v="2258.0645161290322"/>
    <n v="420.42042042042044"/>
    <n v="1966.1698343504795"/>
    <n v="645.16129032258061"/>
    <n v="16761.009609609609"/>
    <n v="4588.9903903903905"/>
    <n v="1525"/>
    <n v="1525"/>
  </r>
  <r>
    <d v="2023-07-08T00:00:00"/>
    <d v="2023-07-01T00:00:00"/>
    <x v="6"/>
    <x v="0"/>
    <n v="14"/>
    <n v="14"/>
    <x v="3"/>
    <n v="1915"/>
    <n v="26810"/>
    <n v="5898.2"/>
    <n v="6774.1935483870966"/>
    <n v="2258.0645161290322"/>
    <n v="420.42042042042044"/>
    <n v="1966.1698343504795"/>
    <n v="645.16129032258061"/>
    <n v="17962.209609609607"/>
    <n v="8847.7903903903934"/>
    <n v="1915"/>
    <n v="1915"/>
  </r>
  <r>
    <d v="2023-07-09T00:00:00"/>
    <d v="2023-07-01T00:00:00"/>
    <x v="6"/>
    <x v="0"/>
    <n v="11"/>
    <n v="14"/>
    <x v="1"/>
    <n v="1565"/>
    <n v="17215"/>
    <n v="3787.3"/>
    <n v="6774.1935483870966"/>
    <n v="2258.0645161290322"/>
    <n v="330.33033033033036"/>
    <n v="1687.4292938099391"/>
    <n v="645.16129032258061"/>
    <n v="15482.478978978981"/>
    <n v="1732.5210210210189"/>
    <n v="1565"/>
    <n v="1229.6428571428571"/>
  </r>
  <r>
    <d v="2023-07-10T00:00:00"/>
    <d v="2023-07-01T00:00:00"/>
    <x v="6"/>
    <x v="0"/>
    <n v="13"/>
    <n v="14"/>
    <x v="2"/>
    <n v="1753"/>
    <n v="22789"/>
    <n v="5013.58"/>
    <n v="6774.1935483870966"/>
    <n v="2258.0645161290322"/>
    <n v="390.39039039039039"/>
    <n v="1873.2563208369661"/>
    <n v="645.16129032258061"/>
    <n v="16954.646066066067"/>
    <n v="5834.3539339339331"/>
    <n v="1753"/>
    <n v="1627.7857142857142"/>
  </r>
  <r>
    <d v="2023-07-11T00:00:00"/>
    <d v="2023-07-01T00:00:00"/>
    <x v="6"/>
    <x v="0"/>
    <n v="14"/>
    <n v="14"/>
    <x v="3"/>
    <n v="1480"/>
    <n v="20720"/>
    <n v="4558.3999999999996"/>
    <n v="6774.1935483870966"/>
    <n v="2258.0645161290322"/>
    <n v="420.42042042042044"/>
    <n v="1966.1698343504795"/>
    <n v="645.16129032258061"/>
    <n v="16622.409609609607"/>
    <n v="4097.5903903903927"/>
    <n v="1480"/>
    <n v="1480"/>
  </r>
  <r>
    <d v="2023-07-12T00:00:00"/>
    <d v="2023-07-01T00:00:00"/>
    <x v="6"/>
    <x v="0"/>
    <n v="12"/>
    <n v="14"/>
    <x v="0"/>
    <n v="1555"/>
    <n v="18660"/>
    <n v="4105.2"/>
    <n v="6774.1935483870966"/>
    <n v="2258.0645161290322"/>
    <n v="360.36036036036035"/>
    <n v="1780.3428073234525"/>
    <n v="645.16129032258061"/>
    <n v="15923.322522522521"/>
    <n v="2736.6774774774785"/>
    <n v="1555"/>
    <n v="1332.8571428571429"/>
  </r>
  <r>
    <d v="2023-07-13T00:00:00"/>
    <d v="2023-07-01T00:00:00"/>
    <x v="6"/>
    <x v="0"/>
    <n v="12"/>
    <n v="14"/>
    <x v="0"/>
    <n v="1748"/>
    <n v="20976"/>
    <n v="4614.72"/>
    <n v="6774.1935483870966"/>
    <n v="2258.0645161290322"/>
    <n v="360.36036036036035"/>
    <n v="1780.3428073234525"/>
    <n v="645.16129032258061"/>
    <n v="16432.842522522522"/>
    <n v="4543.1574774774781"/>
    <n v="1748"/>
    <n v="1498.2857142857142"/>
  </r>
  <r>
    <d v="2023-07-14T00:00:00"/>
    <d v="2023-07-01T00:00:00"/>
    <x v="6"/>
    <x v="0"/>
    <n v="11"/>
    <n v="14"/>
    <x v="1"/>
    <n v="1938"/>
    <n v="21318"/>
    <n v="4689.96"/>
    <n v="6774.1935483870966"/>
    <n v="2258.0645161290322"/>
    <n v="330.33033033033036"/>
    <n v="1687.4292938099391"/>
    <n v="645.16129032258061"/>
    <n v="16385.138978978979"/>
    <n v="4932.8610210210209"/>
    <n v="1938"/>
    <n v="1522.7142857142858"/>
  </r>
  <r>
    <d v="2023-07-15T00:00:00"/>
    <d v="2023-07-01T00:00:00"/>
    <x v="6"/>
    <x v="0"/>
    <n v="13"/>
    <n v="14"/>
    <x v="2"/>
    <n v="1976"/>
    <n v="25688"/>
    <n v="5651.36"/>
    <n v="6774.1935483870966"/>
    <n v="2258.0645161290322"/>
    <n v="390.39039039039039"/>
    <n v="1873.2563208369661"/>
    <n v="645.16129032258061"/>
    <n v="17592.426066066062"/>
    <n v="8095.573933933938"/>
    <n v="1976"/>
    <n v="1834.8571428571429"/>
  </r>
  <r>
    <d v="2023-07-16T00:00:00"/>
    <d v="2023-07-01T00:00:00"/>
    <x v="6"/>
    <x v="0"/>
    <n v="10"/>
    <n v="14"/>
    <x v="4"/>
    <n v="1892"/>
    <n v="18920"/>
    <n v="4162.3999999999996"/>
    <n v="6774.1935483870966"/>
    <n v="2258.0645161290322"/>
    <n v="300.30030030030031"/>
    <n v="1594.5157802964254"/>
    <n v="645.16129032258061"/>
    <n v="15734.635435435435"/>
    <n v="3185.3645645645647"/>
    <n v="1892"/>
    <n v="1351.4285714285713"/>
  </r>
  <r>
    <d v="2023-07-17T00:00:00"/>
    <d v="2023-07-01T00:00:00"/>
    <x v="6"/>
    <x v="0"/>
    <n v="11"/>
    <n v="14"/>
    <x v="1"/>
    <n v="1526"/>
    <n v="16786"/>
    <n v="3692.92"/>
    <n v="6774.1935483870966"/>
    <n v="2258.0645161290322"/>
    <n v="330.33033033033036"/>
    <n v="1687.4292938099391"/>
    <n v="645.16129032258061"/>
    <n v="15388.09897897898"/>
    <n v="1397.9010210210199"/>
    <n v="1526"/>
    <n v="1199"/>
  </r>
  <r>
    <d v="2023-07-18T00:00:00"/>
    <d v="2023-07-01T00:00:00"/>
    <x v="6"/>
    <x v="0"/>
    <n v="9"/>
    <n v="14"/>
    <x v="5"/>
    <n v="1446"/>
    <n v="13014"/>
    <n v="2863.08"/>
    <n v="6774.1935483870966"/>
    <n v="2258.0645161290322"/>
    <n v="270.27027027027026"/>
    <n v="1501.602266782912"/>
    <n v="645.16129032258061"/>
    <n v="14312.371891891891"/>
    <n v="-1298.3718918918912"/>
    <n v="1446"/>
    <n v="929.57142857142856"/>
  </r>
  <r>
    <d v="2023-07-19T00:00:00"/>
    <d v="2023-07-01T00:00:00"/>
    <x v="6"/>
    <x v="0"/>
    <n v="8"/>
    <n v="14"/>
    <x v="6"/>
    <n v="1101"/>
    <n v="8808"/>
    <n v="1937.76"/>
    <n v="6774.1935483870966"/>
    <n v="2258.0645161290322"/>
    <n v="240.24024024024024"/>
    <n v="1408.6887532693986"/>
    <n v="645.16129032258061"/>
    <n v="13264.108348348349"/>
    <n v="-4456.108348348349"/>
    <n v="1101"/>
    <n v="629.14285714285711"/>
  </r>
  <r>
    <d v="2023-07-20T00:00:00"/>
    <d v="2023-07-01T00:00:00"/>
    <x v="6"/>
    <x v="0"/>
    <n v="9"/>
    <n v="14"/>
    <x v="5"/>
    <n v="1688"/>
    <n v="15192"/>
    <n v="3342.2400000000002"/>
    <n v="6774.1935483870966"/>
    <n v="2258.0645161290322"/>
    <n v="270.27027027027026"/>
    <n v="1501.602266782912"/>
    <n v="645.16129032258061"/>
    <n v="14791.531891891891"/>
    <n v="400.46810810810894"/>
    <n v="1688"/>
    <n v="1085.1428571428571"/>
  </r>
  <r>
    <d v="2023-07-21T00:00:00"/>
    <d v="2023-07-01T00:00:00"/>
    <x v="6"/>
    <x v="0"/>
    <n v="8"/>
    <n v="14"/>
    <x v="6"/>
    <n v="1870"/>
    <n v="14960"/>
    <n v="3291.2"/>
    <n v="6774.1935483870966"/>
    <n v="2258.0645161290322"/>
    <n v="240.24024024024024"/>
    <n v="1408.6887532693986"/>
    <n v="645.16129032258061"/>
    <n v="14617.548348348348"/>
    <n v="342.45165165165236"/>
    <n v="1870"/>
    <n v="1068.5714285714287"/>
  </r>
  <r>
    <d v="2023-07-22T00:00:00"/>
    <d v="2023-07-01T00:00:00"/>
    <x v="6"/>
    <x v="0"/>
    <n v="12"/>
    <n v="14"/>
    <x v="0"/>
    <n v="1621"/>
    <n v="19452"/>
    <n v="4279.4399999999996"/>
    <n v="6774.1935483870966"/>
    <n v="2258.0645161290322"/>
    <n v="360.36036036036035"/>
    <n v="1780.3428073234525"/>
    <n v="645.16129032258061"/>
    <n v="16097.562522522523"/>
    <n v="3354.4374774774769"/>
    <n v="1621"/>
    <n v="1389.4285714285713"/>
  </r>
  <r>
    <d v="2023-07-23T00:00:00"/>
    <d v="2023-07-01T00:00:00"/>
    <x v="6"/>
    <x v="0"/>
    <n v="12"/>
    <n v="14"/>
    <x v="0"/>
    <n v="1373"/>
    <n v="16476"/>
    <n v="3624.72"/>
    <n v="6774.1935483870966"/>
    <n v="2258.0645161290322"/>
    <n v="360.36036036036035"/>
    <n v="1780.3428073234525"/>
    <n v="645.16129032258061"/>
    <n v="15442.842522522522"/>
    <n v="1033.1574774774781"/>
    <n v="1373"/>
    <n v="1176.8571428571429"/>
  </r>
  <r>
    <d v="2023-07-24T00:00:00"/>
    <d v="2023-07-01T00:00:00"/>
    <x v="6"/>
    <x v="0"/>
    <n v="12"/>
    <n v="14"/>
    <x v="0"/>
    <n v="1363"/>
    <n v="16356"/>
    <n v="3598.32"/>
    <n v="6774.1935483870966"/>
    <n v="2258.0645161290322"/>
    <n v="360.36036036036035"/>
    <n v="1780.3428073234525"/>
    <n v="645.16129032258061"/>
    <n v="15416.442522522522"/>
    <n v="939.55747747747773"/>
    <n v="1363"/>
    <n v="1168.2857142857142"/>
  </r>
  <r>
    <d v="2023-07-25T00:00:00"/>
    <d v="2023-07-01T00:00:00"/>
    <x v="6"/>
    <x v="0"/>
    <n v="11"/>
    <n v="14"/>
    <x v="1"/>
    <n v="1126"/>
    <n v="12386"/>
    <n v="2724.92"/>
    <n v="6774.1935483870966"/>
    <n v="2258.0645161290322"/>
    <n v="330.33033033033036"/>
    <n v="1687.4292938099391"/>
    <n v="645.16129032258061"/>
    <n v="14420.09897897898"/>
    <n v="-2034.0989789789801"/>
    <n v="1126"/>
    <n v="884.71428571428567"/>
  </r>
  <r>
    <d v="2023-07-26T00:00:00"/>
    <d v="2023-07-01T00:00:00"/>
    <x v="6"/>
    <x v="0"/>
    <n v="11"/>
    <n v="14"/>
    <x v="1"/>
    <n v="1412"/>
    <n v="15532"/>
    <n v="3417.04"/>
    <n v="6774.1935483870966"/>
    <n v="2258.0645161290322"/>
    <n v="330.33033033033036"/>
    <n v="1687.4292938099391"/>
    <n v="645.16129032258061"/>
    <n v="15112.218978978979"/>
    <n v="419.78102102102093"/>
    <n v="1412"/>
    <n v="1109.4285714285713"/>
  </r>
  <r>
    <d v="2023-07-27T00:00:00"/>
    <d v="2023-07-01T00:00:00"/>
    <x v="6"/>
    <x v="0"/>
    <n v="8"/>
    <n v="14"/>
    <x v="6"/>
    <n v="1347"/>
    <n v="10776"/>
    <n v="2370.7199999999998"/>
    <n v="6774.1935483870966"/>
    <n v="2258.0645161290322"/>
    <n v="240.24024024024024"/>
    <n v="1408.6887532693986"/>
    <n v="645.16129032258061"/>
    <n v="13697.068348348348"/>
    <n v="-2921.0683483483481"/>
    <n v="1347"/>
    <n v="769.71428571428567"/>
  </r>
  <r>
    <d v="2023-07-28T00:00:00"/>
    <d v="2023-07-01T00:00:00"/>
    <x v="6"/>
    <x v="0"/>
    <n v="13"/>
    <n v="14"/>
    <x v="2"/>
    <n v="1859"/>
    <n v="24167"/>
    <n v="5316.74"/>
    <n v="6774.1935483870966"/>
    <n v="2258.0645161290322"/>
    <n v="390.39039039039039"/>
    <n v="1873.2563208369661"/>
    <n v="645.16129032258061"/>
    <n v="17257.806066066063"/>
    <n v="6909.1939339339369"/>
    <n v="1859"/>
    <n v="1726.2142857142858"/>
  </r>
  <r>
    <d v="2023-07-29T00:00:00"/>
    <d v="2023-07-01T00:00:00"/>
    <x v="6"/>
    <x v="0"/>
    <n v="9"/>
    <n v="14"/>
    <x v="5"/>
    <n v="1893"/>
    <n v="17037"/>
    <n v="3748.14"/>
    <n v="6774.1935483870966"/>
    <n v="2258.0645161290322"/>
    <n v="270.27027027027026"/>
    <n v="1501.602266782912"/>
    <n v="645.16129032258061"/>
    <n v="15197.431891891893"/>
    <n v="1839.5681081081075"/>
    <n v="1893"/>
    <n v="1216.9285714285713"/>
  </r>
  <r>
    <d v="2023-07-30T00:00:00"/>
    <d v="2023-07-01T00:00:00"/>
    <x v="6"/>
    <x v="0"/>
    <n v="11"/>
    <n v="14"/>
    <x v="1"/>
    <n v="1379"/>
    <n v="15169"/>
    <n v="3337.18"/>
    <n v="6774.1935483870966"/>
    <n v="2258.0645161290322"/>
    <n v="330.33033033033036"/>
    <n v="1687.4292938099391"/>
    <n v="645.16129032258061"/>
    <n v="15032.35897897898"/>
    <n v="136.6410210210197"/>
    <n v="1379"/>
    <n v="1083.5"/>
  </r>
  <r>
    <d v="2023-07-31T00:00:00"/>
    <d v="2023-07-01T00:00:00"/>
    <x v="6"/>
    <x v="0"/>
    <n v="8"/>
    <n v="14"/>
    <x v="6"/>
    <n v="1911"/>
    <n v="15288"/>
    <n v="3363.36"/>
    <n v="6774.1935483870966"/>
    <n v="2258.0645161290322"/>
    <n v="240.24024024024024"/>
    <n v="1408.6887532693986"/>
    <n v="645.16129032258061"/>
    <n v="14689.708348348349"/>
    <n v="598.29165165165068"/>
    <n v="1911"/>
    <n v="1092"/>
  </r>
  <r>
    <d v="2023-08-01T00:00:00"/>
    <d v="2023-08-01T00:00:00"/>
    <x v="7"/>
    <x v="0"/>
    <n v="9"/>
    <n v="14"/>
    <x v="5"/>
    <n v="1786"/>
    <n v="16074"/>
    <n v="3536.28"/>
    <n v="6774.1935483870966"/>
    <n v="2258.0645161290322"/>
    <n v="266.27218934911241"/>
    <n v="1469.362989120061"/>
    <n v="645.16129032258061"/>
    <n v="14949.334533307885"/>
    <n v="1124.6654666921149"/>
    <n v="1786"/>
    <n v="1148.1428571428571"/>
  </r>
  <r>
    <d v="2023-08-02T00:00:00"/>
    <d v="2023-08-01T00:00:00"/>
    <x v="7"/>
    <x v="0"/>
    <n v="13"/>
    <n v="14"/>
    <x v="2"/>
    <n v="1427"/>
    <n v="18551"/>
    <n v="4081.22"/>
    <n v="6774.1935483870966"/>
    <n v="2258.0645161290322"/>
    <n v="384.61538461538464"/>
    <n v="1830.6339950372208"/>
    <n v="645.16129032258061"/>
    <n v="15973.888734491315"/>
    <n v="2577.1112655086854"/>
    <n v="1427"/>
    <n v="1325.0714285714287"/>
  </r>
  <r>
    <d v="2023-08-03T00:00:00"/>
    <d v="2023-08-01T00:00:00"/>
    <x v="7"/>
    <x v="0"/>
    <n v="14"/>
    <n v="14"/>
    <x v="3"/>
    <n v="1292"/>
    <n v="18088"/>
    <n v="3979.36"/>
    <n v="6774.1935483870966"/>
    <n v="2258.0645161290322"/>
    <n v="414.20118343195264"/>
    <n v="1920.9517465165109"/>
    <n v="645.16129032258061"/>
    <n v="15991.932284787175"/>
    <n v="2096.0677152128246"/>
    <n v="1292"/>
    <n v="1292"/>
  </r>
  <r>
    <d v="2023-08-04T00:00:00"/>
    <d v="2023-08-01T00:00:00"/>
    <x v="7"/>
    <x v="0"/>
    <n v="10"/>
    <n v="14"/>
    <x v="4"/>
    <n v="1134"/>
    <n v="11340"/>
    <n v="2494.8000000000002"/>
    <n v="6774.1935483870966"/>
    <n v="2258.0645161290322"/>
    <n v="295.85798816568047"/>
    <n v="1559.6807405993509"/>
    <n v="645.16129032258061"/>
    <n v="14027.758083603743"/>
    <n v="-2687.7580836037432"/>
    <n v="1134"/>
    <n v="810"/>
  </r>
  <r>
    <d v="2023-08-05T00:00:00"/>
    <d v="2023-08-01T00:00:00"/>
    <x v="7"/>
    <x v="0"/>
    <n v="10"/>
    <n v="14"/>
    <x v="4"/>
    <n v="1448"/>
    <n v="14480"/>
    <n v="3185.6"/>
    <n v="6774.1935483870966"/>
    <n v="2258.0645161290322"/>
    <n v="295.85798816568047"/>
    <n v="1559.6807405993509"/>
    <n v="645.16129032258061"/>
    <n v="14718.558083603742"/>
    <n v="-238.55808360374249"/>
    <n v="1448"/>
    <n v="1034.2857142857142"/>
  </r>
  <r>
    <d v="2023-08-06T00:00:00"/>
    <d v="2023-08-01T00:00:00"/>
    <x v="7"/>
    <x v="0"/>
    <n v="13"/>
    <n v="14"/>
    <x v="2"/>
    <n v="1524"/>
    <n v="19812"/>
    <n v="4358.6400000000003"/>
    <n v="6774.1935483870966"/>
    <n v="2258.0645161290322"/>
    <n v="384.61538461538464"/>
    <n v="1830.6339950372208"/>
    <n v="645.16129032258061"/>
    <n v="16251.308734491316"/>
    <n v="3560.6912655086835"/>
    <n v="1524"/>
    <n v="1415.1428571428571"/>
  </r>
  <r>
    <d v="2023-08-07T00:00:00"/>
    <d v="2023-08-01T00:00:00"/>
    <x v="7"/>
    <x v="0"/>
    <n v="14"/>
    <n v="14"/>
    <x v="3"/>
    <n v="1378"/>
    <n v="19292"/>
    <n v="4244.24"/>
    <n v="6774.1935483870966"/>
    <n v="2258.0645161290322"/>
    <n v="414.20118343195264"/>
    <n v="1920.9517465165109"/>
    <n v="645.16129032258061"/>
    <n v="16256.812284787173"/>
    <n v="3035.1877152128272"/>
    <n v="1378"/>
    <n v="1378"/>
  </r>
  <r>
    <d v="2023-08-08T00:00:00"/>
    <d v="2023-08-01T00:00:00"/>
    <x v="7"/>
    <x v="0"/>
    <n v="11"/>
    <n v="14"/>
    <x v="1"/>
    <n v="1181"/>
    <n v="12991"/>
    <n v="2858.02"/>
    <n v="6774.1935483870966"/>
    <n v="2258.0645161290322"/>
    <n v="325.44378698224853"/>
    <n v="1649.998492078641"/>
    <n v="645.16129032258061"/>
    <n v="14510.8816338996"/>
    <n v="-1519.8816338996003"/>
    <n v="1181"/>
    <n v="927.92857142857144"/>
  </r>
  <r>
    <d v="2023-08-09T00:00:00"/>
    <d v="2023-08-01T00:00:00"/>
    <x v="7"/>
    <x v="0"/>
    <n v="9"/>
    <n v="14"/>
    <x v="5"/>
    <n v="1208"/>
    <n v="10872"/>
    <n v="2391.84"/>
    <n v="6774.1935483870966"/>
    <n v="2258.0645161290322"/>
    <n v="266.27218934911241"/>
    <n v="1469.362989120061"/>
    <n v="645.16129032258061"/>
    <n v="13804.894533307885"/>
    <n v="-2932.8945333078846"/>
    <n v="1208"/>
    <n v="776.57142857142856"/>
  </r>
  <r>
    <d v="2023-08-10T00:00:00"/>
    <d v="2023-08-01T00:00:00"/>
    <x v="7"/>
    <x v="0"/>
    <n v="8"/>
    <n v="14"/>
    <x v="6"/>
    <n v="1638"/>
    <n v="13104"/>
    <n v="2882.88"/>
    <n v="6774.1935483870966"/>
    <n v="2258.0645161290322"/>
    <n v="236.68639053254438"/>
    <n v="1379.0452376407711"/>
    <n v="645.16129032258061"/>
    <n v="14176.030983012026"/>
    <n v="-1072.0309830120259"/>
    <n v="1638"/>
    <n v="936"/>
  </r>
  <r>
    <d v="2023-08-11T00:00:00"/>
    <d v="2023-08-01T00:00:00"/>
    <x v="7"/>
    <x v="0"/>
    <n v="8"/>
    <n v="14"/>
    <x v="6"/>
    <n v="1293"/>
    <n v="10344"/>
    <n v="2275.6799999999998"/>
    <n v="6774.1935483870966"/>
    <n v="2258.0645161290322"/>
    <n v="236.68639053254438"/>
    <n v="1379.0452376407711"/>
    <n v="645.16129032258061"/>
    <n v="13568.830983012025"/>
    <n v="-3224.8309830120252"/>
    <n v="1293"/>
    <n v="738.85714285714289"/>
  </r>
  <r>
    <d v="2023-08-12T00:00:00"/>
    <d v="2023-08-01T00:00:00"/>
    <x v="7"/>
    <x v="0"/>
    <n v="11"/>
    <n v="14"/>
    <x v="1"/>
    <n v="1223"/>
    <n v="13453"/>
    <n v="2959.66"/>
    <n v="6774.1935483870966"/>
    <n v="2258.0645161290322"/>
    <n v="325.44378698224853"/>
    <n v="1649.998492078641"/>
    <n v="645.16129032258061"/>
    <n v="14612.5216338996"/>
    <n v="-1159.5216338995997"/>
    <n v="1223"/>
    <n v="960.92857142857144"/>
  </r>
  <r>
    <d v="2023-08-13T00:00:00"/>
    <d v="2023-08-01T00:00:00"/>
    <x v="7"/>
    <x v="0"/>
    <n v="13"/>
    <n v="14"/>
    <x v="2"/>
    <n v="1849"/>
    <n v="24037"/>
    <n v="5288.14"/>
    <n v="6774.1935483870966"/>
    <n v="2258.0645161290322"/>
    <n v="384.61538461538464"/>
    <n v="1830.6339950372208"/>
    <n v="645.16129032258061"/>
    <n v="17180.808734491315"/>
    <n v="6856.1912655086853"/>
    <n v="1849"/>
    <n v="1716.9285714285713"/>
  </r>
  <r>
    <d v="2023-08-14T00:00:00"/>
    <d v="2023-08-01T00:00:00"/>
    <x v="7"/>
    <x v="0"/>
    <n v="8"/>
    <n v="14"/>
    <x v="6"/>
    <n v="1253"/>
    <n v="10024"/>
    <n v="2205.2800000000002"/>
    <n v="6774.1935483870966"/>
    <n v="2258.0645161290322"/>
    <n v="236.68639053254438"/>
    <n v="1379.0452376407711"/>
    <n v="645.16129032258061"/>
    <n v="13498.430983012027"/>
    <n v="-3474.4309830120274"/>
    <n v="1253"/>
    <n v="716"/>
  </r>
  <r>
    <d v="2023-08-15T00:00:00"/>
    <d v="2023-08-01T00:00:00"/>
    <x v="7"/>
    <x v="0"/>
    <n v="8"/>
    <n v="14"/>
    <x v="6"/>
    <n v="1734"/>
    <n v="13872"/>
    <n v="3051.84"/>
    <n v="6774.1935483870966"/>
    <n v="2258.0645161290322"/>
    <n v="236.68639053254438"/>
    <n v="1379.0452376407711"/>
    <n v="645.16129032258061"/>
    <n v="14344.990983012025"/>
    <n v="-472.99098301202503"/>
    <n v="1734"/>
    <n v="990.85714285714289"/>
  </r>
  <r>
    <d v="2023-08-16T00:00:00"/>
    <d v="2023-08-01T00:00:00"/>
    <x v="7"/>
    <x v="0"/>
    <n v="10"/>
    <n v="14"/>
    <x v="4"/>
    <n v="1407"/>
    <n v="14070"/>
    <n v="3095.4"/>
    <n v="6774.1935483870966"/>
    <n v="2258.0645161290322"/>
    <n v="295.85798816568047"/>
    <n v="1559.6807405993509"/>
    <n v="645.16129032258061"/>
    <n v="14628.358083603742"/>
    <n v="-558.35808360374176"/>
    <n v="1407"/>
    <n v="1005"/>
  </r>
  <r>
    <d v="2023-08-17T00:00:00"/>
    <d v="2023-08-01T00:00:00"/>
    <x v="7"/>
    <x v="0"/>
    <n v="11"/>
    <n v="14"/>
    <x v="1"/>
    <n v="1123"/>
    <n v="12353"/>
    <n v="2717.66"/>
    <n v="6774.1935483870966"/>
    <n v="2258.0645161290322"/>
    <n v="325.44378698224853"/>
    <n v="1649.998492078641"/>
    <n v="645.16129032258061"/>
    <n v="14370.5216338996"/>
    <n v="-2017.5216338995997"/>
    <n v="1123"/>
    <n v="882.35714285714289"/>
  </r>
  <r>
    <d v="2023-08-18T00:00:00"/>
    <d v="2023-08-01T00:00:00"/>
    <x v="7"/>
    <x v="0"/>
    <n v="12"/>
    <n v="14"/>
    <x v="0"/>
    <n v="1498"/>
    <n v="17976"/>
    <n v="3954.72"/>
    <n v="6774.1935483870966"/>
    <n v="2258.0645161290322"/>
    <n v="355.02958579881658"/>
    <n v="1740.3162435579309"/>
    <n v="645.16129032258061"/>
    <n v="15727.485184195457"/>
    <n v="2248.5148158045431"/>
    <n v="1498"/>
    <n v="1284"/>
  </r>
  <r>
    <d v="2023-08-19T00:00:00"/>
    <d v="2023-08-01T00:00:00"/>
    <x v="7"/>
    <x v="0"/>
    <n v="12"/>
    <n v="14"/>
    <x v="0"/>
    <n v="1902"/>
    <n v="22824"/>
    <n v="5021.28"/>
    <n v="6774.1935483870966"/>
    <n v="2258.0645161290322"/>
    <n v="355.02958579881658"/>
    <n v="1740.3162435579309"/>
    <n v="645.16129032258061"/>
    <n v="16794.045184195456"/>
    <n v="6029.9548158045436"/>
    <n v="1902"/>
    <n v="1630.2857142857142"/>
  </r>
  <r>
    <d v="2023-08-20T00:00:00"/>
    <d v="2023-08-01T00:00:00"/>
    <x v="7"/>
    <x v="0"/>
    <n v="12"/>
    <n v="14"/>
    <x v="0"/>
    <n v="1556"/>
    <n v="18672"/>
    <n v="4107.84"/>
    <n v="6774.1935483870966"/>
    <n v="2258.0645161290322"/>
    <n v="355.02958579881658"/>
    <n v="1740.3162435579309"/>
    <n v="645.16129032258061"/>
    <n v="15880.605184195458"/>
    <n v="2791.3948158045423"/>
    <n v="1556"/>
    <n v="1333.7142857142858"/>
  </r>
  <r>
    <d v="2023-08-21T00:00:00"/>
    <d v="2023-08-01T00:00:00"/>
    <x v="7"/>
    <x v="0"/>
    <n v="9"/>
    <n v="14"/>
    <x v="5"/>
    <n v="1167"/>
    <n v="10503"/>
    <n v="2310.66"/>
    <n v="6774.1935483870966"/>
    <n v="2258.0645161290322"/>
    <n v="266.27218934911241"/>
    <n v="1469.362989120061"/>
    <n v="645.16129032258061"/>
    <n v="13723.714533307884"/>
    <n v="-3220.7145333078843"/>
    <n v="1167"/>
    <n v="750.21428571428567"/>
  </r>
  <r>
    <d v="2023-08-22T00:00:00"/>
    <d v="2023-08-01T00:00:00"/>
    <x v="7"/>
    <x v="0"/>
    <n v="13"/>
    <n v="14"/>
    <x v="2"/>
    <n v="1875"/>
    <n v="24375"/>
    <n v="5362.5"/>
    <n v="6774.1935483870966"/>
    <n v="2258.0645161290322"/>
    <n v="384.61538461538464"/>
    <n v="1830.6339950372208"/>
    <n v="645.16129032258061"/>
    <n v="17255.168734491315"/>
    <n v="7119.8312655086847"/>
    <n v="1875"/>
    <n v="1741.0714285714287"/>
  </r>
  <r>
    <d v="2023-08-23T00:00:00"/>
    <d v="2023-08-01T00:00:00"/>
    <x v="7"/>
    <x v="0"/>
    <n v="8"/>
    <n v="14"/>
    <x v="6"/>
    <n v="1208"/>
    <n v="9664"/>
    <n v="2126.08"/>
    <n v="6774.1935483870966"/>
    <n v="2258.0645161290322"/>
    <n v="236.68639053254438"/>
    <n v="1379.0452376407711"/>
    <n v="645.16129032258061"/>
    <n v="13419.230983012027"/>
    <n v="-3755.2309830120266"/>
    <n v="1208"/>
    <n v="690.28571428571433"/>
  </r>
  <r>
    <d v="2023-08-24T00:00:00"/>
    <d v="2023-08-01T00:00:00"/>
    <x v="7"/>
    <x v="0"/>
    <n v="10"/>
    <n v="14"/>
    <x v="4"/>
    <n v="1179"/>
    <n v="11790"/>
    <n v="2593.8000000000002"/>
    <n v="6774.1935483870966"/>
    <n v="2258.0645161290322"/>
    <n v="295.85798816568047"/>
    <n v="1559.6807405993509"/>
    <n v="645.16129032258061"/>
    <n v="14126.758083603743"/>
    <n v="-2336.7580836037432"/>
    <n v="1179"/>
    <n v="842.14285714285711"/>
  </r>
  <r>
    <d v="2023-08-25T00:00:00"/>
    <d v="2023-08-01T00:00:00"/>
    <x v="7"/>
    <x v="0"/>
    <n v="11"/>
    <n v="14"/>
    <x v="1"/>
    <n v="1817"/>
    <n v="19987"/>
    <n v="4397.1400000000003"/>
    <n v="6774.1935483870966"/>
    <n v="2258.0645161290322"/>
    <n v="325.44378698224853"/>
    <n v="1649.998492078641"/>
    <n v="645.16129032258061"/>
    <n v="16050.001633899601"/>
    <n v="3936.9983661003989"/>
    <n v="1817"/>
    <n v="1427.6428571428571"/>
  </r>
  <r>
    <d v="2023-08-26T00:00:00"/>
    <d v="2023-08-01T00:00:00"/>
    <x v="7"/>
    <x v="0"/>
    <n v="9"/>
    <n v="14"/>
    <x v="5"/>
    <n v="1139"/>
    <n v="10251"/>
    <n v="2255.2199999999998"/>
    <n v="6774.1935483870966"/>
    <n v="2258.0645161290322"/>
    <n v="266.27218934911241"/>
    <n v="1469.362989120061"/>
    <n v="645.16129032258061"/>
    <n v="13668.274533307884"/>
    <n v="-3417.2745333078838"/>
    <n v="1139"/>
    <n v="732.21428571428567"/>
  </r>
  <r>
    <d v="2023-08-27T00:00:00"/>
    <d v="2023-08-01T00:00:00"/>
    <x v="7"/>
    <x v="0"/>
    <n v="14"/>
    <n v="14"/>
    <x v="3"/>
    <n v="1496"/>
    <n v="20944"/>
    <n v="4607.68"/>
    <n v="6774.1935483870966"/>
    <n v="2258.0645161290322"/>
    <n v="414.20118343195264"/>
    <n v="1920.9517465165109"/>
    <n v="645.16129032258061"/>
    <n v="16620.252284787173"/>
    <n v="4323.7477152128267"/>
    <n v="1496"/>
    <n v="1496"/>
  </r>
  <r>
    <d v="2023-08-28T00:00:00"/>
    <d v="2023-08-01T00:00:00"/>
    <x v="7"/>
    <x v="0"/>
    <n v="11"/>
    <n v="14"/>
    <x v="1"/>
    <n v="1704"/>
    <n v="18744"/>
    <n v="4123.68"/>
    <n v="6774.1935483870966"/>
    <n v="2258.0645161290322"/>
    <n v="325.44378698224853"/>
    <n v="1649.998492078641"/>
    <n v="645.16129032258061"/>
    <n v="15776.5416338996"/>
    <n v="2967.4583661003999"/>
    <n v="1704"/>
    <n v="1338.8571428571429"/>
  </r>
  <r>
    <d v="2023-08-29T00:00:00"/>
    <d v="2023-08-01T00:00:00"/>
    <x v="7"/>
    <x v="0"/>
    <n v="14"/>
    <n v="14"/>
    <x v="3"/>
    <n v="1384"/>
    <n v="19376"/>
    <n v="4262.72"/>
    <n v="6774.1935483870966"/>
    <n v="2258.0645161290322"/>
    <n v="414.20118343195264"/>
    <n v="1920.9517465165109"/>
    <n v="645.16129032258061"/>
    <n v="16275.292284787172"/>
    <n v="3100.7077152128277"/>
    <n v="1384"/>
    <n v="1384"/>
  </r>
  <r>
    <d v="2023-08-30T00:00:00"/>
    <d v="2023-08-01T00:00:00"/>
    <x v="7"/>
    <x v="0"/>
    <n v="12"/>
    <n v="14"/>
    <x v="0"/>
    <n v="1690"/>
    <n v="20280"/>
    <n v="4461.6000000000004"/>
    <n v="6774.1935483870966"/>
    <n v="2258.0645161290322"/>
    <n v="355.02958579881658"/>
    <n v="1740.3162435579309"/>
    <n v="645.16129032258061"/>
    <n v="16234.365184195458"/>
    <n v="4045.6348158045421"/>
    <n v="1690"/>
    <n v="1448.5714285714287"/>
  </r>
  <r>
    <d v="2023-08-31T00:00:00"/>
    <d v="2023-08-01T00:00:00"/>
    <x v="7"/>
    <x v="0"/>
    <n v="11"/>
    <n v="14"/>
    <x v="1"/>
    <n v="1098"/>
    <n v="12078"/>
    <n v="2657.16"/>
    <n v="6774.1935483870966"/>
    <n v="2258.0645161290322"/>
    <n v="325.44378698224853"/>
    <n v="1649.998492078641"/>
    <n v="645.16129032258061"/>
    <n v="14310.0216338996"/>
    <n v="-2232.0216338995997"/>
    <n v="1098"/>
    <n v="862.71428571428567"/>
  </r>
  <r>
    <d v="2023-09-01T00:00:00"/>
    <d v="2023-09-01T00:00:00"/>
    <x v="8"/>
    <x v="0"/>
    <n v="10"/>
    <n v="14"/>
    <x v="4"/>
    <n v="1388"/>
    <n v="13880"/>
    <n v="3053.6"/>
    <n v="7000"/>
    <n v="2333.3333333333335"/>
    <n v="303.03030303030306"/>
    <n v="1680.7975757575759"/>
    <n v="666.66666666666663"/>
    <n v="15037.427878787881"/>
    <n v="-1157.4278787878811"/>
    <n v="1388"/>
    <n v="991.42857142857144"/>
  </r>
  <r>
    <d v="2023-09-02T00:00:00"/>
    <d v="2023-09-01T00:00:00"/>
    <x v="8"/>
    <x v="0"/>
    <n v="10"/>
    <n v="14"/>
    <x v="4"/>
    <n v="1586"/>
    <n v="15860"/>
    <n v="3489.2"/>
    <n v="7000"/>
    <n v="2333.3333333333335"/>
    <n v="303.03030303030306"/>
    <n v="1680.7975757575759"/>
    <n v="666.66666666666663"/>
    <n v="15473.02787878788"/>
    <n v="386.97212121212033"/>
    <n v="1586"/>
    <n v="1132.8571428571429"/>
  </r>
  <r>
    <d v="2023-09-03T00:00:00"/>
    <d v="2023-09-01T00:00:00"/>
    <x v="8"/>
    <x v="0"/>
    <n v="12"/>
    <n v="14"/>
    <x v="0"/>
    <n v="1182"/>
    <n v="14184"/>
    <n v="3120.48"/>
    <n v="7000"/>
    <n v="2333.3333333333335"/>
    <n v="363.63636363636363"/>
    <n v="1874.7357575757574"/>
    <n v="666.66666666666663"/>
    <n v="15358.852121212121"/>
    <n v="-1174.8521212121213"/>
    <n v="1182"/>
    <n v="1013.1428571428571"/>
  </r>
  <r>
    <d v="2023-09-04T00:00:00"/>
    <d v="2023-09-01T00:00:00"/>
    <x v="8"/>
    <x v="0"/>
    <n v="13"/>
    <n v="14"/>
    <x v="2"/>
    <n v="1983"/>
    <n v="25779"/>
    <n v="5671.38"/>
    <n v="7000"/>
    <n v="2333.3333333333335"/>
    <n v="393.93939393939394"/>
    <n v="1971.7048484848483"/>
    <n v="666.66666666666663"/>
    <n v="18037.024242424246"/>
    <n v="7741.975757575754"/>
    <n v="1983"/>
    <n v="1841.3571428571429"/>
  </r>
  <r>
    <d v="2023-09-05T00:00:00"/>
    <d v="2023-09-01T00:00:00"/>
    <x v="8"/>
    <x v="0"/>
    <n v="12"/>
    <n v="14"/>
    <x v="0"/>
    <n v="1822"/>
    <n v="21864"/>
    <n v="4810.08"/>
    <n v="7000"/>
    <n v="2333.3333333333335"/>
    <n v="363.63636363636363"/>
    <n v="1874.7357575757574"/>
    <n v="666.66666666666663"/>
    <n v="17048.452121212122"/>
    <n v="4815.5478787878783"/>
    <n v="1822"/>
    <n v="1561.7142857142858"/>
  </r>
  <r>
    <d v="2023-09-06T00:00:00"/>
    <d v="2023-09-01T00:00:00"/>
    <x v="8"/>
    <x v="0"/>
    <n v="8"/>
    <n v="14"/>
    <x v="6"/>
    <n v="1714"/>
    <n v="13712"/>
    <n v="3016.64"/>
    <n v="7000"/>
    <n v="2333.3333333333335"/>
    <n v="242.42424242424244"/>
    <n v="1486.8593939393941"/>
    <n v="666.66666666666663"/>
    <n v="14745.923636363636"/>
    <n v="-1033.9236363636355"/>
    <n v="1714"/>
    <n v="979.42857142857144"/>
  </r>
  <r>
    <d v="2023-09-07T00:00:00"/>
    <d v="2023-09-01T00:00:00"/>
    <x v="8"/>
    <x v="0"/>
    <n v="9"/>
    <n v="14"/>
    <x v="5"/>
    <n v="1534"/>
    <n v="13806"/>
    <n v="3037.32"/>
    <n v="7000"/>
    <n v="2333.3333333333335"/>
    <n v="272.72727272727275"/>
    <n v="1583.828484848485"/>
    <n v="666.66666666666663"/>
    <n v="14893.875757575757"/>
    <n v="-1087.8757575757572"/>
    <n v="1534"/>
    <n v="986.14285714285711"/>
  </r>
  <r>
    <d v="2023-09-08T00:00:00"/>
    <d v="2023-09-01T00:00:00"/>
    <x v="8"/>
    <x v="0"/>
    <n v="12"/>
    <n v="14"/>
    <x v="0"/>
    <n v="1494"/>
    <n v="17928"/>
    <n v="3944.16"/>
    <n v="7000"/>
    <n v="2333.3333333333335"/>
    <n v="363.63636363636363"/>
    <n v="1874.7357575757574"/>
    <n v="666.66666666666663"/>
    <n v="16182.532121212122"/>
    <n v="1745.4678787878784"/>
    <n v="1494"/>
    <n v="1280.5714285714287"/>
  </r>
  <r>
    <d v="2023-09-09T00:00:00"/>
    <d v="2023-09-01T00:00:00"/>
    <x v="8"/>
    <x v="0"/>
    <n v="13"/>
    <n v="14"/>
    <x v="2"/>
    <n v="1879"/>
    <n v="24427"/>
    <n v="5373.94"/>
    <n v="7000"/>
    <n v="2333.3333333333335"/>
    <n v="393.93939393939394"/>
    <n v="1971.7048484848483"/>
    <n v="666.66666666666663"/>
    <n v="17739.584242424244"/>
    <n v="6687.4157575757563"/>
    <n v="1879"/>
    <n v="1744.7857142857142"/>
  </r>
  <r>
    <d v="2023-09-10T00:00:00"/>
    <d v="2023-09-01T00:00:00"/>
    <x v="8"/>
    <x v="0"/>
    <n v="13"/>
    <n v="14"/>
    <x v="2"/>
    <n v="1227"/>
    <n v="15951"/>
    <n v="3509.22"/>
    <n v="7000"/>
    <n v="2333.3333333333335"/>
    <n v="393.93939393939394"/>
    <n v="1971.7048484848483"/>
    <n v="666.66666666666663"/>
    <n v="15874.864242424241"/>
    <n v="76.135757575759271"/>
    <n v="1227"/>
    <n v="1139.3571428571429"/>
  </r>
  <r>
    <d v="2023-09-11T00:00:00"/>
    <d v="2023-09-01T00:00:00"/>
    <x v="8"/>
    <x v="0"/>
    <n v="11"/>
    <n v="14"/>
    <x v="1"/>
    <n v="1449"/>
    <n v="15939"/>
    <n v="3506.58"/>
    <n v="7000"/>
    <n v="2333.3333333333335"/>
    <n v="333.33333333333337"/>
    <n v="1777.7666666666669"/>
    <n v="666.66666666666663"/>
    <n v="15617.68"/>
    <n v="321.31999999999971"/>
    <n v="1449"/>
    <n v="1138.5"/>
  </r>
  <r>
    <d v="2023-09-12T00:00:00"/>
    <d v="2023-09-01T00:00:00"/>
    <x v="8"/>
    <x v="0"/>
    <n v="8"/>
    <n v="14"/>
    <x v="6"/>
    <n v="1705"/>
    <n v="13640"/>
    <n v="3000.8"/>
    <n v="7000"/>
    <n v="2333.3333333333335"/>
    <n v="242.42424242424244"/>
    <n v="1486.8593939393941"/>
    <n v="666.66666666666663"/>
    <n v="14730.083636363635"/>
    <n v="-1090.0836363636354"/>
    <n v="1705"/>
    <n v="974.28571428571433"/>
  </r>
  <r>
    <d v="2023-09-13T00:00:00"/>
    <d v="2023-09-01T00:00:00"/>
    <x v="8"/>
    <x v="0"/>
    <n v="8"/>
    <n v="14"/>
    <x v="6"/>
    <n v="1838"/>
    <n v="14704"/>
    <n v="3234.88"/>
    <n v="7000"/>
    <n v="2333.3333333333335"/>
    <n v="242.42424242424244"/>
    <n v="1486.8593939393941"/>
    <n v="666.66666666666663"/>
    <n v="14964.163636363637"/>
    <n v="-260.16363636363712"/>
    <n v="1838"/>
    <n v="1050.2857142857142"/>
  </r>
  <r>
    <d v="2023-09-14T00:00:00"/>
    <d v="2023-09-01T00:00:00"/>
    <x v="8"/>
    <x v="0"/>
    <n v="10"/>
    <n v="14"/>
    <x v="4"/>
    <n v="1533"/>
    <n v="15330"/>
    <n v="3372.6"/>
    <n v="7000"/>
    <n v="2333.3333333333335"/>
    <n v="303.03030303030306"/>
    <n v="1680.7975757575759"/>
    <n v="666.66666666666663"/>
    <n v="15356.427878787881"/>
    <n v="-26.427878787881127"/>
    <n v="1533"/>
    <n v="1095"/>
  </r>
  <r>
    <d v="2023-09-15T00:00:00"/>
    <d v="2023-09-01T00:00:00"/>
    <x v="8"/>
    <x v="0"/>
    <n v="11"/>
    <n v="14"/>
    <x v="1"/>
    <n v="1718"/>
    <n v="18898"/>
    <n v="4157.5600000000004"/>
    <n v="7000"/>
    <n v="2333.3333333333335"/>
    <n v="333.33333333333337"/>
    <n v="1777.7666666666669"/>
    <n v="666.66666666666663"/>
    <n v="16268.660000000002"/>
    <n v="2629.3399999999983"/>
    <n v="1718"/>
    <n v="1349.8571428571429"/>
  </r>
  <r>
    <d v="2023-09-16T00:00:00"/>
    <d v="2023-09-01T00:00:00"/>
    <x v="8"/>
    <x v="0"/>
    <n v="13"/>
    <n v="14"/>
    <x v="2"/>
    <n v="1205"/>
    <n v="15665"/>
    <n v="3446.3"/>
    <n v="7000"/>
    <n v="2333.3333333333335"/>
    <n v="393.93939393939394"/>
    <n v="1971.7048484848483"/>
    <n v="666.66666666666663"/>
    <n v="15811.944242424242"/>
    <n v="-146.94424242424247"/>
    <n v="1205"/>
    <n v="1118.9285714285713"/>
  </r>
  <r>
    <d v="2023-09-17T00:00:00"/>
    <d v="2023-09-01T00:00:00"/>
    <x v="8"/>
    <x v="0"/>
    <n v="14"/>
    <n v="14"/>
    <x v="3"/>
    <n v="1203"/>
    <n v="16842"/>
    <n v="3705.2400000000002"/>
    <n v="7000"/>
    <n v="2333.3333333333335"/>
    <n v="424.24242424242425"/>
    <n v="2068.6739393939392"/>
    <n v="666.66666666666663"/>
    <n v="16198.156363636363"/>
    <n v="643.84363636363742"/>
    <n v="1203"/>
    <n v="1203"/>
  </r>
  <r>
    <d v="2023-09-18T00:00:00"/>
    <d v="2023-09-01T00:00:00"/>
    <x v="8"/>
    <x v="0"/>
    <n v="13"/>
    <n v="14"/>
    <x v="2"/>
    <n v="1063"/>
    <n v="13819"/>
    <n v="3040.18"/>
    <n v="7000"/>
    <n v="2333.3333333333335"/>
    <n v="393.93939393939394"/>
    <n v="1971.7048484848483"/>
    <n v="666.66666666666663"/>
    <n v="15405.824242424243"/>
    <n v="-1586.8242424242435"/>
    <n v="1063"/>
    <n v="987.07142857142856"/>
  </r>
  <r>
    <d v="2023-09-19T00:00:00"/>
    <d v="2023-09-01T00:00:00"/>
    <x v="8"/>
    <x v="0"/>
    <n v="10"/>
    <n v="14"/>
    <x v="4"/>
    <n v="1911"/>
    <n v="19110"/>
    <n v="4204.2"/>
    <n v="7000"/>
    <n v="2333.3333333333335"/>
    <n v="303.03030303030306"/>
    <n v="1680.7975757575759"/>
    <n v="666.66666666666663"/>
    <n v="16188.02787878788"/>
    <n v="2921.9721212121203"/>
    <n v="1911"/>
    <n v="1365"/>
  </r>
  <r>
    <d v="2023-09-20T00:00:00"/>
    <d v="2023-09-01T00:00:00"/>
    <x v="8"/>
    <x v="0"/>
    <n v="13"/>
    <n v="14"/>
    <x v="2"/>
    <n v="1398"/>
    <n v="18174"/>
    <n v="3998.28"/>
    <n v="7000"/>
    <n v="2333.3333333333335"/>
    <n v="393.93939393939394"/>
    <n v="1971.7048484848483"/>
    <n v="666.66666666666663"/>
    <n v="16363.924242424242"/>
    <n v="1810.075757575758"/>
    <n v="1398"/>
    <n v="1298.1428571428571"/>
  </r>
  <r>
    <d v="2023-09-21T00:00:00"/>
    <d v="2023-09-01T00:00:00"/>
    <x v="8"/>
    <x v="0"/>
    <n v="11"/>
    <n v="14"/>
    <x v="1"/>
    <n v="1404"/>
    <n v="15444"/>
    <n v="3397.68"/>
    <n v="7000"/>
    <n v="2333.3333333333335"/>
    <n v="333.33333333333337"/>
    <n v="1777.7666666666669"/>
    <n v="666.66666666666663"/>
    <n v="15508.78"/>
    <n v="-64.780000000000655"/>
    <n v="1404"/>
    <n v="1103.1428571428571"/>
  </r>
  <r>
    <d v="2023-09-22T00:00:00"/>
    <d v="2023-09-01T00:00:00"/>
    <x v="8"/>
    <x v="0"/>
    <n v="9"/>
    <n v="14"/>
    <x v="5"/>
    <n v="1383"/>
    <n v="12447"/>
    <n v="2738.34"/>
    <n v="7000"/>
    <n v="2333.3333333333335"/>
    <n v="272.72727272727275"/>
    <n v="1583.828484848485"/>
    <n v="666.66666666666663"/>
    <n v="14594.895757575758"/>
    <n v="-2147.8957575757577"/>
    <n v="1383"/>
    <n v="889.07142857142856"/>
  </r>
  <r>
    <d v="2023-09-23T00:00:00"/>
    <d v="2023-09-01T00:00:00"/>
    <x v="8"/>
    <x v="0"/>
    <n v="10"/>
    <n v="14"/>
    <x v="4"/>
    <n v="1246"/>
    <n v="12460"/>
    <n v="2741.2"/>
    <n v="7000"/>
    <n v="2333.3333333333335"/>
    <n v="303.03030303030306"/>
    <n v="1680.7975757575759"/>
    <n v="666.66666666666663"/>
    <n v="14725.02787878788"/>
    <n v="-2265.0278787878797"/>
    <n v="1246"/>
    <n v="890"/>
  </r>
  <r>
    <d v="2023-09-24T00:00:00"/>
    <d v="2023-09-01T00:00:00"/>
    <x v="8"/>
    <x v="0"/>
    <n v="10"/>
    <n v="14"/>
    <x v="4"/>
    <n v="1061"/>
    <n v="10610"/>
    <n v="2334.1999999999998"/>
    <n v="7000"/>
    <n v="2333.3333333333335"/>
    <n v="303.03030303030306"/>
    <n v="1680.7975757575759"/>
    <n v="666.66666666666663"/>
    <n v="14318.02787878788"/>
    <n v="-3708.0278787878797"/>
    <n v="1061"/>
    <n v="757.85714285714289"/>
  </r>
  <r>
    <d v="2023-09-25T00:00:00"/>
    <d v="2023-09-01T00:00:00"/>
    <x v="8"/>
    <x v="0"/>
    <n v="14"/>
    <n v="14"/>
    <x v="3"/>
    <n v="1628"/>
    <n v="22792"/>
    <n v="5014.24"/>
    <n v="7000"/>
    <n v="2333.3333333333335"/>
    <n v="424.24242424242425"/>
    <n v="2068.6739393939392"/>
    <n v="666.66666666666663"/>
    <n v="17507.156363636364"/>
    <n v="5284.8436363636356"/>
    <n v="1628"/>
    <n v="1628"/>
  </r>
  <r>
    <d v="2023-09-26T00:00:00"/>
    <d v="2023-09-01T00:00:00"/>
    <x v="8"/>
    <x v="0"/>
    <n v="10"/>
    <n v="14"/>
    <x v="4"/>
    <n v="1823"/>
    <n v="18230"/>
    <n v="4010.6"/>
    <n v="7000"/>
    <n v="2333.3333333333335"/>
    <n v="303.03030303030306"/>
    <n v="1680.7975757575759"/>
    <n v="666.66666666666663"/>
    <n v="15994.427878787881"/>
    <n v="2235.5721212121189"/>
    <n v="1823"/>
    <n v="1302.1428571428571"/>
  </r>
  <r>
    <d v="2023-09-27T00:00:00"/>
    <d v="2023-09-01T00:00:00"/>
    <x v="8"/>
    <x v="0"/>
    <n v="10"/>
    <n v="14"/>
    <x v="4"/>
    <n v="1987"/>
    <n v="19870"/>
    <n v="4371.3999999999996"/>
    <n v="7000"/>
    <n v="2333.3333333333335"/>
    <n v="303.03030303030306"/>
    <n v="1680.7975757575759"/>
    <n v="666.66666666666663"/>
    <n v="16355.22787878788"/>
    <n v="3514.7721212121196"/>
    <n v="1987"/>
    <n v="1419.2857142857142"/>
  </r>
  <r>
    <d v="2023-09-28T00:00:00"/>
    <d v="2023-09-01T00:00:00"/>
    <x v="8"/>
    <x v="0"/>
    <n v="8"/>
    <n v="14"/>
    <x v="6"/>
    <n v="1031"/>
    <n v="8248"/>
    <n v="1814.56"/>
    <n v="7000"/>
    <n v="2333.3333333333335"/>
    <n v="242.42424242424244"/>
    <n v="1486.8593939393941"/>
    <n v="666.66666666666663"/>
    <n v="13543.843636363636"/>
    <n v="-5295.8436363636356"/>
    <n v="1031"/>
    <n v="589.14285714285711"/>
  </r>
  <r>
    <d v="2023-09-29T00:00:00"/>
    <d v="2023-09-01T00:00:00"/>
    <x v="8"/>
    <x v="0"/>
    <n v="13"/>
    <n v="14"/>
    <x v="2"/>
    <n v="1720"/>
    <n v="22360"/>
    <n v="4919.2"/>
    <n v="7000"/>
    <n v="2333.3333333333335"/>
    <n v="393.93939393939394"/>
    <n v="1971.7048484848483"/>
    <n v="666.66666666666663"/>
    <n v="17284.844242424246"/>
    <n v="5075.1557575757543"/>
    <n v="1720"/>
    <n v="1597.1428571428571"/>
  </r>
  <r>
    <d v="2023-09-30T00:00:00"/>
    <d v="2023-09-01T00:00:00"/>
    <x v="8"/>
    <x v="0"/>
    <n v="12"/>
    <n v="14"/>
    <x v="0"/>
    <n v="1183"/>
    <n v="14196"/>
    <n v="3123.12"/>
    <n v="7000"/>
    <n v="2333.3333333333335"/>
    <n v="363.63636363636363"/>
    <n v="1874.7357575757574"/>
    <n v="666.66666666666663"/>
    <n v="15361.492121212121"/>
    <n v="-1165.4921212121208"/>
    <n v="1183"/>
    <n v="1014"/>
  </r>
  <r>
    <d v="2023-10-01T00:00:00"/>
    <d v="2023-10-01T00:00:00"/>
    <x v="9"/>
    <x v="0"/>
    <n v="10"/>
    <n v="14"/>
    <x v="4"/>
    <n v="1833"/>
    <n v="18330"/>
    <n v="4032.6"/>
    <n v="6774.1935483870966"/>
    <n v="2258.0645161290322"/>
    <n v="297.61904761904765"/>
    <n v="1594.8943548387097"/>
    <n v="645.16129032258061"/>
    <n v="15602.532757296469"/>
    <n v="2727.4672427035312"/>
    <n v="1833"/>
    <n v="1309.2857142857142"/>
  </r>
  <r>
    <d v="2023-10-02T00:00:00"/>
    <d v="2023-10-01T00:00:00"/>
    <x v="9"/>
    <x v="0"/>
    <n v="14"/>
    <n v="14"/>
    <x v="3"/>
    <n v="1839"/>
    <n v="25746"/>
    <n v="5664.12"/>
    <n v="6774.1935483870966"/>
    <n v="2258.0645161290322"/>
    <n v="416.66666666666669"/>
    <n v="1965.2443548387096"/>
    <n v="645.16129032258061"/>
    <n v="17723.450376344084"/>
    <n v="8022.5496236559156"/>
    <n v="1839"/>
    <n v="1839"/>
  </r>
  <r>
    <d v="2023-10-03T00:00:00"/>
    <d v="2023-10-01T00:00:00"/>
    <x v="9"/>
    <x v="0"/>
    <n v="11"/>
    <n v="14"/>
    <x v="1"/>
    <n v="1043"/>
    <n v="11473"/>
    <n v="2524.06"/>
    <n v="6774.1935483870966"/>
    <n v="2258.0645161290322"/>
    <n v="327.38095238095241"/>
    <n v="1687.4818548387095"/>
    <n v="645.16129032258061"/>
    <n v="14216.342162058372"/>
    <n v="-2743.3421620583722"/>
    <n v="1043"/>
    <n v="819.5"/>
  </r>
  <r>
    <d v="2023-10-04T00:00:00"/>
    <d v="2023-10-01T00:00:00"/>
    <x v="9"/>
    <x v="0"/>
    <n v="9"/>
    <n v="14"/>
    <x v="5"/>
    <n v="1861"/>
    <n v="16749"/>
    <n v="3684.78"/>
    <n v="6774.1935483870966"/>
    <n v="2258.0645161290322"/>
    <n v="267.85714285714289"/>
    <n v="1502.3068548387096"/>
    <n v="645.16129032258061"/>
    <n v="15132.363352534563"/>
    <n v="1616.6366474654369"/>
    <n v="1861"/>
    <n v="1196.3571428571429"/>
  </r>
  <r>
    <d v="2023-10-05T00:00:00"/>
    <d v="2023-10-01T00:00:00"/>
    <x v="9"/>
    <x v="0"/>
    <n v="9"/>
    <n v="14"/>
    <x v="5"/>
    <n v="1911"/>
    <n v="17199"/>
    <n v="3783.78"/>
    <n v="6774.1935483870966"/>
    <n v="2258.0645161290322"/>
    <n v="267.85714285714289"/>
    <n v="1502.3068548387096"/>
    <n v="645.16129032258061"/>
    <n v="15231.363352534563"/>
    <n v="1967.6366474654369"/>
    <n v="1911"/>
    <n v="1228.5"/>
  </r>
  <r>
    <d v="2023-10-06T00:00:00"/>
    <d v="2023-10-01T00:00:00"/>
    <x v="9"/>
    <x v="0"/>
    <n v="14"/>
    <n v="14"/>
    <x v="3"/>
    <n v="1846"/>
    <n v="25844"/>
    <n v="5685.68"/>
    <n v="6774.1935483870966"/>
    <n v="2258.0645161290322"/>
    <n v="416.66666666666669"/>
    <n v="1965.2443548387096"/>
    <n v="645.16129032258061"/>
    <n v="17745.010376344086"/>
    <n v="8098.9896236559143"/>
    <n v="1846"/>
    <n v="1846"/>
  </r>
  <r>
    <d v="2023-10-07T00:00:00"/>
    <d v="2023-10-01T00:00:00"/>
    <x v="9"/>
    <x v="0"/>
    <n v="13"/>
    <n v="14"/>
    <x v="2"/>
    <n v="1104"/>
    <n v="14352"/>
    <n v="3157.44"/>
    <n v="6774.1935483870966"/>
    <n v="2258.0645161290322"/>
    <n v="386.90476190476193"/>
    <n v="1872.6568548387095"/>
    <n v="645.16129032258061"/>
    <n v="15094.420971582182"/>
    <n v="-742.42097158218166"/>
    <n v="1104"/>
    <n v="1025.1428571428571"/>
  </r>
  <r>
    <d v="2023-10-08T00:00:00"/>
    <d v="2023-10-01T00:00:00"/>
    <x v="9"/>
    <x v="0"/>
    <n v="9"/>
    <n v="14"/>
    <x v="5"/>
    <n v="1322"/>
    <n v="11898"/>
    <n v="2617.56"/>
    <n v="6774.1935483870966"/>
    <n v="2258.0645161290322"/>
    <n v="267.85714285714289"/>
    <n v="1502.3068548387096"/>
    <n v="645.16129032258061"/>
    <n v="14065.143352534562"/>
    <n v="-2167.1433525345619"/>
    <n v="1322"/>
    <n v="849.85714285714289"/>
  </r>
  <r>
    <d v="2023-10-09T00:00:00"/>
    <d v="2023-10-01T00:00:00"/>
    <x v="9"/>
    <x v="0"/>
    <n v="12"/>
    <n v="14"/>
    <x v="0"/>
    <n v="1860"/>
    <n v="22320"/>
    <n v="4910.3999999999996"/>
    <n v="6774.1935483870966"/>
    <n v="2258.0645161290322"/>
    <n v="357.14285714285717"/>
    <n v="1780.0693548387096"/>
    <n v="645.16129032258061"/>
    <n v="16725.031566820275"/>
    <n v="5594.9684331797253"/>
    <n v="1860"/>
    <n v="1594.2857142857142"/>
  </r>
  <r>
    <d v="2023-10-10T00:00:00"/>
    <d v="2023-10-01T00:00:00"/>
    <x v="9"/>
    <x v="0"/>
    <n v="13"/>
    <n v="14"/>
    <x v="2"/>
    <n v="1722"/>
    <n v="22386"/>
    <n v="4924.92"/>
    <n v="6774.1935483870966"/>
    <n v="2258.0645161290322"/>
    <n v="386.90476190476193"/>
    <n v="1872.6568548387095"/>
    <n v="645.16129032258061"/>
    <n v="16861.900971582181"/>
    <n v="5524.0990284178188"/>
    <n v="1722"/>
    <n v="1599"/>
  </r>
  <r>
    <d v="2023-10-11T00:00:00"/>
    <d v="2023-10-01T00:00:00"/>
    <x v="9"/>
    <x v="0"/>
    <n v="9"/>
    <n v="14"/>
    <x v="5"/>
    <n v="1108"/>
    <n v="9972"/>
    <n v="2193.84"/>
    <n v="6774.1935483870966"/>
    <n v="2258.0645161290322"/>
    <n v="267.85714285714289"/>
    <n v="1502.3068548387096"/>
    <n v="645.16129032258061"/>
    <n v="13641.423352534563"/>
    <n v="-3669.4233525345626"/>
    <n v="1108"/>
    <n v="712.28571428571433"/>
  </r>
  <r>
    <d v="2023-10-12T00:00:00"/>
    <d v="2023-10-01T00:00:00"/>
    <x v="9"/>
    <x v="0"/>
    <n v="9"/>
    <n v="14"/>
    <x v="5"/>
    <n v="1168"/>
    <n v="10512"/>
    <n v="2312.64"/>
    <n v="6774.1935483870966"/>
    <n v="2258.0645161290322"/>
    <n v="267.85714285714289"/>
    <n v="1502.3068548387096"/>
    <n v="645.16129032258061"/>
    <n v="13760.223352534562"/>
    <n v="-3248.2233525345619"/>
    <n v="1168"/>
    <n v="750.85714285714289"/>
  </r>
  <r>
    <d v="2023-10-13T00:00:00"/>
    <d v="2023-10-01T00:00:00"/>
    <x v="9"/>
    <x v="0"/>
    <n v="10"/>
    <n v="14"/>
    <x v="4"/>
    <n v="1666"/>
    <n v="16660"/>
    <n v="3665.2"/>
    <n v="6774.1935483870966"/>
    <n v="2258.0645161290322"/>
    <n v="297.61904761904765"/>
    <n v="1594.8943548387097"/>
    <n v="645.16129032258061"/>
    <n v="15235.132757296467"/>
    <n v="1424.8672427035326"/>
    <n v="1666"/>
    <n v="1190"/>
  </r>
  <r>
    <d v="2023-10-14T00:00:00"/>
    <d v="2023-10-01T00:00:00"/>
    <x v="9"/>
    <x v="0"/>
    <n v="13"/>
    <n v="14"/>
    <x v="2"/>
    <n v="1052"/>
    <n v="13676"/>
    <n v="3008.72"/>
    <n v="6774.1935483870966"/>
    <n v="2258.0645161290322"/>
    <n v="386.90476190476193"/>
    <n v="1872.6568548387095"/>
    <n v="645.16129032258061"/>
    <n v="14945.700971582181"/>
    <n v="-1269.7009715821805"/>
    <n v="1052"/>
    <n v="976.85714285714289"/>
  </r>
  <r>
    <d v="2023-10-15T00:00:00"/>
    <d v="2023-10-01T00:00:00"/>
    <x v="9"/>
    <x v="0"/>
    <n v="9"/>
    <n v="14"/>
    <x v="5"/>
    <n v="1656"/>
    <n v="14904"/>
    <n v="3278.88"/>
    <n v="6774.1935483870966"/>
    <n v="2258.0645161290322"/>
    <n v="267.85714285714289"/>
    <n v="1502.3068548387096"/>
    <n v="645.16129032258061"/>
    <n v="14726.463352534562"/>
    <n v="177.53664746543836"/>
    <n v="1656"/>
    <n v="1064.5714285714287"/>
  </r>
  <r>
    <d v="2023-10-16T00:00:00"/>
    <d v="2023-10-01T00:00:00"/>
    <x v="9"/>
    <x v="0"/>
    <n v="9"/>
    <n v="14"/>
    <x v="5"/>
    <n v="1938"/>
    <n v="17442"/>
    <n v="3837.2400000000002"/>
    <n v="6774.1935483870966"/>
    <n v="2258.0645161290322"/>
    <n v="267.85714285714289"/>
    <n v="1502.3068548387096"/>
    <n v="645.16129032258061"/>
    <n v="15284.823352534562"/>
    <n v="2157.1766474654378"/>
    <n v="1938"/>
    <n v="1245.8571428571429"/>
  </r>
  <r>
    <d v="2023-10-17T00:00:00"/>
    <d v="2023-10-01T00:00:00"/>
    <x v="9"/>
    <x v="0"/>
    <n v="9"/>
    <n v="14"/>
    <x v="5"/>
    <n v="1418"/>
    <n v="12762"/>
    <n v="2807.64"/>
    <n v="6774.1935483870966"/>
    <n v="2258.0645161290322"/>
    <n v="267.85714285714289"/>
    <n v="1502.3068548387096"/>
    <n v="645.16129032258061"/>
    <n v="14255.223352534562"/>
    <n v="-1493.2233525345619"/>
    <n v="1418"/>
    <n v="911.57142857142856"/>
  </r>
  <r>
    <d v="2023-10-18T00:00:00"/>
    <d v="2023-10-01T00:00:00"/>
    <x v="9"/>
    <x v="0"/>
    <n v="10"/>
    <n v="14"/>
    <x v="4"/>
    <n v="1694"/>
    <n v="16940"/>
    <n v="3726.8"/>
    <n v="6774.1935483870966"/>
    <n v="2258.0645161290322"/>
    <n v="297.61904761904765"/>
    <n v="1594.8943548387097"/>
    <n v="645.16129032258061"/>
    <n v="15296.73275729647"/>
    <n v="1643.2672427035304"/>
    <n v="1694"/>
    <n v="1210"/>
  </r>
  <r>
    <d v="2023-10-19T00:00:00"/>
    <d v="2023-10-01T00:00:00"/>
    <x v="9"/>
    <x v="0"/>
    <n v="11"/>
    <n v="14"/>
    <x v="1"/>
    <n v="1575"/>
    <n v="17325"/>
    <n v="3811.5"/>
    <n v="6774.1935483870966"/>
    <n v="2258.0645161290322"/>
    <n v="327.38095238095241"/>
    <n v="1687.4818548387095"/>
    <n v="645.16129032258061"/>
    <n v="15503.782162058373"/>
    <n v="1821.2178379416273"/>
    <n v="1575"/>
    <n v="1237.5"/>
  </r>
  <r>
    <d v="2023-10-20T00:00:00"/>
    <d v="2023-10-01T00:00:00"/>
    <x v="9"/>
    <x v="0"/>
    <n v="14"/>
    <n v="14"/>
    <x v="3"/>
    <n v="1336"/>
    <n v="18704"/>
    <n v="4114.88"/>
    <n v="6774.1935483870966"/>
    <n v="2258.0645161290322"/>
    <n v="416.66666666666669"/>
    <n v="1965.2443548387096"/>
    <n v="645.16129032258061"/>
    <n v="16174.210376344085"/>
    <n v="2529.7896236559154"/>
    <n v="1336"/>
    <n v="1336"/>
  </r>
  <r>
    <d v="2023-10-21T00:00:00"/>
    <d v="2023-10-01T00:00:00"/>
    <x v="9"/>
    <x v="0"/>
    <n v="10"/>
    <n v="14"/>
    <x v="4"/>
    <n v="1865"/>
    <n v="18650"/>
    <n v="4103"/>
    <n v="6774.1935483870966"/>
    <n v="2258.0645161290322"/>
    <n v="297.61904761904765"/>
    <n v="1594.8943548387097"/>
    <n v="645.16129032258061"/>
    <n v="15672.932757296467"/>
    <n v="2977.0672427035333"/>
    <n v="1865"/>
    <n v="1332.1428571428571"/>
  </r>
  <r>
    <d v="2023-10-22T00:00:00"/>
    <d v="2023-10-01T00:00:00"/>
    <x v="9"/>
    <x v="0"/>
    <n v="8"/>
    <n v="14"/>
    <x v="6"/>
    <n v="1172"/>
    <n v="9376"/>
    <n v="2062.7199999999998"/>
    <n v="6774.1935483870966"/>
    <n v="2258.0645161290322"/>
    <n v="238.0952380952381"/>
    <n v="1409.7193548387095"/>
    <n v="645.16129032258061"/>
    <n v="13387.953947772658"/>
    <n v="-4011.9539477726576"/>
    <n v="1172"/>
    <n v="669.71428571428567"/>
  </r>
  <r>
    <d v="2023-10-23T00:00:00"/>
    <d v="2023-10-01T00:00:00"/>
    <x v="9"/>
    <x v="0"/>
    <n v="13"/>
    <n v="14"/>
    <x v="2"/>
    <n v="1538"/>
    <n v="19994"/>
    <n v="4398.68"/>
    <n v="6774.1935483870966"/>
    <n v="2258.0645161290322"/>
    <n v="386.90476190476193"/>
    <n v="1872.6568548387095"/>
    <n v="645.16129032258061"/>
    <n v="16335.660971582181"/>
    <n v="3658.3390284178186"/>
    <n v="1538"/>
    <n v="1428.1428571428571"/>
  </r>
  <r>
    <d v="2023-10-24T00:00:00"/>
    <d v="2023-10-01T00:00:00"/>
    <x v="9"/>
    <x v="0"/>
    <n v="11"/>
    <n v="14"/>
    <x v="1"/>
    <n v="1165"/>
    <n v="12815"/>
    <n v="2819.3"/>
    <n v="6774.1935483870966"/>
    <n v="2258.0645161290322"/>
    <n v="327.38095238095241"/>
    <n v="1687.4818548387095"/>
    <n v="645.16129032258061"/>
    <n v="14511.582162058374"/>
    <n v="-1696.5821620583738"/>
    <n v="1165"/>
    <n v="915.35714285714289"/>
  </r>
  <r>
    <d v="2023-10-25T00:00:00"/>
    <d v="2023-10-01T00:00:00"/>
    <x v="9"/>
    <x v="0"/>
    <n v="13"/>
    <n v="14"/>
    <x v="2"/>
    <n v="1719"/>
    <n v="22347"/>
    <n v="4916.34"/>
    <n v="6774.1935483870966"/>
    <n v="2258.0645161290322"/>
    <n v="386.90476190476193"/>
    <n v="1872.6568548387095"/>
    <n v="645.16129032258061"/>
    <n v="16853.320971582179"/>
    <n v="5493.6790284178205"/>
    <n v="1719"/>
    <n v="1596.2142857142858"/>
  </r>
  <r>
    <d v="2023-10-26T00:00:00"/>
    <d v="2023-10-01T00:00:00"/>
    <x v="9"/>
    <x v="0"/>
    <n v="10"/>
    <n v="14"/>
    <x v="4"/>
    <n v="1701"/>
    <n v="17010"/>
    <n v="3742.2"/>
    <n v="6774.1935483870966"/>
    <n v="2258.0645161290322"/>
    <n v="297.61904761904765"/>
    <n v="1594.8943548387097"/>
    <n v="645.16129032258061"/>
    <n v="15312.132757296467"/>
    <n v="1697.8672427035326"/>
    <n v="1701"/>
    <n v="1215"/>
  </r>
  <r>
    <d v="2023-10-27T00:00:00"/>
    <d v="2023-10-01T00:00:00"/>
    <x v="9"/>
    <x v="0"/>
    <n v="11"/>
    <n v="14"/>
    <x v="1"/>
    <n v="1943"/>
    <n v="21373"/>
    <n v="4702.0600000000004"/>
    <n v="6774.1935483870966"/>
    <n v="2258.0645161290322"/>
    <n v="327.38095238095241"/>
    <n v="1687.4818548387095"/>
    <n v="645.16129032258061"/>
    <n v="16394.342162058372"/>
    <n v="4978.6578379416278"/>
    <n v="1943"/>
    <n v="1526.6428571428571"/>
  </r>
  <r>
    <d v="2023-10-28T00:00:00"/>
    <d v="2023-10-01T00:00:00"/>
    <x v="9"/>
    <x v="0"/>
    <n v="8"/>
    <n v="14"/>
    <x v="6"/>
    <n v="1157"/>
    <n v="9256"/>
    <n v="2036.32"/>
    <n v="6774.1935483870966"/>
    <n v="2258.0645161290322"/>
    <n v="238.0952380952381"/>
    <n v="1409.7193548387095"/>
    <n v="645.16129032258061"/>
    <n v="13361.553947772658"/>
    <n v="-4105.5539477726579"/>
    <n v="1157"/>
    <n v="661.14285714285711"/>
  </r>
  <r>
    <d v="2023-10-29T00:00:00"/>
    <d v="2023-10-01T00:00:00"/>
    <x v="9"/>
    <x v="0"/>
    <n v="12"/>
    <n v="14"/>
    <x v="0"/>
    <n v="1334"/>
    <n v="16008"/>
    <n v="3521.76"/>
    <n v="6774.1935483870966"/>
    <n v="2258.0645161290322"/>
    <n v="357.14285714285717"/>
    <n v="1780.0693548387096"/>
    <n v="645.16129032258061"/>
    <n v="15336.391566820277"/>
    <n v="671.60843317972285"/>
    <n v="1334"/>
    <n v="1143.4285714285713"/>
  </r>
  <r>
    <d v="2023-10-30T00:00:00"/>
    <d v="2023-10-01T00:00:00"/>
    <x v="9"/>
    <x v="0"/>
    <n v="9"/>
    <n v="14"/>
    <x v="5"/>
    <n v="1758"/>
    <n v="15822"/>
    <n v="3480.84"/>
    <n v="6774.1935483870966"/>
    <n v="2258.0645161290322"/>
    <n v="267.85714285714289"/>
    <n v="1502.3068548387096"/>
    <n v="645.16129032258061"/>
    <n v="14928.423352534563"/>
    <n v="893.57664746543742"/>
    <n v="1758"/>
    <n v="1130.1428571428571"/>
  </r>
  <r>
    <d v="2023-10-31T00:00:00"/>
    <d v="2023-10-01T00:00:00"/>
    <x v="9"/>
    <x v="0"/>
    <n v="14"/>
    <n v="14"/>
    <x v="3"/>
    <n v="1220"/>
    <n v="17080"/>
    <n v="3757.6"/>
    <n v="6774.1935483870966"/>
    <n v="2258.0645161290322"/>
    <n v="416.66666666666669"/>
    <n v="1965.2443548387096"/>
    <n v="645.16129032258061"/>
    <n v="15816.930376344086"/>
    <n v="1263.0696236559143"/>
    <n v="1220"/>
    <n v="1220"/>
  </r>
  <r>
    <d v="2023-11-01T00:00:00"/>
    <d v="2023-11-01T00:00:00"/>
    <x v="10"/>
    <x v="0"/>
    <n v="14"/>
    <n v="14"/>
    <x v="3"/>
    <n v="1870"/>
    <n v="26180"/>
    <n v="5759.6"/>
    <n v="7000"/>
    <n v="2333.3333333333335"/>
    <n v="411.76470588235293"/>
    <n v="1990.1737254901959"/>
    <n v="666.66666666666663"/>
    <n v="18161.538431372552"/>
    <n v="8018.4615686274483"/>
    <n v="1870"/>
    <n v="1870"/>
  </r>
  <r>
    <d v="2023-11-02T00:00:00"/>
    <d v="2023-11-01T00:00:00"/>
    <x v="10"/>
    <x v="0"/>
    <n v="8"/>
    <n v="14"/>
    <x v="6"/>
    <n v="1012"/>
    <n v="8096"/>
    <n v="1781.1200000000001"/>
    <n v="7000"/>
    <n v="2333.3333333333335"/>
    <n v="235.29411764705881"/>
    <n v="1436.2078431372549"/>
    <n v="666.66666666666663"/>
    <n v="13452.621960784316"/>
    <n v="-5356.6219607843159"/>
    <n v="1012"/>
    <n v="578.28571428571433"/>
  </r>
  <r>
    <d v="2023-11-03T00:00:00"/>
    <d v="2023-11-01T00:00:00"/>
    <x v="10"/>
    <x v="0"/>
    <n v="11"/>
    <n v="14"/>
    <x v="1"/>
    <n v="1025"/>
    <n v="11275"/>
    <n v="2480.5"/>
    <n v="7000"/>
    <n v="2333.3333333333335"/>
    <n v="323.52941176470586"/>
    <n v="1713.1907843137255"/>
    <n v="666.66666666666663"/>
    <n v="14517.220196078431"/>
    <n v="-3242.2201960784314"/>
    <n v="1025"/>
    <n v="805.35714285714289"/>
  </r>
  <r>
    <d v="2023-11-04T00:00:00"/>
    <d v="2023-11-01T00:00:00"/>
    <x v="10"/>
    <x v="0"/>
    <n v="11"/>
    <n v="14"/>
    <x v="1"/>
    <n v="1641"/>
    <n v="18051"/>
    <n v="3971.22"/>
    <n v="7000"/>
    <n v="2333.3333333333335"/>
    <n v="323.52941176470586"/>
    <n v="1713.1907843137255"/>
    <n v="666.66666666666663"/>
    <n v="16007.940196078431"/>
    <n v="2043.0598039215693"/>
    <n v="1641"/>
    <n v="1289.3571428571429"/>
  </r>
  <r>
    <d v="2023-11-05T00:00:00"/>
    <d v="2023-11-01T00:00:00"/>
    <x v="10"/>
    <x v="0"/>
    <n v="10"/>
    <n v="14"/>
    <x v="4"/>
    <n v="1429"/>
    <n v="14290"/>
    <n v="3143.8"/>
    <n v="7000"/>
    <n v="2333.3333333333335"/>
    <n v="294.11764705882354"/>
    <n v="1620.8631372549021"/>
    <n v="666.66666666666663"/>
    <n v="15058.780784313725"/>
    <n v="-768.78078431372523"/>
    <n v="1429"/>
    <n v="1020.7142857142857"/>
  </r>
  <r>
    <d v="2023-11-06T00:00:00"/>
    <d v="2023-11-01T00:00:00"/>
    <x v="10"/>
    <x v="0"/>
    <n v="12"/>
    <n v="14"/>
    <x v="0"/>
    <n v="1762"/>
    <n v="21144"/>
    <n v="4651.68"/>
    <n v="7000"/>
    <n v="2333.3333333333335"/>
    <n v="352.94117647058823"/>
    <n v="1805.518431372549"/>
    <n v="666.66666666666663"/>
    <n v="16810.139607843139"/>
    <n v="4333.8603921568611"/>
    <n v="1762"/>
    <n v="1510.2857142857142"/>
  </r>
  <r>
    <d v="2023-11-07T00:00:00"/>
    <d v="2023-11-01T00:00:00"/>
    <x v="10"/>
    <x v="0"/>
    <n v="9"/>
    <n v="14"/>
    <x v="5"/>
    <n v="1287"/>
    <n v="11583"/>
    <n v="2548.2600000000002"/>
    <n v="7000"/>
    <n v="2333.3333333333335"/>
    <n v="264.70588235294116"/>
    <n v="1528.5354901960786"/>
    <n v="666.66666666666663"/>
    <n v="14341.501372549019"/>
    <n v="-2758.5013725490189"/>
    <n v="1287"/>
    <n v="827.35714285714289"/>
  </r>
  <r>
    <d v="2023-11-08T00:00:00"/>
    <d v="2023-11-01T00:00:00"/>
    <x v="10"/>
    <x v="0"/>
    <n v="14"/>
    <n v="14"/>
    <x v="3"/>
    <n v="1544"/>
    <n v="21616"/>
    <n v="4755.5200000000004"/>
    <n v="7000"/>
    <n v="2333.3333333333335"/>
    <n v="411.76470588235293"/>
    <n v="1990.1737254901959"/>
    <n v="666.66666666666663"/>
    <n v="17157.45843137255"/>
    <n v="4458.54156862745"/>
    <n v="1544"/>
    <n v="1544"/>
  </r>
  <r>
    <d v="2023-11-09T00:00:00"/>
    <d v="2023-11-01T00:00:00"/>
    <x v="10"/>
    <x v="0"/>
    <n v="10"/>
    <n v="14"/>
    <x v="4"/>
    <n v="1386"/>
    <n v="13860"/>
    <n v="3049.2"/>
    <n v="7000"/>
    <n v="2333.3333333333335"/>
    <n v="294.11764705882354"/>
    <n v="1620.8631372549021"/>
    <n v="666.66666666666663"/>
    <n v="14964.180784313727"/>
    <n v="-1104.1807843137267"/>
    <n v="1386"/>
    <n v="990"/>
  </r>
  <r>
    <d v="2023-11-10T00:00:00"/>
    <d v="2023-11-01T00:00:00"/>
    <x v="10"/>
    <x v="0"/>
    <n v="10"/>
    <n v="14"/>
    <x v="4"/>
    <n v="1002"/>
    <n v="10020"/>
    <n v="2204.4"/>
    <n v="7000"/>
    <n v="2333.3333333333335"/>
    <n v="294.11764705882354"/>
    <n v="1620.8631372549021"/>
    <n v="666.66666666666663"/>
    <n v="14119.380784313726"/>
    <n v="-4099.3807843137256"/>
    <n v="1002"/>
    <n v="715.71428571428567"/>
  </r>
  <r>
    <d v="2023-11-11T00:00:00"/>
    <d v="2023-11-01T00:00:00"/>
    <x v="10"/>
    <x v="0"/>
    <n v="13"/>
    <n v="14"/>
    <x v="2"/>
    <n v="1763"/>
    <n v="22919"/>
    <n v="5042.18"/>
    <n v="7000"/>
    <n v="2333.3333333333335"/>
    <n v="382.35294117647055"/>
    <n v="1897.8460784313725"/>
    <n v="666.66666666666663"/>
    <n v="17322.379019607844"/>
    <n v="5596.6209803921556"/>
    <n v="1763"/>
    <n v="1637.0714285714287"/>
  </r>
  <r>
    <d v="2023-11-12T00:00:00"/>
    <d v="2023-11-01T00:00:00"/>
    <x v="10"/>
    <x v="0"/>
    <n v="14"/>
    <n v="14"/>
    <x v="3"/>
    <n v="1459"/>
    <n v="20426"/>
    <n v="4493.72"/>
    <n v="7000"/>
    <n v="2333.3333333333335"/>
    <n v="411.76470588235293"/>
    <n v="1990.1737254901959"/>
    <n v="666.66666666666663"/>
    <n v="16895.658431372551"/>
    <n v="3530.3415686274493"/>
    <n v="1459"/>
    <n v="1459"/>
  </r>
  <r>
    <d v="2023-11-13T00:00:00"/>
    <d v="2023-11-01T00:00:00"/>
    <x v="10"/>
    <x v="0"/>
    <n v="8"/>
    <n v="14"/>
    <x v="6"/>
    <n v="1191"/>
    <n v="9528"/>
    <n v="2096.16"/>
    <n v="7000"/>
    <n v="2333.3333333333335"/>
    <n v="235.29411764705881"/>
    <n v="1436.2078431372549"/>
    <n v="666.66666666666663"/>
    <n v="13767.661960784315"/>
    <n v="-4239.6619607843149"/>
    <n v="1191"/>
    <n v="680.57142857142856"/>
  </r>
  <r>
    <d v="2023-11-14T00:00:00"/>
    <d v="2023-11-01T00:00:00"/>
    <x v="10"/>
    <x v="0"/>
    <n v="10"/>
    <n v="14"/>
    <x v="4"/>
    <n v="1730"/>
    <n v="17300"/>
    <n v="3806"/>
    <n v="7000"/>
    <n v="2333.3333333333335"/>
    <n v="294.11764705882354"/>
    <n v="1620.8631372549021"/>
    <n v="666.66666666666663"/>
    <n v="15720.980784313726"/>
    <n v="1579.019215686274"/>
    <n v="1730"/>
    <n v="1235.7142857142858"/>
  </r>
  <r>
    <d v="2023-11-15T00:00:00"/>
    <d v="2023-11-01T00:00:00"/>
    <x v="10"/>
    <x v="0"/>
    <n v="11"/>
    <n v="14"/>
    <x v="1"/>
    <n v="1418"/>
    <n v="15598"/>
    <n v="3431.56"/>
    <n v="7000"/>
    <n v="2333.3333333333335"/>
    <n v="323.52941176470586"/>
    <n v="1713.1907843137255"/>
    <n v="666.66666666666663"/>
    <n v="15468.280196078431"/>
    <n v="129.71980392156911"/>
    <n v="1418"/>
    <n v="1114.1428571428571"/>
  </r>
  <r>
    <d v="2023-11-16T00:00:00"/>
    <d v="2023-11-01T00:00:00"/>
    <x v="10"/>
    <x v="0"/>
    <n v="12"/>
    <n v="14"/>
    <x v="0"/>
    <n v="1227"/>
    <n v="14724"/>
    <n v="3239.28"/>
    <n v="7000"/>
    <n v="2333.3333333333335"/>
    <n v="352.94117647058823"/>
    <n v="1805.518431372549"/>
    <n v="666.66666666666663"/>
    <n v="15397.739607843137"/>
    <n v="-673.73960784313749"/>
    <n v="1227"/>
    <n v="1051.7142857142858"/>
  </r>
  <r>
    <d v="2023-11-17T00:00:00"/>
    <d v="2023-11-01T00:00:00"/>
    <x v="10"/>
    <x v="0"/>
    <n v="11"/>
    <n v="14"/>
    <x v="1"/>
    <n v="1602"/>
    <n v="17622"/>
    <n v="3876.84"/>
    <n v="7000"/>
    <n v="2333.3333333333335"/>
    <n v="323.52941176470586"/>
    <n v="1713.1907843137255"/>
    <n v="666.66666666666663"/>
    <n v="15913.560196078432"/>
    <n v="1708.4398039215685"/>
    <n v="1602"/>
    <n v="1258.7142857142858"/>
  </r>
  <r>
    <d v="2023-11-18T00:00:00"/>
    <d v="2023-11-01T00:00:00"/>
    <x v="10"/>
    <x v="0"/>
    <n v="10"/>
    <n v="14"/>
    <x v="4"/>
    <n v="1489"/>
    <n v="14890"/>
    <n v="3275.8"/>
    <n v="7000"/>
    <n v="2333.3333333333335"/>
    <n v="294.11764705882354"/>
    <n v="1620.8631372549021"/>
    <n v="666.66666666666663"/>
    <n v="15190.780784313725"/>
    <n v="-300.78078431372523"/>
    <n v="1489"/>
    <n v="1063.5714285714287"/>
  </r>
  <r>
    <d v="2023-11-19T00:00:00"/>
    <d v="2023-11-01T00:00:00"/>
    <x v="10"/>
    <x v="0"/>
    <n v="11"/>
    <n v="14"/>
    <x v="1"/>
    <n v="1576"/>
    <n v="17336"/>
    <n v="3813.92"/>
    <n v="7000"/>
    <n v="2333.3333333333335"/>
    <n v="323.52941176470586"/>
    <n v="1713.1907843137255"/>
    <n v="666.66666666666663"/>
    <n v="15850.640196078431"/>
    <n v="1485.3598039215685"/>
    <n v="1576"/>
    <n v="1238.2857142857142"/>
  </r>
  <r>
    <d v="2023-11-20T00:00:00"/>
    <d v="2023-11-01T00:00:00"/>
    <x v="10"/>
    <x v="0"/>
    <n v="14"/>
    <n v="14"/>
    <x v="3"/>
    <n v="1649"/>
    <n v="23086"/>
    <n v="5078.92"/>
    <n v="7000"/>
    <n v="2333.3333333333335"/>
    <n v="411.76470588235293"/>
    <n v="1990.1737254901959"/>
    <n v="666.66666666666663"/>
    <n v="17480.858431372551"/>
    <n v="5605.1415686274486"/>
    <n v="1649"/>
    <n v="1649"/>
  </r>
  <r>
    <d v="2023-11-21T00:00:00"/>
    <d v="2023-11-01T00:00:00"/>
    <x v="10"/>
    <x v="0"/>
    <n v="11"/>
    <n v="14"/>
    <x v="1"/>
    <n v="1072"/>
    <n v="11792"/>
    <n v="2594.2400000000002"/>
    <n v="7000"/>
    <n v="2333.3333333333335"/>
    <n v="323.52941176470586"/>
    <n v="1713.1907843137255"/>
    <n v="666.66666666666663"/>
    <n v="14630.960196078431"/>
    <n v="-2838.9601960784312"/>
    <n v="1072"/>
    <n v="842.28571428571433"/>
  </r>
  <r>
    <d v="2023-11-22T00:00:00"/>
    <d v="2023-11-01T00:00:00"/>
    <x v="10"/>
    <x v="0"/>
    <n v="14"/>
    <n v="14"/>
    <x v="3"/>
    <n v="1032"/>
    <n v="14448"/>
    <n v="3178.56"/>
    <n v="7000"/>
    <n v="2333.3333333333335"/>
    <n v="411.76470588235293"/>
    <n v="1990.1737254901959"/>
    <n v="666.66666666666663"/>
    <n v="15580.498431372549"/>
    <n v="-1132.498431372549"/>
    <n v="1032"/>
    <n v="1032"/>
  </r>
  <r>
    <d v="2023-11-23T00:00:00"/>
    <d v="2023-11-01T00:00:00"/>
    <x v="10"/>
    <x v="0"/>
    <n v="10"/>
    <n v="14"/>
    <x v="4"/>
    <n v="1524"/>
    <n v="15240"/>
    <n v="3352.8"/>
    <n v="7000"/>
    <n v="2333.3333333333335"/>
    <n v="294.11764705882354"/>
    <n v="1620.8631372549021"/>
    <n v="666.66666666666663"/>
    <n v="15267.780784313725"/>
    <n v="-27.780784313725235"/>
    <n v="1524"/>
    <n v="1088.5714285714287"/>
  </r>
  <r>
    <d v="2023-11-24T00:00:00"/>
    <d v="2023-11-01T00:00:00"/>
    <x v="10"/>
    <x v="0"/>
    <n v="12"/>
    <n v="14"/>
    <x v="0"/>
    <n v="1942"/>
    <n v="23304"/>
    <n v="5126.88"/>
    <n v="7000"/>
    <n v="2333.3333333333335"/>
    <n v="352.94117647058823"/>
    <n v="1805.518431372549"/>
    <n v="666.66666666666663"/>
    <n v="17285.33960784314"/>
    <n v="6018.6603921568603"/>
    <n v="1942"/>
    <n v="1664.5714285714287"/>
  </r>
  <r>
    <d v="2023-11-25T00:00:00"/>
    <d v="2023-11-01T00:00:00"/>
    <x v="10"/>
    <x v="0"/>
    <n v="13"/>
    <n v="14"/>
    <x v="2"/>
    <n v="1298"/>
    <n v="16874"/>
    <n v="3712.28"/>
    <n v="7000"/>
    <n v="2333.3333333333335"/>
    <n v="382.35294117647055"/>
    <n v="1897.8460784313725"/>
    <n v="666.66666666666663"/>
    <n v="15992.479019607843"/>
    <n v="881.52098039215707"/>
    <n v="1298"/>
    <n v="1205.2857142857142"/>
  </r>
  <r>
    <d v="2023-11-26T00:00:00"/>
    <d v="2023-11-01T00:00:00"/>
    <x v="10"/>
    <x v="0"/>
    <n v="12"/>
    <n v="14"/>
    <x v="0"/>
    <n v="1790"/>
    <n v="21480"/>
    <n v="4725.6000000000004"/>
    <n v="7000"/>
    <n v="2333.3333333333335"/>
    <n v="352.94117647058823"/>
    <n v="1805.518431372549"/>
    <n v="666.66666666666663"/>
    <n v="16884.059607843137"/>
    <n v="4595.9403921568628"/>
    <n v="1790"/>
    <n v="1534.2857142857142"/>
  </r>
  <r>
    <d v="2023-11-27T00:00:00"/>
    <d v="2023-11-01T00:00:00"/>
    <x v="10"/>
    <x v="0"/>
    <n v="13"/>
    <n v="14"/>
    <x v="2"/>
    <n v="1479"/>
    <n v="19227"/>
    <n v="4229.9399999999996"/>
    <n v="7000"/>
    <n v="2333.3333333333335"/>
    <n v="382.35294117647055"/>
    <n v="1897.8460784313725"/>
    <n v="666.66666666666663"/>
    <n v="16510.139019607843"/>
    <n v="2716.8609803921572"/>
    <n v="1479"/>
    <n v="1373.3571428571429"/>
  </r>
  <r>
    <d v="2023-11-28T00:00:00"/>
    <d v="2023-11-01T00:00:00"/>
    <x v="10"/>
    <x v="0"/>
    <n v="8"/>
    <n v="14"/>
    <x v="6"/>
    <n v="1038"/>
    <n v="8304"/>
    <n v="1826.88"/>
    <n v="7000"/>
    <n v="2333.3333333333335"/>
    <n v="235.29411764705881"/>
    <n v="1436.2078431372549"/>
    <n v="666.66666666666663"/>
    <n v="13498.381960784316"/>
    <n v="-5194.3819607843161"/>
    <n v="1038"/>
    <n v="593.14285714285711"/>
  </r>
  <r>
    <d v="2023-11-29T00:00:00"/>
    <d v="2023-11-01T00:00:00"/>
    <x v="10"/>
    <x v="0"/>
    <n v="14"/>
    <n v="14"/>
    <x v="3"/>
    <n v="1654"/>
    <n v="23156"/>
    <n v="5094.32"/>
    <n v="7000"/>
    <n v="2333.3333333333335"/>
    <n v="411.76470588235293"/>
    <n v="1990.1737254901959"/>
    <n v="666.66666666666663"/>
    <n v="17496.258431372549"/>
    <n v="5659.7415686274508"/>
    <n v="1654"/>
    <n v="1654"/>
  </r>
  <r>
    <d v="2023-11-30T00:00:00"/>
    <d v="2023-11-01T00:00:00"/>
    <x v="10"/>
    <x v="0"/>
    <n v="10"/>
    <n v="14"/>
    <x v="4"/>
    <n v="1759"/>
    <n v="17590"/>
    <n v="3869.8"/>
    <n v="7000"/>
    <n v="2333.3333333333335"/>
    <n v="294.11764705882354"/>
    <n v="1620.8631372549021"/>
    <n v="666.66666666666663"/>
    <n v="15784.780784313725"/>
    <n v="1805.2192156862748"/>
    <n v="1759"/>
    <n v="1256.4285714285713"/>
  </r>
  <r>
    <d v="2023-12-01T00:00:00"/>
    <d v="2023-12-01T00:00:00"/>
    <x v="11"/>
    <x v="0"/>
    <n v="9"/>
    <n v="14"/>
    <x v="5"/>
    <n v="1720"/>
    <n v="15480"/>
    <n v="3405.6"/>
    <n v="6774.1935483870966"/>
    <n v="2258.0645161290322"/>
    <n v="270.27027027027026"/>
    <n v="1454.1958151700087"/>
    <n v="645.16129032258061"/>
    <n v="14807.48544027899"/>
    <n v="672.5145597210103"/>
    <n v="1720"/>
    <n v="1105.7142857142858"/>
  </r>
  <r>
    <d v="2023-12-02T00:00:00"/>
    <d v="2023-12-01T00:00:00"/>
    <x v="11"/>
    <x v="0"/>
    <n v="14"/>
    <n v="14"/>
    <x v="3"/>
    <n v="1056"/>
    <n v="14784"/>
    <n v="3252.48"/>
    <n v="6774.1935483870966"/>
    <n v="2258.0645161290322"/>
    <n v="420.42042042042044"/>
    <n v="1904.0967160709097"/>
    <n v="645.16129032258061"/>
    <n v="15254.416491330039"/>
    <n v="-470.41649133003921"/>
    <n v="1056"/>
    <n v="1056"/>
  </r>
  <r>
    <d v="2023-12-03T00:00:00"/>
    <d v="2023-12-01T00:00:00"/>
    <x v="11"/>
    <x v="0"/>
    <n v="9"/>
    <n v="14"/>
    <x v="5"/>
    <n v="1853"/>
    <n v="16677"/>
    <n v="3668.94"/>
    <n v="6774.1935483870966"/>
    <n v="2258.0645161290322"/>
    <n v="270.27027027027026"/>
    <n v="1454.1958151700087"/>
    <n v="645.16129032258061"/>
    <n v="15070.82544027899"/>
    <n v="1606.1745597210102"/>
    <n v="1853"/>
    <n v="1191.2142857142858"/>
  </r>
  <r>
    <d v="2023-12-04T00:00:00"/>
    <d v="2023-12-01T00:00:00"/>
    <x v="11"/>
    <x v="0"/>
    <n v="13"/>
    <n v="14"/>
    <x v="2"/>
    <n v="1324"/>
    <n v="17212"/>
    <n v="3786.64"/>
    <n v="6774.1935483870966"/>
    <n v="2258.0645161290322"/>
    <n v="390.39039039039039"/>
    <n v="1814.1165358907294"/>
    <n v="645.16129032258061"/>
    <n v="15668.566281119829"/>
    <n v="1543.433718880171"/>
    <n v="1324"/>
    <n v="1229.4285714285713"/>
  </r>
  <r>
    <d v="2023-12-05T00:00:00"/>
    <d v="2023-12-01T00:00:00"/>
    <x v="11"/>
    <x v="0"/>
    <n v="12"/>
    <n v="14"/>
    <x v="0"/>
    <n v="1419"/>
    <n v="17028"/>
    <n v="3746.16"/>
    <n v="6774.1935483870966"/>
    <n v="2258.0645161290322"/>
    <n v="360.36036036036035"/>
    <n v="1724.1363557105492"/>
    <n v="645.16129032258061"/>
    <n v="15508.076070909619"/>
    <n v="1519.9239290903806"/>
    <n v="1419"/>
    <n v="1216.2857142857142"/>
  </r>
  <r>
    <d v="2023-12-06T00:00:00"/>
    <d v="2023-12-01T00:00:00"/>
    <x v="11"/>
    <x v="0"/>
    <n v="8"/>
    <n v="14"/>
    <x v="6"/>
    <n v="1209"/>
    <n v="9672"/>
    <n v="2127.84"/>
    <n v="6774.1935483870966"/>
    <n v="2258.0645161290322"/>
    <n v="240.24024024024024"/>
    <n v="1364.2156349898287"/>
    <n v="645.16129032258061"/>
    <n v="13409.715230068779"/>
    <n v="-3737.7152300687794"/>
    <n v="1209"/>
    <n v="690.85714285714289"/>
  </r>
  <r>
    <d v="2023-12-07T00:00:00"/>
    <d v="2023-12-01T00:00:00"/>
    <x v="11"/>
    <x v="0"/>
    <n v="8"/>
    <n v="14"/>
    <x v="6"/>
    <n v="1622"/>
    <n v="12976"/>
    <n v="2854.72"/>
    <n v="6774.1935483870966"/>
    <n v="2258.0645161290322"/>
    <n v="240.24024024024024"/>
    <n v="1364.2156349898287"/>
    <n v="645.16129032258061"/>
    <n v="14136.595230068779"/>
    <n v="-1160.5952300687786"/>
    <n v="1622"/>
    <n v="926.85714285714289"/>
  </r>
  <r>
    <d v="2023-12-08T00:00:00"/>
    <d v="2023-12-01T00:00:00"/>
    <x v="11"/>
    <x v="0"/>
    <n v="10"/>
    <n v="14"/>
    <x v="4"/>
    <n v="1359"/>
    <n v="13590"/>
    <n v="2989.8"/>
    <n v="6774.1935483870966"/>
    <n v="2258.0645161290322"/>
    <n v="300.30030030030031"/>
    <n v="1544.1759953501889"/>
    <n v="645.16129032258061"/>
    <n v="14511.6956504892"/>
    <n v="-921.69565048920049"/>
    <n v="1359"/>
    <n v="970.71428571428567"/>
  </r>
  <r>
    <d v="2023-12-09T00:00:00"/>
    <d v="2023-12-01T00:00:00"/>
    <x v="11"/>
    <x v="0"/>
    <n v="13"/>
    <n v="14"/>
    <x v="2"/>
    <n v="1693"/>
    <n v="22009"/>
    <n v="4841.9800000000005"/>
    <n v="6774.1935483870966"/>
    <n v="2258.0645161290322"/>
    <n v="390.39039039039039"/>
    <n v="1814.1165358907294"/>
    <n v="645.16129032258061"/>
    <n v="16723.906281119831"/>
    <n v="5285.093718880169"/>
    <n v="1693"/>
    <n v="1572.0714285714287"/>
  </r>
  <r>
    <d v="2023-12-10T00:00:00"/>
    <d v="2023-12-01T00:00:00"/>
    <x v="11"/>
    <x v="0"/>
    <n v="9"/>
    <n v="14"/>
    <x v="5"/>
    <n v="1142"/>
    <n v="10278"/>
    <n v="2261.16"/>
    <n v="6774.1935483870966"/>
    <n v="2258.0645161290322"/>
    <n v="270.27027027027026"/>
    <n v="1454.1958151700087"/>
    <n v="645.16129032258061"/>
    <n v="13663.045440278989"/>
    <n v="-3385.0454402789892"/>
    <n v="1142"/>
    <n v="734.14285714285711"/>
  </r>
  <r>
    <d v="2023-12-11T00:00:00"/>
    <d v="2023-12-01T00:00:00"/>
    <x v="11"/>
    <x v="0"/>
    <n v="10"/>
    <n v="14"/>
    <x v="4"/>
    <n v="1445"/>
    <n v="14450"/>
    <n v="3179"/>
    <n v="6774.1935483870966"/>
    <n v="2258.0645161290322"/>
    <n v="300.30030030030031"/>
    <n v="1544.1759953501889"/>
    <n v="645.16129032258061"/>
    <n v="14700.895650489199"/>
    <n v="-250.8956504891994"/>
    <n v="1445"/>
    <n v="1032.1428571428571"/>
  </r>
  <r>
    <d v="2023-12-12T00:00:00"/>
    <d v="2023-12-01T00:00:00"/>
    <x v="11"/>
    <x v="0"/>
    <n v="13"/>
    <n v="14"/>
    <x v="2"/>
    <n v="1416"/>
    <n v="18408"/>
    <n v="4049.76"/>
    <n v="6774.1935483870966"/>
    <n v="2258.0645161290322"/>
    <n v="390.39039039039039"/>
    <n v="1814.1165358907294"/>
    <n v="645.16129032258061"/>
    <n v="15931.68628111983"/>
    <n v="2476.3137188801702"/>
    <n v="1416"/>
    <n v="1314.8571428571429"/>
  </r>
  <r>
    <d v="2023-12-13T00:00:00"/>
    <d v="2023-12-01T00:00:00"/>
    <x v="11"/>
    <x v="0"/>
    <n v="8"/>
    <n v="14"/>
    <x v="6"/>
    <n v="1424"/>
    <n v="11392"/>
    <n v="2506.2400000000002"/>
    <n v="6774.1935483870966"/>
    <n v="2258.0645161290322"/>
    <n v="240.24024024024024"/>
    <n v="1364.2156349898287"/>
    <n v="645.16129032258061"/>
    <n v="13788.115230068779"/>
    <n v="-2396.1152300687791"/>
    <n v="1424"/>
    <n v="813.71428571428567"/>
  </r>
  <r>
    <d v="2023-12-14T00:00:00"/>
    <d v="2023-12-01T00:00:00"/>
    <x v="11"/>
    <x v="0"/>
    <n v="14"/>
    <n v="14"/>
    <x v="3"/>
    <n v="1086"/>
    <n v="15204"/>
    <n v="3344.88"/>
    <n v="6774.1935483870966"/>
    <n v="2258.0645161290322"/>
    <n v="420.42042042042044"/>
    <n v="1904.0967160709097"/>
    <n v="645.16129032258061"/>
    <n v="15346.816491330039"/>
    <n v="-142.81649133003884"/>
    <n v="1086"/>
    <n v="1086"/>
  </r>
  <r>
    <d v="2023-12-15T00:00:00"/>
    <d v="2023-12-01T00:00:00"/>
    <x v="11"/>
    <x v="0"/>
    <n v="10"/>
    <n v="14"/>
    <x v="4"/>
    <n v="1560"/>
    <n v="15600"/>
    <n v="3432"/>
    <n v="6774.1935483870966"/>
    <n v="2258.0645161290322"/>
    <n v="300.30030030030031"/>
    <n v="1544.1759953501889"/>
    <n v="645.16129032258061"/>
    <n v="14953.895650489199"/>
    <n v="646.1043495108006"/>
    <n v="1560"/>
    <n v="1114.2857142857142"/>
  </r>
  <r>
    <d v="2023-12-16T00:00:00"/>
    <d v="2023-12-01T00:00:00"/>
    <x v="11"/>
    <x v="0"/>
    <n v="9"/>
    <n v="14"/>
    <x v="5"/>
    <n v="1597"/>
    <n v="14373"/>
    <n v="3162.06"/>
    <n v="6774.1935483870966"/>
    <n v="2258.0645161290322"/>
    <n v="270.27027027027026"/>
    <n v="1454.1958151700087"/>
    <n v="645.16129032258061"/>
    <n v="14563.945440278989"/>
    <n v="-190.94544027898883"/>
    <n v="1597"/>
    <n v="1026.6428571428571"/>
  </r>
  <r>
    <d v="2023-12-17T00:00:00"/>
    <d v="2023-12-01T00:00:00"/>
    <x v="11"/>
    <x v="0"/>
    <n v="14"/>
    <n v="14"/>
    <x v="3"/>
    <n v="1267"/>
    <n v="17738"/>
    <n v="3902.36"/>
    <n v="6774.1935483870966"/>
    <n v="2258.0645161290322"/>
    <n v="420.42042042042044"/>
    <n v="1904.0967160709097"/>
    <n v="645.16129032258061"/>
    <n v="15904.29649133004"/>
    <n v="1833.7035086699598"/>
    <n v="1267"/>
    <n v="1267"/>
  </r>
  <r>
    <d v="2023-12-18T00:00:00"/>
    <d v="2023-12-01T00:00:00"/>
    <x v="11"/>
    <x v="0"/>
    <n v="10"/>
    <n v="14"/>
    <x v="4"/>
    <n v="1510"/>
    <n v="15100"/>
    <n v="3322"/>
    <n v="6774.1935483870966"/>
    <n v="2258.0645161290322"/>
    <n v="300.30030030030031"/>
    <n v="1544.1759953501889"/>
    <n v="645.16129032258061"/>
    <n v="14843.895650489199"/>
    <n v="256.1043495108006"/>
    <n v="1510"/>
    <n v="1078.5714285714287"/>
  </r>
  <r>
    <d v="2023-12-19T00:00:00"/>
    <d v="2023-12-01T00:00:00"/>
    <x v="11"/>
    <x v="0"/>
    <n v="12"/>
    <n v="14"/>
    <x v="0"/>
    <n v="1226"/>
    <n v="14712"/>
    <n v="3236.64"/>
    <n v="6774.1935483870966"/>
    <n v="2258.0645161290322"/>
    <n v="360.36036036036035"/>
    <n v="1724.1363557105492"/>
    <n v="645.16129032258061"/>
    <n v="14998.556070909619"/>
    <n v="-286.55607090961894"/>
    <n v="1226"/>
    <n v="1050.8571428571429"/>
  </r>
  <r>
    <d v="2023-12-20T00:00:00"/>
    <d v="2023-12-01T00:00:00"/>
    <x v="11"/>
    <x v="0"/>
    <n v="12"/>
    <n v="14"/>
    <x v="0"/>
    <n v="1311"/>
    <n v="15732"/>
    <n v="3461.04"/>
    <n v="6774.1935483870966"/>
    <n v="2258.0645161290322"/>
    <n v="360.36036036036035"/>
    <n v="1724.1363557105492"/>
    <n v="645.16129032258061"/>
    <n v="15222.956070909619"/>
    <n v="509.04392909038143"/>
    <n v="1311"/>
    <n v="1123.7142857142858"/>
  </r>
  <r>
    <d v="2023-12-21T00:00:00"/>
    <d v="2023-12-01T00:00:00"/>
    <x v="11"/>
    <x v="0"/>
    <n v="12"/>
    <n v="14"/>
    <x v="0"/>
    <n v="1860"/>
    <n v="22320"/>
    <n v="4910.3999999999996"/>
    <n v="6774.1935483870966"/>
    <n v="2258.0645161290322"/>
    <n v="360.36036036036035"/>
    <n v="1724.1363557105492"/>
    <n v="645.16129032258061"/>
    <n v="16672.316070909619"/>
    <n v="5647.6839290903808"/>
    <n v="1860"/>
    <n v="1594.2857142857142"/>
  </r>
  <r>
    <d v="2023-12-22T00:00:00"/>
    <d v="2023-12-01T00:00:00"/>
    <x v="11"/>
    <x v="0"/>
    <n v="9"/>
    <n v="14"/>
    <x v="5"/>
    <n v="1397"/>
    <n v="12573"/>
    <n v="2766.06"/>
    <n v="6774.1935483870966"/>
    <n v="2258.0645161290322"/>
    <n v="270.27027027027026"/>
    <n v="1454.1958151700087"/>
    <n v="645.16129032258061"/>
    <n v="14167.945440278989"/>
    <n v="-1594.9454402789888"/>
    <n v="1397"/>
    <n v="898.07142857142856"/>
  </r>
  <r>
    <d v="2023-12-23T00:00:00"/>
    <d v="2023-12-01T00:00:00"/>
    <x v="11"/>
    <x v="0"/>
    <n v="14"/>
    <n v="14"/>
    <x v="3"/>
    <n v="1511"/>
    <n v="21154"/>
    <n v="4653.88"/>
    <n v="6774.1935483870966"/>
    <n v="2258.0645161290322"/>
    <n v="420.42042042042044"/>
    <n v="1904.0967160709097"/>
    <n v="645.16129032258061"/>
    <n v="16655.816491330039"/>
    <n v="4498.1835086699612"/>
    <n v="1511"/>
    <n v="1511"/>
  </r>
  <r>
    <d v="2023-12-24T00:00:00"/>
    <d v="2023-12-01T00:00:00"/>
    <x v="11"/>
    <x v="0"/>
    <n v="8"/>
    <n v="14"/>
    <x v="6"/>
    <n v="1908"/>
    <n v="15264"/>
    <n v="3358.08"/>
    <n v="6774.1935483870966"/>
    <n v="2258.0645161290322"/>
    <n v="240.24024024024024"/>
    <n v="1364.2156349898287"/>
    <n v="645.16129032258061"/>
    <n v="14639.955230068779"/>
    <n v="624.0447699312208"/>
    <n v="1908"/>
    <n v="1090.2857142857142"/>
  </r>
  <r>
    <d v="2023-12-25T00:00:00"/>
    <d v="2023-12-01T00:00:00"/>
    <x v="11"/>
    <x v="0"/>
    <n v="13"/>
    <n v="14"/>
    <x v="2"/>
    <n v="1893"/>
    <n v="24609"/>
    <n v="5413.9800000000005"/>
    <n v="6774.1935483870966"/>
    <n v="2258.0645161290322"/>
    <n v="390.39039039039039"/>
    <n v="1814.1165358907294"/>
    <n v="645.16129032258061"/>
    <n v="17295.906281119831"/>
    <n v="7313.093718880169"/>
    <n v="1893"/>
    <n v="1757.7857142857142"/>
  </r>
  <r>
    <d v="2023-12-26T00:00:00"/>
    <d v="2023-12-01T00:00:00"/>
    <x v="11"/>
    <x v="0"/>
    <n v="8"/>
    <n v="14"/>
    <x v="6"/>
    <n v="1569"/>
    <n v="12552"/>
    <n v="2761.44"/>
    <n v="6774.1935483870966"/>
    <n v="2258.0645161290322"/>
    <n v="240.24024024024024"/>
    <n v="1364.2156349898287"/>
    <n v="645.16129032258061"/>
    <n v="14043.31523006878"/>
    <n v="-1491.3152300687798"/>
    <n v="1569"/>
    <n v="896.57142857142856"/>
  </r>
  <r>
    <d v="2023-12-27T00:00:00"/>
    <d v="2023-12-01T00:00:00"/>
    <x v="11"/>
    <x v="0"/>
    <n v="8"/>
    <n v="14"/>
    <x v="6"/>
    <n v="1489"/>
    <n v="11912"/>
    <n v="2620.64"/>
    <n v="6774.1935483870966"/>
    <n v="2258.0645161290322"/>
    <n v="240.24024024024024"/>
    <n v="1364.2156349898287"/>
    <n v="645.16129032258061"/>
    <n v="13902.515230068779"/>
    <n v="-1990.5152300687787"/>
    <n v="1489"/>
    <n v="850.85714285714289"/>
  </r>
  <r>
    <d v="2023-12-28T00:00:00"/>
    <d v="2023-12-01T00:00:00"/>
    <x v="11"/>
    <x v="0"/>
    <n v="12"/>
    <n v="14"/>
    <x v="0"/>
    <n v="1711"/>
    <n v="20532"/>
    <n v="4517.04"/>
    <n v="6774.1935483870966"/>
    <n v="2258.0645161290322"/>
    <n v="360.36036036036035"/>
    <n v="1724.1363557105492"/>
    <n v="645.16129032258061"/>
    <n v="16278.956070909619"/>
    <n v="4253.0439290903814"/>
    <n v="1711"/>
    <n v="1466.5714285714287"/>
  </r>
  <r>
    <d v="2023-12-29T00:00:00"/>
    <d v="2023-12-01T00:00:00"/>
    <x v="11"/>
    <x v="0"/>
    <n v="14"/>
    <n v="14"/>
    <x v="3"/>
    <n v="1605"/>
    <n v="22470"/>
    <n v="4943.3999999999996"/>
    <n v="6774.1935483870966"/>
    <n v="2258.0645161290322"/>
    <n v="420.42042042042044"/>
    <n v="1904.0967160709097"/>
    <n v="645.16129032258061"/>
    <n v="16945.336491330039"/>
    <n v="5524.6635086699607"/>
    <n v="1605"/>
    <n v="1605"/>
  </r>
  <r>
    <d v="2023-12-30T00:00:00"/>
    <d v="2023-12-01T00:00:00"/>
    <x v="11"/>
    <x v="0"/>
    <n v="10"/>
    <n v="14"/>
    <x v="4"/>
    <n v="1799"/>
    <n v="17990"/>
    <n v="3957.8"/>
    <n v="6774.1935483870966"/>
    <n v="2258.0645161290322"/>
    <n v="300.30030030030031"/>
    <n v="1544.1759953501889"/>
    <n v="645.16129032258061"/>
    <n v="15479.6956504892"/>
    <n v="2510.3043495107995"/>
    <n v="1799"/>
    <n v="1285"/>
  </r>
  <r>
    <d v="2023-12-31T00:00:00"/>
    <d v="2023-12-01T00:00:00"/>
    <x v="11"/>
    <x v="0"/>
    <n v="8"/>
    <n v="14"/>
    <x v="6"/>
    <n v="1686"/>
    <n v="13488"/>
    <n v="2967.36"/>
    <n v="6774.1935483870966"/>
    <n v="2258.0645161290322"/>
    <n v="240.24024024024024"/>
    <n v="1364.2156349898287"/>
    <n v="645.16129032258061"/>
    <n v="14249.23523006878"/>
    <n v="-761.23523006877986"/>
    <n v="1686"/>
    <n v="963.42857142857144"/>
  </r>
  <r>
    <d v="2024-01-01T00:00:00"/>
    <d v="2024-01-01T00:00:00"/>
    <x v="0"/>
    <x v="1"/>
    <n v="14"/>
    <n v="14"/>
    <x v="3"/>
    <n v="1661"/>
    <n v="23254"/>
    <n v="5115.88"/>
    <n v="6774.1935483870966"/>
    <n v="2258.0645161290322"/>
    <n v="438.87147335423197"/>
    <n v="2129.7037111942564"/>
    <n v="645.16129032258061"/>
    <n v="17361.874539387194"/>
    <n v="5892.1254606128059"/>
    <n v="1661"/>
    <n v="1661"/>
  </r>
  <r>
    <d v="2024-01-02T00:00:00"/>
    <d v="2024-01-01T00:00:00"/>
    <x v="0"/>
    <x v="1"/>
    <n v="8"/>
    <n v="14"/>
    <x v="6"/>
    <n v="1498"/>
    <n v="11984"/>
    <n v="2636.48"/>
    <n v="6774.1935483870966"/>
    <n v="2258.0645161290322"/>
    <n v="250.78369905956112"/>
    <n v="1517.1394478713723"/>
    <n v="645.16129032258061"/>
    <n v="14081.822501769642"/>
    <n v="-2097.8225017696423"/>
    <n v="1498"/>
    <n v="856"/>
  </r>
  <r>
    <d v="2024-01-03T00:00:00"/>
    <d v="2024-01-01T00:00:00"/>
    <x v="0"/>
    <x v="1"/>
    <n v="9"/>
    <n v="14"/>
    <x v="5"/>
    <n v="1767"/>
    <n v="15903"/>
    <n v="3498.66"/>
    <n v="6774.1935483870966"/>
    <n v="2258.0645161290322"/>
    <n v="282.13166144200625"/>
    <n v="1619.2334917585197"/>
    <n v="645.16129032258061"/>
    <n v="15077.444508039236"/>
    <n v="825.5554919607639"/>
    <n v="1767"/>
    <n v="1135.9285714285713"/>
  </r>
  <r>
    <d v="2024-01-04T00:00:00"/>
    <d v="2024-01-01T00:00:00"/>
    <x v="0"/>
    <x v="1"/>
    <n v="9"/>
    <n v="14"/>
    <x v="5"/>
    <n v="1480"/>
    <n v="13320"/>
    <n v="2930.4"/>
    <n v="6774.1935483870966"/>
    <n v="2258.0645161290322"/>
    <n v="282.13166144200625"/>
    <n v="1619.2334917585197"/>
    <n v="645.16129032258061"/>
    <n v="14509.184508039236"/>
    <n v="-1189.1845080392359"/>
    <n v="1480"/>
    <n v="951.42857142857144"/>
  </r>
  <r>
    <d v="2024-01-05T00:00:00"/>
    <d v="2024-01-01T00:00:00"/>
    <x v="0"/>
    <x v="1"/>
    <n v="8"/>
    <n v="14"/>
    <x v="6"/>
    <n v="1126"/>
    <n v="9008"/>
    <n v="1981.76"/>
    <n v="6774.1935483870966"/>
    <n v="2258.0645161290322"/>
    <n v="250.78369905956112"/>
    <n v="1517.1394478713723"/>
    <n v="645.16129032258061"/>
    <n v="13427.102501769643"/>
    <n v="-4419.1025017696429"/>
    <n v="1126"/>
    <n v="643.42857142857144"/>
  </r>
  <r>
    <d v="2024-01-06T00:00:00"/>
    <d v="2024-01-01T00:00:00"/>
    <x v="0"/>
    <x v="1"/>
    <n v="8"/>
    <n v="14"/>
    <x v="6"/>
    <n v="1703"/>
    <n v="13624"/>
    <n v="2997.28"/>
    <n v="6774.1935483870966"/>
    <n v="2258.0645161290322"/>
    <n v="250.78369905956112"/>
    <n v="1517.1394478713723"/>
    <n v="645.16129032258061"/>
    <n v="14442.622501769643"/>
    <n v="-818.62250176964335"/>
    <n v="1703"/>
    <n v="973.14285714285711"/>
  </r>
  <r>
    <d v="2024-01-07T00:00:00"/>
    <d v="2024-01-01T00:00:00"/>
    <x v="0"/>
    <x v="1"/>
    <n v="11"/>
    <n v="14"/>
    <x v="1"/>
    <n v="1644"/>
    <n v="18084"/>
    <n v="3978.48"/>
    <n v="6774.1935483870966"/>
    <n v="2258.0645161290322"/>
    <n v="344.82758620689651"/>
    <n v="1823.4215795328143"/>
    <n v="645.16129032258061"/>
    <n v="15824.148520578421"/>
    <n v="2259.8514794215789"/>
    <n v="1644"/>
    <n v="1291.7142857142858"/>
  </r>
  <r>
    <d v="2024-01-08T00:00:00"/>
    <d v="2024-01-01T00:00:00"/>
    <x v="0"/>
    <x v="1"/>
    <n v="11"/>
    <n v="14"/>
    <x v="1"/>
    <n v="1788"/>
    <n v="19668"/>
    <n v="4326.96"/>
    <n v="6774.1935483870966"/>
    <n v="2258.0645161290322"/>
    <n v="344.82758620689651"/>
    <n v="1823.4215795328143"/>
    <n v="645.16129032258061"/>
    <n v="16172.628520578422"/>
    <n v="3495.3714794215775"/>
    <n v="1788"/>
    <n v="1404.8571428571429"/>
  </r>
  <r>
    <d v="2024-01-09T00:00:00"/>
    <d v="2024-01-01T00:00:00"/>
    <x v="0"/>
    <x v="1"/>
    <n v="8"/>
    <n v="14"/>
    <x v="6"/>
    <n v="1872"/>
    <n v="14976"/>
    <n v="3294.72"/>
    <n v="6774.1935483870966"/>
    <n v="2258.0645161290322"/>
    <n v="250.78369905956112"/>
    <n v="1517.1394478713723"/>
    <n v="645.16129032258061"/>
    <n v="14740.062501769642"/>
    <n v="235.93749823035796"/>
    <n v="1872"/>
    <n v="1069.7142857142858"/>
  </r>
  <r>
    <d v="2024-01-10T00:00:00"/>
    <d v="2024-01-01T00:00:00"/>
    <x v="0"/>
    <x v="1"/>
    <n v="12"/>
    <n v="14"/>
    <x v="0"/>
    <n v="1991"/>
    <n v="23892"/>
    <n v="5256.24"/>
    <n v="6774.1935483870966"/>
    <n v="2258.0645161290322"/>
    <n v="376.1755485893417"/>
    <n v="1925.5156234199617"/>
    <n v="645.16129032258061"/>
    <n v="17235.350526848011"/>
    <n v="6656.6494731519888"/>
    <n v="1991"/>
    <n v="1706.5714285714287"/>
  </r>
  <r>
    <d v="2024-01-11T00:00:00"/>
    <d v="2024-01-01T00:00:00"/>
    <x v="0"/>
    <x v="1"/>
    <n v="9"/>
    <n v="14"/>
    <x v="5"/>
    <n v="1580"/>
    <n v="14220"/>
    <n v="3128.4"/>
    <n v="6774.1935483870966"/>
    <n v="2258.0645161290322"/>
    <n v="282.13166144200625"/>
    <n v="1619.2334917585197"/>
    <n v="645.16129032258061"/>
    <n v="14707.184508039236"/>
    <n v="-487.18450803923588"/>
    <n v="1580"/>
    <n v="1015.7142857142857"/>
  </r>
  <r>
    <d v="2024-01-12T00:00:00"/>
    <d v="2024-01-01T00:00:00"/>
    <x v="0"/>
    <x v="1"/>
    <n v="11"/>
    <n v="14"/>
    <x v="1"/>
    <n v="1313"/>
    <n v="14443"/>
    <n v="3177.46"/>
    <n v="6774.1935483870966"/>
    <n v="2258.0645161290322"/>
    <n v="344.82758620689651"/>
    <n v="1823.4215795328143"/>
    <n v="645.16129032258061"/>
    <n v="15023.128520578422"/>
    <n v="-580.12852057842247"/>
    <n v="1313"/>
    <n v="1031.6428571428571"/>
  </r>
  <r>
    <d v="2024-01-13T00:00:00"/>
    <d v="2024-01-01T00:00:00"/>
    <x v="0"/>
    <x v="1"/>
    <n v="12"/>
    <n v="14"/>
    <x v="0"/>
    <n v="1630"/>
    <n v="19560"/>
    <n v="4303.2"/>
    <n v="6774.1935483870966"/>
    <n v="2258.0645161290322"/>
    <n v="376.1755485893417"/>
    <n v="1925.5156234199617"/>
    <n v="645.16129032258061"/>
    <n v="16282.310526848012"/>
    <n v="3277.6894731519878"/>
    <n v="1630"/>
    <n v="1397.1428571428571"/>
  </r>
  <r>
    <d v="2024-01-14T00:00:00"/>
    <d v="2024-01-01T00:00:00"/>
    <x v="0"/>
    <x v="1"/>
    <n v="10"/>
    <n v="14"/>
    <x v="4"/>
    <n v="1325"/>
    <n v="13250"/>
    <n v="2915"/>
    <n v="6774.1935483870966"/>
    <n v="2258.0645161290322"/>
    <n v="313.47962382445138"/>
    <n v="1721.327535645667"/>
    <n v="645.16129032258061"/>
    <n v="14627.226514308828"/>
    <n v="-1377.226514308828"/>
    <n v="1325"/>
    <n v="946.42857142857144"/>
  </r>
  <r>
    <d v="2024-01-15T00:00:00"/>
    <d v="2024-01-01T00:00:00"/>
    <x v="0"/>
    <x v="1"/>
    <n v="9"/>
    <n v="14"/>
    <x v="5"/>
    <n v="1088"/>
    <n v="9792"/>
    <n v="2154.2400000000002"/>
    <n v="6774.1935483870966"/>
    <n v="2258.0645161290322"/>
    <n v="282.13166144200625"/>
    <n v="1619.2334917585197"/>
    <n v="645.16129032258061"/>
    <n v="13733.024508039236"/>
    <n v="-3941.024508039236"/>
    <n v="1088"/>
    <n v="699.42857142857144"/>
  </r>
  <r>
    <d v="2024-01-16T00:00:00"/>
    <d v="2024-01-01T00:00:00"/>
    <x v="0"/>
    <x v="1"/>
    <n v="11"/>
    <n v="14"/>
    <x v="1"/>
    <n v="1679"/>
    <n v="18469"/>
    <n v="4063.18"/>
    <n v="6774.1935483870966"/>
    <n v="2258.0645161290322"/>
    <n v="344.82758620689651"/>
    <n v="1823.4215795328143"/>
    <n v="645.16129032258061"/>
    <n v="15908.848520578422"/>
    <n v="2560.1514794215782"/>
    <n v="1679"/>
    <n v="1319.2142857142858"/>
  </r>
  <r>
    <d v="2024-01-17T00:00:00"/>
    <d v="2024-01-01T00:00:00"/>
    <x v="0"/>
    <x v="1"/>
    <n v="10"/>
    <n v="14"/>
    <x v="4"/>
    <n v="1178"/>
    <n v="11780"/>
    <n v="2591.6"/>
    <n v="6774.1935483870966"/>
    <n v="2258.0645161290322"/>
    <n v="313.47962382445138"/>
    <n v="1721.327535645667"/>
    <n v="645.16129032258061"/>
    <n v="14303.826514308828"/>
    <n v="-2523.8265143088283"/>
    <n v="1178"/>
    <n v="841.42857142857144"/>
  </r>
  <r>
    <d v="2024-01-18T00:00:00"/>
    <d v="2024-01-01T00:00:00"/>
    <x v="0"/>
    <x v="1"/>
    <n v="10"/>
    <n v="14"/>
    <x v="4"/>
    <n v="1144"/>
    <n v="11440"/>
    <n v="2516.8000000000002"/>
    <n v="6774.1935483870966"/>
    <n v="2258.0645161290322"/>
    <n v="313.47962382445138"/>
    <n v="1721.327535645667"/>
    <n v="645.16129032258061"/>
    <n v="14229.026514308829"/>
    <n v="-2789.0265143088291"/>
    <n v="1144"/>
    <n v="817.14285714285711"/>
  </r>
  <r>
    <d v="2024-01-19T00:00:00"/>
    <d v="2024-01-01T00:00:00"/>
    <x v="0"/>
    <x v="1"/>
    <n v="12"/>
    <n v="14"/>
    <x v="0"/>
    <n v="1812"/>
    <n v="21744"/>
    <n v="4783.68"/>
    <n v="6774.1935483870966"/>
    <n v="2258.0645161290322"/>
    <n v="376.1755485893417"/>
    <n v="1925.5156234199617"/>
    <n v="645.16129032258061"/>
    <n v="16762.790526848014"/>
    <n v="4981.2094731519865"/>
    <n v="1812"/>
    <n v="1553.1428571428571"/>
  </r>
  <r>
    <d v="2024-01-20T00:00:00"/>
    <d v="2024-01-01T00:00:00"/>
    <x v="0"/>
    <x v="1"/>
    <n v="8"/>
    <n v="14"/>
    <x v="6"/>
    <n v="1730"/>
    <n v="13840"/>
    <n v="3044.8"/>
    <n v="6774.1935483870966"/>
    <n v="2258.0645161290322"/>
    <n v="250.78369905956112"/>
    <n v="1517.1394478713723"/>
    <n v="645.16129032258061"/>
    <n v="14490.142501769644"/>
    <n v="-650.14250176964379"/>
    <n v="1730"/>
    <n v="988.57142857142856"/>
  </r>
  <r>
    <d v="2024-01-21T00:00:00"/>
    <d v="2024-01-01T00:00:00"/>
    <x v="0"/>
    <x v="1"/>
    <n v="13"/>
    <n v="14"/>
    <x v="2"/>
    <n v="1693"/>
    <n v="22009"/>
    <n v="4841.9800000000005"/>
    <n v="6774.1935483870966"/>
    <n v="2258.0645161290322"/>
    <n v="407.52351097178683"/>
    <n v="2027.609667307109"/>
    <n v="645.16129032258061"/>
    <n v="16954.532533117606"/>
    <n v="5054.4674668823936"/>
    <n v="1693"/>
    <n v="1572.0714285714287"/>
  </r>
  <r>
    <d v="2024-01-22T00:00:00"/>
    <d v="2024-01-01T00:00:00"/>
    <x v="0"/>
    <x v="1"/>
    <n v="10"/>
    <n v="14"/>
    <x v="4"/>
    <n v="1606"/>
    <n v="16060"/>
    <n v="3533.2"/>
    <n v="6774.1935483870966"/>
    <n v="2258.0645161290322"/>
    <n v="313.47962382445138"/>
    <n v="1721.327535645667"/>
    <n v="645.16129032258061"/>
    <n v="15245.426514308827"/>
    <n v="814.57348569117312"/>
    <n v="1606"/>
    <n v="1147.1428571428571"/>
  </r>
  <r>
    <d v="2024-01-23T00:00:00"/>
    <d v="2024-01-01T00:00:00"/>
    <x v="0"/>
    <x v="1"/>
    <n v="12"/>
    <n v="14"/>
    <x v="0"/>
    <n v="1562"/>
    <n v="18744"/>
    <n v="4123.68"/>
    <n v="6774.1935483870966"/>
    <n v="2258.0645161290322"/>
    <n v="376.1755485893417"/>
    <n v="1925.5156234199617"/>
    <n v="645.16129032258061"/>
    <n v="16102.790526848014"/>
    <n v="2641.2094731519865"/>
    <n v="1562"/>
    <n v="1338.8571428571429"/>
  </r>
  <r>
    <d v="2024-01-24T00:00:00"/>
    <d v="2024-01-01T00:00:00"/>
    <x v="0"/>
    <x v="1"/>
    <n v="11"/>
    <n v="14"/>
    <x v="1"/>
    <n v="1577"/>
    <n v="17347"/>
    <n v="3816.34"/>
    <n v="6774.1935483870966"/>
    <n v="2258.0645161290322"/>
    <n v="344.82758620689651"/>
    <n v="1823.4215795328143"/>
    <n v="645.16129032258061"/>
    <n v="15662.008520578422"/>
    <n v="1684.9914794215783"/>
    <n v="1577"/>
    <n v="1239.0714285714287"/>
  </r>
  <r>
    <d v="2024-01-25T00:00:00"/>
    <d v="2024-01-01T00:00:00"/>
    <x v="0"/>
    <x v="1"/>
    <n v="9"/>
    <n v="14"/>
    <x v="5"/>
    <n v="1254"/>
    <n v="11286"/>
    <n v="2482.92"/>
    <n v="6774.1935483870966"/>
    <n v="2258.0645161290322"/>
    <n v="282.13166144200625"/>
    <n v="1619.2334917585197"/>
    <n v="645.16129032258061"/>
    <n v="14061.704508039236"/>
    <n v="-2775.7045080392363"/>
    <n v="1254"/>
    <n v="806.14285714285711"/>
  </r>
  <r>
    <d v="2024-01-26T00:00:00"/>
    <d v="2024-01-01T00:00:00"/>
    <x v="0"/>
    <x v="1"/>
    <n v="11"/>
    <n v="14"/>
    <x v="1"/>
    <n v="1337"/>
    <n v="14707"/>
    <n v="3235.54"/>
    <n v="6774.1935483870966"/>
    <n v="2258.0645161290322"/>
    <n v="344.82758620689651"/>
    <n v="1823.4215795328143"/>
    <n v="645.16129032258061"/>
    <n v="15081.208520578421"/>
    <n v="-374.20852057842058"/>
    <n v="1337"/>
    <n v="1050.5"/>
  </r>
  <r>
    <d v="2024-01-27T00:00:00"/>
    <d v="2024-01-01T00:00:00"/>
    <x v="0"/>
    <x v="1"/>
    <n v="8"/>
    <n v="14"/>
    <x v="6"/>
    <n v="1957"/>
    <n v="15656"/>
    <n v="3444.32"/>
    <n v="6774.1935483870966"/>
    <n v="2258.0645161290322"/>
    <n v="250.78369905956112"/>
    <n v="1517.1394478713723"/>
    <n v="645.16129032258061"/>
    <n v="14889.662501769642"/>
    <n v="766.3374982303576"/>
    <n v="1957"/>
    <n v="1118.2857142857142"/>
  </r>
  <r>
    <d v="2024-01-28T00:00:00"/>
    <d v="2024-01-01T00:00:00"/>
    <x v="0"/>
    <x v="1"/>
    <n v="8"/>
    <n v="14"/>
    <x v="6"/>
    <n v="1334"/>
    <n v="10672"/>
    <n v="2347.84"/>
    <n v="6774.1935483870966"/>
    <n v="2258.0645161290322"/>
    <n v="250.78369905956112"/>
    <n v="1517.1394478713723"/>
    <n v="645.16129032258061"/>
    <n v="13793.182501769643"/>
    <n v="-3121.1825017696428"/>
    <n v="1334"/>
    <n v="762.28571428571433"/>
  </r>
  <r>
    <d v="2024-01-29T00:00:00"/>
    <d v="2024-01-01T00:00:00"/>
    <x v="0"/>
    <x v="1"/>
    <n v="13"/>
    <n v="14"/>
    <x v="2"/>
    <n v="1439"/>
    <n v="18707"/>
    <n v="4115.54"/>
    <n v="6774.1935483870966"/>
    <n v="2258.0645161290322"/>
    <n v="407.52351097178683"/>
    <n v="2027.609667307109"/>
    <n v="645.16129032258061"/>
    <n v="16228.092533117606"/>
    <n v="2478.9074668823941"/>
    <n v="1439"/>
    <n v="1336.2142857142858"/>
  </r>
  <r>
    <d v="2024-01-30T00:00:00"/>
    <d v="2024-01-01T00:00:00"/>
    <x v="0"/>
    <x v="1"/>
    <n v="11"/>
    <n v="14"/>
    <x v="1"/>
    <n v="1556"/>
    <n v="17116"/>
    <n v="3765.52"/>
    <n v="6774.1935483870966"/>
    <n v="2258.0645161290322"/>
    <n v="344.82758620689651"/>
    <n v="1823.4215795328143"/>
    <n v="645.16129032258061"/>
    <n v="15611.188520578422"/>
    <n v="1504.811479421578"/>
    <n v="1556"/>
    <n v="1222.5714285714287"/>
  </r>
  <r>
    <d v="2024-01-31T00:00:00"/>
    <d v="2024-01-01T00:00:00"/>
    <x v="0"/>
    <x v="1"/>
    <n v="13"/>
    <n v="14"/>
    <x v="2"/>
    <n v="1832"/>
    <n v="23816"/>
    <n v="5239.5200000000004"/>
    <n v="6774.1935483870966"/>
    <n v="2258.0645161290322"/>
    <n v="407.52351097178683"/>
    <n v="2027.609667307109"/>
    <n v="645.16129032258061"/>
    <n v="17352.072533117604"/>
    <n v="6463.9274668823964"/>
    <n v="1832"/>
    <n v="1701.1428571428571"/>
  </r>
  <r>
    <d v="2024-02-01T00:00:00"/>
    <d v="2024-02-01T00:00:00"/>
    <x v="1"/>
    <x v="1"/>
    <n v="10"/>
    <n v="14"/>
    <x v="4"/>
    <n v="1905"/>
    <n v="19050"/>
    <n v="4191"/>
    <n v="7241.3793103448279"/>
    <n v="2413.7931034482758"/>
    <n v="332.22591362126246"/>
    <n v="1693.6178714629395"/>
    <n v="689.65517241379314"/>
    <n v="16561.671371291101"/>
    <n v="2488.3286287088995"/>
    <n v="1905"/>
    <n v="1360.7142857142858"/>
  </r>
  <r>
    <d v="2024-02-02T00:00:00"/>
    <d v="2024-02-01T00:00:00"/>
    <x v="1"/>
    <x v="1"/>
    <n v="12"/>
    <n v="14"/>
    <x v="0"/>
    <n v="1567"/>
    <n v="18804"/>
    <n v="4136.88"/>
    <n v="7241.3793103448279"/>
    <n v="2413.7931034482758"/>
    <n v="398.67109634551491"/>
    <n v="1893.8145492038034"/>
    <n v="689.65517241379314"/>
    <n v="16774.193231756213"/>
    <n v="2029.8067682437868"/>
    <n v="1567"/>
    <n v="1343.1428571428571"/>
  </r>
  <r>
    <d v="2024-02-03T00:00:00"/>
    <d v="2024-02-01T00:00:00"/>
    <x v="1"/>
    <x v="1"/>
    <n v="11"/>
    <n v="14"/>
    <x v="1"/>
    <n v="1049"/>
    <n v="11539"/>
    <n v="2538.58"/>
    <n v="7241.3793103448279"/>
    <n v="2413.7931034482758"/>
    <n v="365.44850498338872"/>
    <n v="1793.7162103333717"/>
    <n v="689.65517241379314"/>
    <n v="15042.572301523658"/>
    <n v="-3503.5723015236581"/>
    <n v="1049"/>
    <n v="824.21428571428567"/>
  </r>
  <r>
    <d v="2024-02-04T00:00:00"/>
    <d v="2024-02-01T00:00:00"/>
    <x v="1"/>
    <x v="1"/>
    <n v="9"/>
    <n v="14"/>
    <x v="5"/>
    <n v="1159"/>
    <n v="10431"/>
    <n v="2294.8200000000002"/>
    <n v="7241.3793103448279"/>
    <n v="2413.7931034482758"/>
    <n v="299.00332225913621"/>
    <n v="1593.5195325925079"/>
    <n v="689.65517241379314"/>
    <n v="14532.170441058541"/>
    <n v="-4101.1704410585407"/>
    <n v="1159"/>
    <n v="745.07142857142856"/>
  </r>
  <r>
    <d v="2024-02-05T00:00:00"/>
    <d v="2024-02-01T00:00:00"/>
    <x v="1"/>
    <x v="1"/>
    <n v="13"/>
    <n v="14"/>
    <x v="2"/>
    <n v="1832"/>
    <n v="23816"/>
    <n v="5239.5200000000004"/>
    <n v="7241.3793103448279"/>
    <n v="2413.7931034482758"/>
    <n v="431.89368770764116"/>
    <n v="1993.9128880742351"/>
    <n v="689.65517241379314"/>
    <n v="18010.154161988772"/>
    <n v="5805.8458380112279"/>
    <n v="1832"/>
    <n v="1701.1428571428571"/>
  </r>
  <r>
    <d v="2024-02-06T00:00:00"/>
    <d v="2024-02-01T00:00:00"/>
    <x v="1"/>
    <x v="1"/>
    <n v="9"/>
    <n v="14"/>
    <x v="5"/>
    <n v="1692"/>
    <n v="15228"/>
    <n v="3350.16"/>
    <n v="7241.3793103448279"/>
    <n v="2413.7931034482758"/>
    <n v="299.00332225913621"/>
    <n v="1593.5195325925079"/>
    <n v="689.65517241379314"/>
    <n v="15587.510441058541"/>
    <n v="-359.51044105854089"/>
    <n v="1692"/>
    <n v="1087.7142857142858"/>
  </r>
  <r>
    <d v="2024-02-07T00:00:00"/>
    <d v="2024-02-01T00:00:00"/>
    <x v="1"/>
    <x v="1"/>
    <n v="12"/>
    <n v="14"/>
    <x v="0"/>
    <n v="1127"/>
    <n v="13524"/>
    <n v="2975.28"/>
    <n v="7241.3793103448279"/>
    <n v="2413.7931034482758"/>
    <n v="398.67109634551491"/>
    <n v="1893.8145492038034"/>
    <n v="689.65517241379314"/>
    <n v="15612.593231756216"/>
    <n v="-2088.5932317562165"/>
    <n v="1127"/>
    <n v="966"/>
  </r>
  <r>
    <d v="2024-02-08T00:00:00"/>
    <d v="2024-02-01T00:00:00"/>
    <x v="1"/>
    <x v="1"/>
    <n v="11"/>
    <n v="14"/>
    <x v="1"/>
    <n v="1661"/>
    <n v="18271"/>
    <n v="4019.62"/>
    <n v="7241.3793103448279"/>
    <n v="2413.7931034482758"/>
    <n v="365.44850498338872"/>
    <n v="1793.7162103333717"/>
    <n v="689.65517241379314"/>
    <n v="16523.612301523659"/>
    <n v="1747.387698476341"/>
    <n v="1661"/>
    <n v="1305.0714285714287"/>
  </r>
  <r>
    <d v="2024-02-09T00:00:00"/>
    <d v="2024-02-01T00:00:00"/>
    <x v="1"/>
    <x v="1"/>
    <n v="14"/>
    <n v="14"/>
    <x v="3"/>
    <n v="1515"/>
    <n v="21210"/>
    <n v="4666.2"/>
    <n v="7241.3793103448279"/>
    <n v="2413.7931034482758"/>
    <n v="465.11627906976742"/>
    <n v="2094.0112269446672"/>
    <n v="689.65517241379314"/>
    <n v="17570.155092221332"/>
    <n v="3639.8449077786681"/>
    <n v="1515"/>
    <n v="1515"/>
  </r>
  <r>
    <d v="2024-02-10T00:00:00"/>
    <d v="2024-02-01T00:00:00"/>
    <x v="1"/>
    <x v="1"/>
    <n v="8"/>
    <n v="14"/>
    <x v="6"/>
    <n v="1014"/>
    <n v="8112"/>
    <n v="1784.64"/>
    <n v="7241.3793103448279"/>
    <n v="2413.7931034482758"/>
    <n v="265.78073089700996"/>
    <n v="1493.4211937220757"/>
    <n v="689.65517241379314"/>
    <n v="13888.669510825981"/>
    <n v="-5776.669510825981"/>
    <n v="1014"/>
    <n v="579.42857142857144"/>
  </r>
  <r>
    <d v="2024-02-11T00:00:00"/>
    <d v="2024-02-01T00:00:00"/>
    <x v="1"/>
    <x v="1"/>
    <n v="8"/>
    <n v="14"/>
    <x v="6"/>
    <n v="1031"/>
    <n v="8248"/>
    <n v="1814.56"/>
    <n v="7241.3793103448279"/>
    <n v="2413.7931034482758"/>
    <n v="265.78073089700996"/>
    <n v="1493.4211937220757"/>
    <n v="689.65517241379314"/>
    <n v="13918.589510825981"/>
    <n v="-5670.5895108259811"/>
    <n v="1031"/>
    <n v="589.14285714285711"/>
  </r>
  <r>
    <d v="2024-02-12T00:00:00"/>
    <d v="2024-02-01T00:00:00"/>
    <x v="1"/>
    <x v="1"/>
    <n v="10"/>
    <n v="14"/>
    <x v="4"/>
    <n v="1090"/>
    <n v="10900"/>
    <n v="2398"/>
    <n v="7241.3793103448279"/>
    <n v="2413.7931034482758"/>
    <n v="332.22591362126246"/>
    <n v="1693.6178714629395"/>
    <n v="689.65517241379314"/>
    <n v="14768.671371291101"/>
    <n v="-3868.6713712911005"/>
    <n v="1090"/>
    <n v="778.57142857142856"/>
  </r>
  <r>
    <d v="2024-02-13T00:00:00"/>
    <d v="2024-02-01T00:00:00"/>
    <x v="1"/>
    <x v="1"/>
    <n v="14"/>
    <n v="14"/>
    <x v="3"/>
    <n v="1333"/>
    <n v="18662"/>
    <n v="4105.6400000000003"/>
    <n v="7241.3793103448279"/>
    <n v="2413.7931034482758"/>
    <n v="465.11627906976742"/>
    <n v="2094.0112269446672"/>
    <n v="689.65517241379314"/>
    <n v="17009.595092221331"/>
    <n v="1652.4049077786694"/>
    <n v="1333"/>
    <n v="1333"/>
  </r>
  <r>
    <d v="2024-02-14T00:00:00"/>
    <d v="2024-02-01T00:00:00"/>
    <x v="1"/>
    <x v="1"/>
    <n v="9"/>
    <n v="14"/>
    <x v="5"/>
    <n v="1129"/>
    <n v="10161"/>
    <n v="2235.42"/>
    <n v="7241.3793103448279"/>
    <n v="2413.7931034482758"/>
    <n v="299.00332225913621"/>
    <n v="1593.5195325925079"/>
    <n v="689.65517241379314"/>
    <n v="14472.770441058539"/>
    <n v="-4311.7704410585393"/>
    <n v="1129"/>
    <n v="725.78571428571433"/>
  </r>
  <r>
    <d v="2024-02-15T00:00:00"/>
    <d v="2024-02-01T00:00:00"/>
    <x v="1"/>
    <x v="1"/>
    <n v="11"/>
    <n v="14"/>
    <x v="1"/>
    <n v="1024"/>
    <n v="11264"/>
    <n v="2478.08"/>
    <n v="7241.3793103448279"/>
    <n v="2413.7931034482758"/>
    <n v="365.44850498338872"/>
    <n v="1793.7162103333717"/>
    <n v="689.65517241379314"/>
    <n v="14982.072301523658"/>
    <n v="-3718.0723015236581"/>
    <n v="1024"/>
    <n v="804.57142857142856"/>
  </r>
  <r>
    <d v="2024-02-16T00:00:00"/>
    <d v="2024-02-01T00:00:00"/>
    <x v="1"/>
    <x v="1"/>
    <n v="12"/>
    <n v="14"/>
    <x v="0"/>
    <n v="1235"/>
    <n v="14820"/>
    <n v="3260.4"/>
    <n v="7241.3793103448279"/>
    <n v="2413.7931034482758"/>
    <n v="398.67109634551491"/>
    <n v="1893.8145492038034"/>
    <n v="689.65517241379314"/>
    <n v="15897.713231756215"/>
    <n v="-1077.7132317562155"/>
    <n v="1235"/>
    <n v="1058.5714285714287"/>
  </r>
  <r>
    <d v="2024-02-17T00:00:00"/>
    <d v="2024-02-01T00:00:00"/>
    <x v="1"/>
    <x v="1"/>
    <n v="9"/>
    <n v="14"/>
    <x v="5"/>
    <n v="1786"/>
    <n v="16074"/>
    <n v="3536.28"/>
    <n v="7241.3793103448279"/>
    <n v="2413.7931034482758"/>
    <n v="299.00332225913621"/>
    <n v="1593.5195325925079"/>
    <n v="689.65517241379314"/>
    <n v="15773.63044105854"/>
    <n v="300.36955894146013"/>
    <n v="1786"/>
    <n v="1148.1428571428571"/>
  </r>
  <r>
    <d v="2024-02-18T00:00:00"/>
    <d v="2024-02-01T00:00:00"/>
    <x v="1"/>
    <x v="1"/>
    <n v="9"/>
    <n v="14"/>
    <x v="5"/>
    <n v="1359"/>
    <n v="12231"/>
    <n v="2690.82"/>
    <n v="7241.3793103448279"/>
    <n v="2413.7931034482758"/>
    <n v="299.00332225913621"/>
    <n v="1593.5195325925079"/>
    <n v="689.65517241379314"/>
    <n v="14928.170441058541"/>
    <n v="-2697.1704410585407"/>
    <n v="1359"/>
    <n v="873.64285714285711"/>
  </r>
  <r>
    <d v="2024-02-19T00:00:00"/>
    <d v="2024-02-01T00:00:00"/>
    <x v="1"/>
    <x v="1"/>
    <n v="8"/>
    <n v="14"/>
    <x v="6"/>
    <n v="1384"/>
    <n v="11072"/>
    <n v="2435.84"/>
    <n v="7241.3793103448279"/>
    <n v="2413.7931034482758"/>
    <n v="265.78073089700996"/>
    <n v="1493.4211937220757"/>
    <n v="689.65517241379314"/>
    <n v="14539.869510825982"/>
    <n v="-3467.8695108259817"/>
    <n v="1384"/>
    <n v="790.85714285714289"/>
  </r>
  <r>
    <d v="2024-02-20T00:00:00"/>
    <d v="2024-02-01T00:00:00"/>
    <x v="1"/>
    <x v="1"/>
    <n v="8"/>
    <n v="14"/>
    <x v="6"/>
    <n v="1638"/>
    <n v="13104"/>
    <n v="2882.88"/>
    <n v="7241.3793103448279"/>
    <n v="2413.7931034482758"/>
    <n v="265.78073089700996"/>
    <n v="1493.4211937220757"/>
    <n v="689.65517241379314"/>
    <n v="14986.909510825981"/>
    <n v="-1882.9095108259808"/>
    <n v="1638"/>
    <n v="936"/>
  </r>
  <r>
    <d v="2024-02-21T00:00:00"/>
    <d v="2024-02-01T00:00:00"/>
    <x v="1"/>
    <x v="1"/>
    <n v="12"/>
    <n v="14"/>
    <x v="0"/>
    <n v="1653"/>
    <n v="19836"/>
    <n v="4363.92"/>
    <n v="7241.3793103448279"/>
    <n v="2413.7931034482758"/>
    <n v="398.67109634551491"/>
    <n v="1893.8145492038034"/>
    <n v="689.65517241379314"/>
    <n v="17001.233231756214"/>
    <n v="2834.7667682437859"/>
    <n v="1653"/>
    <n v="1416.8571428571429"/>
  </r>
  <r>
    <d v="2024-02-22T00:00:00"/>
    <d v="2024-02-01T00:00:00"/>
    <x v="1"/>
    <x v="1"/>
    <n v="10"/>
    <n v="14"/>
    <x v="4"/>
    <n v="1488"/>
    <n v="14880"/>
    <n v="3273.6"/>
    <n v="7241.3793103448279"/>
    <n v="2413.7931034482758"/>
    <n v="332.22591362126246"/>
    <n v="1693.6178714629395"/>
    <n v="689.65517241379314"/>
    <n v="15644.271371291099"/>
    <n v="-764.27137129109906"/>
    <n v="1488"/>
    <n v="1062.8571428571429"/>
  </r>
  <r>
    <d v="2024-02-23T00:00:00"/>
    <d v="2024-02-01T00:00:00"/>
    <x v="1"/>
    <x v="1"/>
    <n v="9"/>
    <n v="14"/>
    <x v="5"/>
    <n v="1881"/>
    <n v="16929"/>
    <n v="3724.38"/>
    <n v="7241.3793103448279"/>
    <n v="2413.7931034482758"/>
    <n v="299.00332225913621"/>
    <n v="1593.5195325925079"/>
    <n v="689.65517241379314"/>
    <n v="15961.730441058538"/>
    <n v="967.26955894146158"/>
    <n v="1881"/>
    <n v="1209.2142857142858"/>
  </r>
  <r>
    <d v="2024-02-24T00:00:00"/>
    <d v="2024-02-01T00:00:00"/>
    <x v="1"/>
    <x v="1"/>
    <n v="11"/>
    <n v="14"/>
    <x v="1"/>
    <n v="1306"/>
    <n v="14366"/>
    <n v="3160.52"/>
    <n v="7241.3793103448279"/>
    <n v="2413.7931034482758"/>
    <n v="365.44850498338872"/>
    <n v="1793.7162103333717"/>
    <n v="689.65517241379314"/>
    <n v="15664.512301523659"/>
    <n v="-1298.5123015236586"/>
    <n v="1306"/>
    <n v="1026.1428571428571"/>
  </r>
  <r>
    <d v="2024-02-25T00:00:00"/>
    <d v="2024-02-01T00:00:00"/>
    <x v="1"/>
    <x v="1"/>
    <n v="8"/>
    <n v="14"/>
    <x v="6"/>
    <n v="1025"/>
    <n v="8200"/>
    <n v="1804"/>
    <n v="7241.3793103448279"/>
    <n v="2413.7931034482758"/>
    <n v="265.78073089700996"/>
    <n v="1493.4211937220757"/>
    <n v="689.65517241379314"/>
    <n v="13908.029510825982"/>
    <n v="-5708.0295108259816"/>
    <n v="1025"/>
    <n v="585.71428571428567"/>
  </r>
  <r>
    <d v="2024-02-26T00:00:00"/>
    <d v="2024-02-01T00:00:00"/>
    <x v="1"/>
    <x v="1"/>
    <n v="10"/>
    <n v="14"/>
    <x v="4"/>
    <n v="1910"/>
    <n v="19100"/>
    <n v="4202"/>
    <n v="7241.3793103448279"/>
    <n v="2413.7931034482758"/>
    <n v="332.22591362126246"/>
    <n v="1693.6178714629395"/>
    <n v="689.65517241379314"/>
    <n v="16572.671371291101"/>
    <n v="2527.3286287088995"/>
    <n v="1910"/>
    <n v="1364.2857142857142"/>
  </r>
  <r>
    <d v="2024-02-27T00:00:00"/>
    <d v="2024-02-01T00:00:00"/>
    <x v="1"/>
    <x v="1"/>
    <n v="12"/>
    <n v="14"/>
    <x v="0"/>
    <n v="1404"/>
    <n v="16848"/>
    <n v="3706.56"/>
    <n v="7241.3793103448279"/>
    <n v="2413.7931034482758"/>
    <n v="398.67109634551491"/>
    <n v="1893.8145492038034"/>
    <n v="689.65517241379314"/>
    <n v="16343.873231756215"/>
    <n v="504.12676824378468"/>
    <n v="1404"/>
    <n v="1203.4285714285713"/>
  </r>
  <r>
    <d v="2024-02-28T00:00:00"/>
    <d v="2024-02-01T00:00:00"/>
    <x v="1"/>
    <x v="1"/>
    <n v="9"/>
    <n v="14"/>
    <x v="5"/>
    <n v="1777"/>
    <n v="15993"/>
    <n v="3518.46"/>
    <n v="7241.3793103448279"/>
    <n v="2413.7931034482758"/>
    <n v="299.00332225913621"/>
    <n v="1593.5195325925079"/>
    <n v="689.65517241379314"/>
    <n v="15755.81044105854"/>
    <n v="237.18955894145984"/>
    <n v="1777"/>
    <n v="1142.3571428571429"/>
  </r>
  <r>
    <d v="2024-02-29T00:00:00"/>
    <d v="2024-02-01T00:00:00"/>
    <x v="1"/>
    <x v="1"/>
    <n v="13"/>
    <n v="14"/>
    <x v="2"/>
    <n v="1192"/>
    <n v="15496"/>
    <n v="3409.12"/>
    <n v="7241.3793103448279"/>
    <n v="2413.7931034482758"/>
    <n v="431.89368770764116"/>
    <n v="1993.9128880742351"/>
    <n v="689.65517241379314"/>
    <n v="16179.754161988774"/>
    <n v="-683.75416198877429"/>
    <n v="1192"/>
    <n v="1106.8571428571429"/>
  </r>
  <r>
    <d v="2024-03-01T00:00:00"/>
    <d v="2024-03-01T00:00:00"/>
    <x v="2"/>
    <x v="1"/>
    <n v="10"/>
    <n v="14"/>
    <x v="4"/>
    <n v="1071"/>
    <n v="10710"/>
    <n v="2356.1999999999998"/>
    <n v="6774.1935483870966"/>
    <n v="2258.0645161290322"/>
    <n v="298.50746268656718"/>
    <n v="1640.5816080885893"/>
    <n v="645.16129032258061"/>
    <n v="13972.708425613866"/>
    <n v="-3262.708425613866"/>
    <n v="1071"/>
    <n v="765"/>
  </r>
  <r>
    <d v="2024-03-02T00:00:00"/>
    <d v="2024-03-01T00:00:00"/>
    <x v="2"/>
    <x v="1"/>
    <n v="12"/>
    <n v="14"/>
    <x v="0"/>
    <n v="1524"/>
    <n v="18288"/>
    <n v="4023.36"/>
    <n v="6774.1935483870966"/>
    <n v="2258.0645161290322"/>
    <n v="358.20895522388059"/>
    <n v="1831.2992200288877"/>
    <n v="645.16129032258061"/>
    <n v="15890.28753009148"/>
    <n v="2397.7124699085198"/>
    <n v="1524"/>
    <n v="1306.2857142857142"/>
  </r>
  <r>
    <d v="2024-03-03T00:00:00"/>
    <d v="2024-03-01T00:00:00"/>
    <x v="2"/>
    <x v="1"/>
    <n v="10"/>
    <n v="14"/>
    <x v="4"/>
    <n v="1072"/>
    <n v="10720"/>
    <n v="2358.4"/>
    <n v="6774.1935483870966"/>
    <n v="2258.0645161290322"/>
    <n v="298.50746268656718"/>
    <n v="1640.5816080885893"/>
    <n v="645.16129032258061"/>
    <n v="13974.908425613867"/>
    <n v="-3254.9084256138667"/>
    <n v="1072"/>
    <n v="765.71428571428567"/>
  </r>
  <r>
    <d v="2024-03-04T00:00:00"/>
    <d v="2024-03-01T00:00:00"/>
    <x v="2"/>
    <x v="1"/>
    <n v="10"/>
    <n v="14"/>
    <x v="4"/>
    <n v="1911"/>
    <n v="19110"/>
    <n v="4204.2"/>
    <n v="6774.1935483870966"/>
    <n v="2258.0645161290322"/>
    <n v="298.50746268656718"/>
    <n v="1640.5816080885893"/>
    <n v="645.16129032258061"/>
    <n v="15820.708425613866"/>
    <n v="3289.291574386134"/>
    <n v="1911"/>
    <n v="1365"/>
  </r>
  <r>
    <d v="2024-03-05T00:00:00"/>
    <d v="2024-03-01T00:00:00"/>
    <x v="2"/>
    <x v="1"/>
    <n v="10"/>
    <n v="14"/>
    <x v="4"/>
    <n v="1040"/>
    <n v="10400"/>
    <n v="2288"/>
    <n v="6774.1935483870966"/>
    <n v="2258.0645161290322"/>
    <n v="298.50746268656718"/>
    <n v="1640.5816080885893"/>
    <n v="645.16129032258061"/>
    <n v="13904.508425613867"/>
    <n v="-3504.5084256138671"/>
    <n v="1040"/>
    <n v="742.85714285714289"/>
  </r>
  <r>
    <d v="2024-03-06T00:00:00"/>
    <d v="2024-03-01T00:00:00"/>
    <x v="2"/>
    <x v="1"/>
    <n v="11"/>
    <n v="14"/>
    <x v="1"/>
    <n v="1439"/>
    <n v="15829"/>
    <n v="3482.38"/>
    <n v="6774.1935483870966"/>
    <n v="2258.0645161290322"/>
    <n v="328.35820895522392"/>
    <n v="1735.9404140587385"/>
    <n v="645.16129032258061"/>
    <n v="15224.097977852673"/>
    <n v="604.90202214732744"/>
    <n v="1439"/>
    <n v="1130.6428571428571"/>
  </r>
  <r>
    <d v="2024-03-07T00:00:00"/>
    <d v="2024-03-01T00:00:00"/>
    <x v="2"/>
    <x v="1"/>
    <n v="8"/>
    <n v="14"/>
    <x v="6"/>
    <n v="1194"/>
    <n v="9552"/>
    <n v="2101.44"/>
    <n v="6774.1935483870966"/>
    <n v="2258.0645161290322"/>
    <n v="238.80597014925374"/>
    <n v="1449.8639961482909"/>
    <n v="645.16129032258061"/>
    <n v="13467.529321136255"/>
    <n v="-3915.529321136255"/>
    <n v="1194"/>
    <n v="682.28571428571433"/>
  </r>
  <r>
    <d v="2024-03-08T00:00:00"/>
    <d v="2024-03-01T00:00:00"/>
    <x v="2"/>
    <x v="1"/>
    <n v="9"/>
    <n v="14"/>
    <x v="5"/>
    <n v="1470"/>
    <n v="13230"/>
    <n v="2910.6"/>
    <n v="6774.1935483870966"/>
    <n v="2258.0645161290322"/>
    <n v="268.65671641791045"/>
    <n v="1545.2228021184401"/>
    <n v="645.16129032258061"/>
    <n v="14401.898873375061"/>
    <n v="-1171.8988733750612"/>
    <n v="1470"/>
    <n v="945"/>
  </r>
  <r>
    <d v="2024-03-09T00:00:00"/>
    <d v="2024-03-01T00:00:00"/>
    <x v="2"/>
    <x v="1"/>
    <n v="11"/>
    <n v="14"/>
    <x v="1"/>
    <n v="1756"/>
    <n v="19316"/>
    <n v="4249.5200000000004"/>
    <n v="6774.1935483870966"/>
    <n v="2258.0645161290322"/>
    <n v="328.35820895522392"/>
    <n v="1735.9404140587385"/>
    <n v="645.16129032258061"/>
    <n v="15991.237977852672"/>
    <n v="3324.762022147328"/>
    <n v="1756"/>
    <n v="1379.7142857142858"/>
  </r>
  <r>
    <d v="2024-03-10T00:00:00"/>
    <d v="2024-03-01T00:00:00"/>
    <x v="2"/>
    <x v="1"/>
    <n v="14"/>
    <n v="14"/>
    <x v="3"/>
    <n v="1117"/>
    <n v="15638"/>
    <n v="3440.36"/>
    <n v="6774.1935483870966"/>
    <n v="2258.0645161290322"/>
    <n v="417.91044776119406"/>
    <n v="2022.0168319691863"/>
    <n v="645.16129032258061"/>
    <n v="15557.706634569091"/>
    <n v="80.293365430909034"/>
    <n v="1117"/>
    <n v="1117"/>
  </r>
  <r>
    <d v="2024-03-11T00:00:00"/>
    <d v="2024-03-01T00:00:00"/>
    <x v="2"/>
    <x v="1"/>
    <n v="14"/>
    <n v="14"/>
    <x v="3"/>
    <n v="1251"/>
    <n v="17514"/>
    <n v="3853.08"/>
    <n v="6774.1935483870966"/>
    <n v="2258.0645161290322"/>
    <n v="417.91044776119406"/>
    <n v="2022.0168319691863"/>
    <n v="645.16129032258061"/>
    <n v="15970.42663456909"/>
    <n v="1543.5733654309097"/>
    <n v="1251"/>
    <n v="1251"/>
  </r>
  <r>
    <d v="2024-03-12T00:00:00"/>
    <d v="2024-03-01T00:00:00"/>
    <x v="2"/>
    <x v="1"/>
    <n v="9"/>
    <n v="14"/>
    <x v="5"/>
    <n v="1165"/>
    <n v="10485"/>
    <n v="2306.6999999999998"/>
    <n v="6774.1935483870966"/>
    <n v="2258.0645161290322"/>
    <n v="268.65671641791045"/>
    <n v="1545.2228021184401"/>
    <n v="645.16129032258061"/>
    <n v="13797.99887337506"/>
    <n v="-3312.9988733750597"/>
    <n v="1165"/>
    <n v="748.92857142857144"/>
  </r>
  <r>
    <d v="2024-03-13T00:00:00"/>
    <d v="2024-03-01T00:00:00"/>
    <x v="2"/>
    <x v="1"/>
    <n v="9"/>
    <n v="14"/>
    <x v="5"/>
    <n v="1182"/>
    <n v="10638"/>
    <n v="2340.36"/>
    <n v="6774.1935483870966"/>
    <n v="2258.0645161290322"/>
    <n v="268.65671641791045"/>
    <n v="1545.2228021184401"/>
    <n v="645.16129032258061"/>
    <n v="13831.658873375061"/>
    <n v="-3193.6588733750614"/>
    <n v="1182"/>
    <n v="759.85714285714289"/>
  </r>
  <r>
    <d v="2024-03-14T00:00:00"/>
    <d v="2024-03-01T00:00:00"/>
    <x v="2"/>
    <x v="1"/>
    <n v="11"/>
    <n v="14"/>
    <x v="1"/>
    <n v="1828"/>
    <n v="20108"/>
    <n v="4423.76"/>
    <n v="6774.1935483870966"/>
    <n v="2258.0645161290322"/>
    <n v="328.35820895522392"/>
    <n v="1735.9404140587385"/>
    <n v="645.16129032258061"/>
    <n v="16165.477977852674"/>
    <n v="3942.5220221473264"/>
    <n v="1828"/>
    <n v="1436.2857142857142"/>
  </r>
  <r>
    <d v="2024-03-15T00:00:00"/>
    <d v="2024-03-01T00:00:00"/>
    <x v="2"/>
    <x v="1"/>
    <n v="9"/>
    <n v="14"/>
    <x v="5"/>
    <n v="1471"/>
    <n v="13239"/>
    <n v="2912.58"/>
    <n v="6774.1935483870966"/>
    <n v="2258.0645161290322"/>
    <n v="268.65671641791045"/>
    <n v="1545.2228021184401"/>
    <n v="645.16129032258061"/>
    <n v="14403.878873375061"/>
    <n v="-1164.8788733750607"/>
    <n v="1471"/>
    <n v="945.64285714285711"/>
  </r>
  <r>
    <d v="2024-03-16T00:00:00"/>
    <d v="2024-03-01T00:00:00"/>
    <x v="2"/>
    <x v="1"/>
    <n v="10"/>
    <n v="14"/>
    <x v="4"/>
    <n v="1259"/>
    <n v="12590"/>
    <n v="2769.8"/>
    <n v="6774.1935483870966"/>
    <n v="2258.0645161290322"/>
    <n v="298.50746268656718"/>
    <n v="1640.5816080885893"/>
    <n v="645.16129032258061"/>
    <n v="14386.308425613868"/>
    <n v="-1796.3084256138682"/>
    <n v="1259"/>
    <n v="899.28571428571433"/>
  </r>
  <r>
    <d v="2024-03-17T00:00:00"/>
    <d v="2024-03-01T00:00:00"/>
    <x v="2"/>
    <x v="1"/>
    <n v="13"/>
    <n v="14"/>
    <x v="2"/>
    <n v="1865"/>
    <n v="24245"/>
    <n v="5333.9"/>
    <n v="6774.1935483870966"/>
    <n v="2258.0645161290322"/>
    <n v="388.05970149253733"/>
    <n v="1926.6580259990369"/>
    <n v="645.16129032258061"/>
    <n v="17326.037082330284"/>
    <n v="6918.9629176697163"/>
    <n v="1865"/>
    <n v="1731.7857142857142"/>
  </r>
  <r>
    <d v="2024-03-18T00:00:00"/>
    <d v="2024-03-01T00:00:00"/>
    <x v="2"/>
    <x v="1"/>
    <n v="9"/>
    <n v="14"/>
    <x v="5"/>
    <n v="1549"/>
    <n v="13941"/>
    <n v="3067.02"/>
    <n v="6774.1935483870966"/>
    <n v="2258.0645161290322"/>
    <n v="268.65671641791045"/>
    <n v="1545.2228021184401"/>
    <n v="645.16129032258061"/>
    <n v="14558.318873375061"/>
    <n v="-617.31887337506123"/>
    <n v="1549"/>
    <n v="995.78571428571433"/>
  </r>
  <r>
    <d v="2024-03-19T00:00:00"/>
    <d v="2024-03-01T00:00:00"/>
    <x v="2"/>
    <x v="1"/>
    <n v="8"/>
    <n v="14"/>
    <x v="6"/>
    <n v="1559"/>
    <n v="12472"/>
    <n v="2743.84"/>
    <n v="6774.1935483870966"/>
    <n v="2258.0645161290322"/>
    <n v="238.80597014925374"/>
    <n v="1449.8639961482909"/>
    <n v="645.16129032258061"/>
    <n v="14109.929321136255"/>
    <n v="-1637.9293211362547"/>
    <n v="1559"/>
    <n v="890.85714285714289"/>
  </r>
  <r>
    <d v="2024-03-20T00:00:00"/>
    <d v="2024-03-01T00:00:00"/>
    <x v="2"/>
    <x v="1"/>
    <n v="8"/>
    <n v="14"/>
    <x v="6"/>
    <n v="1473"/>
    <n v="11784"/>
    <n v="2592.48"/>
    <n v="6774.1935483870966"/>
    <n v="2258.0645161290322"/>
    <n v="238.80597014925374"/>
    <n v="1449.8639961482909"/>
    <n v="645.16129032258061"/>
    <n v="13958.569321136254"/>
    <n v="-2174.5693211362541"/>
    <n v="1473"/>
    <n v="841.71428571428567"/>
  </r>
  <r>
    <d v="2024-03-21T00:00:00"/>
    <d v="2024-03-01T00:00:00"/>
    <x v="2"/>
    <x v="1"/>
    <n v="13"/>
    <n v="14"/>
    <x v="2"/>
    <n v="1192"/>
    <n v="15496"/>
    <n v="3409.12"/>
    <n v="6774.1935483870966"/>
    <n v="2258.0645161290322"/>
    <n v="388.05970149253733"/>
    <n v="1926.6580259990369"/>
    <n v="645.16129032258061"/>
    <n v="15401.257082330285"/>
    <n v="94.742917669715098"/>
    <n v="1192"/>
    <n v="1106.8571428571429"/>
  </r>
  <r>
    <d v="2024-03-22T00:00:00"/>
    <d v="2024-03-01T00:00:00"/>
    <x v="2"/>
    <x v="1"/>
    <n v="12"/>
    <n v="14"/>
    <x v="0"/>
    <n v="1370"/>
    <n v="16440"/>
    <n v="3616.8"/>
    <n v="6774.1935483870966"/>
    <n v="2258.0645161290322"/>
    <n v="358.20895522388059"/>
    <n v="1831.2992200288877"/>
    <n v="645.16129032258061"/>
    <n v="15483.727530091481"/>
    <n v="956.27246990851927"/>
    <n v="1370"/>
    <n v="1174.2857142857142"/>
  </r>
  <r>
    <d v="2024-03-23T00:00:00"/>
    <d v="2024-03-01T00:00:00"/>
    <x v="2"/>
    <x v="1"/>
    <n v="13"/>
    <n v="14"/>
    <x v="2"/>
    <n v="1578"/>
    <n v="20514"/>
    <n v="4513.08"/>
    <n v="6774.1935483870966"/>
    <n v="2258.0645161290322"/>
    <n v="388.05970149253733"/>
    <n v="1926.6580259990369"/>
    <n v="645.16129032258061"/>
    <n v="16505.217082330284"/>
    <n v="4008.782917669716"/>
    <n v="1578"/>
    <n v="1465.2857142857142"/>
  </r>
  <r>
    <d v="2024-03-24T00:00:00"/>
    <d v="2024-03-01T00:00:00"/>
    <x v="2"/>
    <x v="1"/>
    <n v="12"/>
    <n v="14"/>
    <x v="0"/>
    <n v="1831"/>
    <n v="21972"/>
    <n v="4833.84"/>
    <n v="6774.1935483870966"/>
    <n v="2258.0645161290322"/>
    <n v="358.20895522388059"/>
    <n v="1831.2992200288877"/>
    <n v="645.16129032258061"/>
    <n v="16700.767530091478"/>
    <n v="5271.232469908522"/>
    <n v="1831"/>
    <n v="1569.4285714285713"/>
  </r>
  <r>
    <d v="2024-03-25T00:00:00"/>
    <d v="2024-03-01T00:00:00"/>
    <x v="2"/>
    <x v="1"/>
    <n v="11"/>
    <n v="14"/>
    <x v="1"/>
    <n v="1889"/>
    <n v="20779"/>
    <n v="4571.38"/>
    <n v="6774.1935483870966"/>
    <n v="2258.0645161290322"/>
    <n v="328.35820895522392"/>
    <n v="1735.9404140587385"/>
    <n v="645.16129032258061"/>
    <n v="16313.097977852673"/>
    <n v="4465.9020221473274"/>
    <n v="1889"/>
    <n v="1484.2142857142858"/>
  </r>
  <r>
    <d v="2024-03-26T00:00:00"/>
    <d v="2024-03-01T00:00:00"/>
    <x v="2"/>
    <x v="1"/>
    <n v="13"/>
    <n v="14"/>
    <x v="2"/>
    <n v="1232"/>
    <n v="16016"/>
    <n v="3523.52"/>
    <n v="6774.1935483870966"/>
    <n v="2258.0645161290322"/>
    <n v="388.05970149253733"/>
    <n v="1926.6580259990369"/>
    <n v="645.16129032258061"/>
    <n v="15515.657082330285"/>
    <n v="500.34291766971546"/>
    <n v="1232"/>
    <n v="1144"/>
  </r>
  <r>
    <d v="2024-03-27T00:00:00"/>
    <d v="2024-03-01T00:00:00"/>
    <x v="2"/>
    <x v="1"/>
    <n v="11"/>
    <n v="14"/>
    <x v="1"/>
    <n v="1725"/>
    <n v="18975"/>
    <n v="4174.5"/>
    <n v="6774.1935483870966"/>
    <n v="2258.0645161290322"/>
    <n v="328.35820895522392"/>
    <n v="1735.9404140587385"/>
    <n v="645.16129032258061"/>
    <n v="15916.217977852672"/>
    <n v="3058.7820221473285"/>
    <n v="1725"/>
    <n v="1355.3571428571429"/>
  </r>
  <r>
    <d v="2024-03-28T00:00:00"/>
    <d v="2024-03-01T00:00:00"/>
    <x v="2"/>
    <x v="1"/>
    <n v="12"/>
    <n v="14"/>
    <x v="0"/>
    <n v="1421"/>
    <n v="17052"/>
    <n v="3751.44"/>
    <n v="6774.1935483870966"/>
    <n v="2258.0645161290322"/>
    <n v="358.20895522388059"/>
    <n v="1831.2992200288877"/>
    <n v="645.16129032258061"/>
    <n v="15618.36753009148"/>
    <n v="1433.6324699085199"/>
    <n v="1421"/>
    <n v="1218"/>
  </r>
  <r>
    <d v="2024-03-29T00:00:00"/>
    <d v="2024-03-01T00:00:00"/>
    <x v="2"/>
    <x v="1"/>
    <n v="14"/>
    <n v="14"/>
    <x v="3"/>
    <n v="1872"/>
    <n v="26208"/>
    <n v="5765.76"/>
    <n v="6774.1935483870966"/>
    <n v="2258.0645161290322"/>
    <n v="417.91044776119406"/>
    <n v="2022.0168319691863"/>
    <n v="645.16129032258061"/>
    <n v="17883.106634569089"/>
    <n v="8324.8933654309112"/>
    <n v="1872"/>
    <n v="1872"/>
  </r>
  <r>
    <d v="2024-03-30T00:00:00"/>
    <d v="2024-03-01T00:00:00"/>
    <x v="2"/>
    <x v="1"/>
    <n v="8"/>
    <n v="14"/>
    <x v="6"/>
    <n v="1638"/>
    <n v="13104"/>
    <n v="2882.88"/>
    <n v="6774.1935483870966"/>
    <n v="2258.0645161290322"/>
    <n v="238.80597014925374"/>
    <n v="1449.8639961482909"/>
    <n v="645.16129032258061"/>
    <n v="14248.969321136254"/>
    <n v="-1144.9693211362537"/>
    <n v="1638"/>
    <n v="936"/>
  </r>
  <r>
    <d v="2024-03-31T00:00:00"/>
    <d v="2024-03-01T00:00:00"/>
    <x v="2"/>
    <x v="1"/>
    <n v="11"/>
    <n v="14"/>
    <x v="1"/>
    <n v="1719"/>
    <n v="18909"/>
    <n v="4159.9800000000005"/>
    <n v="6774.1935483870966"/>
    <n v="2258.0645161290322"/>
    <n v="328.35820895522392"/>
    <n v="1735.9404140587385"/>
    <n v="645.16129032258061"/>
    <n v="15901.697977852675"/>
    <n v="3007.3020221473253"/>
    <n v="1719"/>
    <n v="1350.6428571428571"/>
  </r>
  <r>
    <d v="2024-04-01T00:00:00"/>
    <d v="2024-04-01T00:00:00"/>
    <x v="3"/>
    <x v="1"/>
    <n v="13"/>
    <n v="14"/>
    <x v="2"/>
    <n v="1691"/>
    <n v="21983"/>
    <n v="4836.26"/>
    <n v="8333.3333333333339"/>
    <n v="2333.3333333333335"/>
    <n v="392.7492447129909"/>
    <n v="1929.0424974823768"/>
    <n v="666.66666666666663"/>
    <n v="18491.385075528706"/>
    <n v="3491.6149244712942"/>
    <n v="1691"/>
    <n v="1570.2142857142858"/>
  </r>
  <r>
    <d v="2024-04-02T00:00:00"/>
    <d v="2024-04-01T00:00:00"/>
    <x v="3"/>
    <x v="1"/>
    <n v="12"/>
    <n v="14"/>
    <x v="0"/>
    <n v="1688"/>
    <n v="20256"/>
    <n v="4456.32"/>
    <n v="8333.3333333333339"/>
    <n v="2333.3333333333335"/>
    <n v="362.53776435045313"/>
    <n v="1834.2751258811682"/>
    <n v="666.66666666666663"/>
    <n v="17986.466223564956"/>
    <n v="2269.5337764350443"/>
    <n v="1688"/>
    <n v="1446.8571428571429"/>
  </r>
  <r>
    <d v="2024-04-03T00:00:00"/>
    <d v="2024-04-01T00:00:00"/>
    <x v="3"/>
    <x v="1"/>
    <n v="11"/>
    <n v="14"/>
    <x v="1"/>
    <n v="1579"/>
    <n v="17369"/>
    <n v="3821.18"/>
    <n v="8333.3333333333339"/>
    <n v="2333.3333333333335"/>
    <n v="332.32628398791542"/>
    <n v="1739.5077542799595"/>
    <n v="666.66666666666663"/>
    <n v="17226.347371601212"/>
    <n v="142.65262839878778"/>
    <n v="1579"/>
    <n v="1240.6428571428571"/>
  </r>
  <r>
    <d v="2024-04-04T00:00:00"/>
    <d v="2024-04-01T00:00:00"/>
    <x v="3"/>
    <x v="1"/>
    <n v="10"/>
    <n v="14"/>
    <x v="4"/>
    <n v="1211"/>
    <n v="12110"/>
    <n v="2664.2"/>
    <n v="8333.3333333333339"/>
    <n v="2333.3333333333335"/>
    <n v="302.11480362537765"/>
    <n v="1644.7403826787513"/>
    <n v="666.66666666666663"/>
    <n v="15944.388519637463"/>
    <n v="-3834.3885196374631"/>
    <n v="1211"/>
    <n v="865"/>
  </r>
  <r>
    <d v="2024-04-05T00:00:00"/>
    <d v="2024-04-01T00:00:00"/>
    <x v="3"/>
    <x v="1"/>
    <n v="10"/>
    <n v="14"/>
    <x v="4"/>
    <n v="1832"/>
    <n v="18320"/>
    <n v="4030.4"/>
    <n v="8333.3333333333339"/>
    <n v="2333.3333333333335"/>
    <n v="302.11480362537765"/>
    <n v="1644.7403826787513"/>
    <n v="666.66666666666663"/>
    <n v="17310.588519637466"/>
    <n v="1009.4114803625343"/>
    <n v="1832"/>
    <n v="1308.5714285714287"/>
  </r>
  <r>
    <d v="2024-04-06T00:00:00"/>
    <d v="2024-04-01T00:00:00"/>
    <x v="3"/>
    <x v="1"/>
    <n v="9"/>
    <n v="14"/>
    <x v="5"/>
    <n v="1834"/>
    <n v="16506"/>
    <n v="3631.32"/>
    <n v="8333.3333333333339"/>
    <n v="2333.3333333333335"/>
    <n v="271.90332326283988"/>
    <n v="1549.9730110775427"/>
    <n v="666.66666666666663"/>
    <n v="16786.529667673716"/>
    <n v="-280.52966767371618"/>
    <n v="1834"/>
    <n v="1179"/>
  </r>
  <r>
    <d v="2024-04-07T00:00:00"/>
    <d v="2024-04-01T00:00:00"/>
    <x v="3"/>
    <x v="1"/>
    <n v="9"/>
    <n v="14"/>
    <x v="5"/>
    <n v="1080"/>
    <n v="9720"/>
    <n v="2138.4"/>
    <n v="8333.3333333333339"/>
    <n v="2333.3333333333335"/>
    <n v="271.90332326283988"/>
    <n v="1549.9730110775427"/>
    <n v="666.66666666666663"/>
    <n v="15293.609667673716"/>
    <n v="-5573.6096676737161"/>
    <n v="1080"/>
    <n v="694.28571428571433"/>
  </r>
  <r>
    <d v="2024-04-08T00:00:00"/>
    <d v="2024-04-01T00:00:00"/>
    <x v="3"/>
    <x v="1"/>
    <n v="8"/>
    <n v="14"/>
    <x v="6"/>
    <n v="1673"/>
    <n v="13384"/>
    <n v="2944.48"/>
    <n v="8333.3333333333339"/>
    <n v="2333.3333333333335"/>
    <n v="241.69184290030211"/>
    <n v="1455.2056394763345"/>
    <n v="666.66666666666663"/>
    <n v="15974.71081570997"/>
    <n v="-2590.7108157099701"/>
    <n v="1673"/>
    <n v="956"/>
  </r>
  <r>
    <d v="2024-04-09T00:00:00"/>
    <d v="2024-04-01T00:00:00"/>
    <x v="3"/>
    <x v="1"/>
    <n v="12"/>
    <n v="14"/>
    <x v="0"/>
    <n v="1175"/>
    <n v="14100"/>
    <n v="3102"/>
    <n v="8333.3333333333339"/>
    <n v="2333.3333333333335"/>
    <n v="362.53776435045313"/>
    <n v="1834.2751258811682"/>
    <n v="666.66666666666663"/>
    <n v="16632.146223564956"/>
    <n v="-2532.146223564956"/>
    <n v="1175"/>
    <n v="1007.1428571428571"/>
  </r>
  <r>
    <d v="2024-04-10T00:00:00"/>
    <d v="2024-04-01T00:00:00"/>
    <x v="3"/>
    <x v="1"/>
    <n v="12"/>
    <n v="14"/>
    <x v="0"/>
    <n v="1177"/>
    <n v="14124"/>
    <n v="3107.28"/>
    <n v="8333.3333333333339"/>
    <n v="2333.3333333333335"/>
    <n v="362.53776435045313"/>
    <n v="1834.2751258811682"/>
    <n v="666.66666666666663"/>
    <n v="16637.426223564955"/>
    <n v="-2513.4262235649549"/>
    <n v="1177"/>
    <n v="1008.8571428571429"/>
  </r>
  <r>
    <d v="2024-04-11T00:00:00"/>
    <d v="2024-04-01T00:00:00"/>
    <x v="3"/>
    <x v="1"/>
    <n v="13"/>
    <n v="14"/>
    <x v="2"/>
    <n v="1492"/>
    <n v="19396"/>
    <n v="4267.12"/>
    <n v="8333.3333333333339"/>
    <n v="2333.3333333333335"/>
    <n v="392.7492447129909"/>
    <n v="1929.0424974823768"/>
    <n v="666.66666666666663"/>
    <n v="17922.245075528706"/>
    <n v="1473.7549244712936"/>
    <n v="1492"/>
    <n v="1385.4285714285713"/>
  </r>
  <r>
    <d v="2024-04-12T00:00:00"/>
    <d v="2024-04-01T00:00:00"/>
    <x v="3"/>
    <x v="1"/>
    <n v="11"/>
    <n v="14"/>
    <x v="1"/>
    <n v="1053"/>
    <n v="11583"/>
    <n v="2548.2600000000002"/>
    <n v="8333.3333333333339"/>
    <n v="2333.3333333333335"/>
    <n v="332.32628398791542"/>
    <n v="1739.5077542799595"/>
    <n v="666.66666666666663"/>
    <n v="15953.427371601209"/>
    <n v="-4370.4273716012085"/>
    <n v="1053"/>
    <n v="827.35714285714289"/>
  </r>
  <r>
    <d v="2024-04-13T00:00:00"/>
    <d v="2024-04-01T00:00:00"/>
    <x v="3"/>
    <x v="1"/>
    <n v="11"/>
    <n v="14"/>
    <x v="1"/>
    <n v="1200"/>
    <n v="13200"/>
    <n v="2904"/>
    <n v="8333.3333333333339"/>
    <n v="2333.3333333333335"/>
    <n v="332.32628398791542"/>
    <n v="1739.5077542799595"/>
    <n v="666.66666666666663"/>
    <n v="16309.167371601208"/>
    <n v="-3109.1673716012083"/>
    <n v="1200"/>
    <n v="942.85714285714289"/>
  </r>
  <r>
    <d v="2024-04-14T00:00:00"/>
    <d v="2024-04-01T00:00:00"/>
    <x v="3"/>
    <x v="1"/>
    <n v="13"/>
    <n v="14"/>
    <x v="2"/>
    <n v="1472"/>
    <n v="19136"/>
    <n v="4209.92"/>
    <n v="8333.3333333333339"/>
    <n v="2333.3333333333335"/>
    <n v="392.7492447129909"/>
    <n v="1929.0424974823768"/>
    <n v="666.66666666666663"/>
    <n v="17865.045075528706"/>
    <n v="1270.9549244712944"/>
    <n v="1472"/>
    <n v="1366.8571428571429"/>
  </r>
  <r>
    <d v="2024-04-15T00:00:00"/>
    <d v="2024-04-01T00:00:00"/>
    <x v="3"/>
    <x v="1"/>
    <n v="13"/>
    <n v="14"/>
    <x v="2"/>
    <n v="1897"/>
    <n v="24661"/>
    <n v="5425.42"/>
    <n v="8333.3333333333339"/>
    <n v="2333.3333333333335"/>
    <n v="392.7492447129909"/>
    <n v="1929.0424974823768"/>
    <n v="666.66666666666663"/>
    <n v="19080.545075528702"/>
    <n v="5580.454924471298"/>
    <n v="1897"/>
    <n v="1761.5"/>
  </r>
  <r>
    <d v="2024-04-16T00:00:00"/>
    <d v="2024-04-01T00:00:00"/>
    <x v="3"/>
    <x v="1"/>
    <n v="13"/>
    <n v="14"/>
    <x v="2"/>
    <n v="1910"/>
    <n v="24830"/>
    <n v="5462.6"/>
    <n v="8333.3333333333339"/>
    <n v="2333.3333333333335"/>
    <n v="392.7492447129909"/>
    <n v="1929.0424974823768"/>
    <n v="666.66666666666663"/>
    <n v="19117.725075528702"/>
    <n v="5712.2749244712977"/>
    <n v="1910"/>
    <n v="1773.5714285714287"/>
  </r>
  <r>
    <d v="2024-04-17T00:00:00"/>
    <d v="2024-04-01T00:00:00"/>
    <x v="3"/>
    <x v="1"/>
    <n v="8"/>
    <n v="14"/>
    <x v="6"/>
    <n v="1394"/>
    <n v="11152"/>
    <n v="2453.44"/>
    <n v="8333.3333333333339"/>
    <n v="2333.3333333333335"/>
    <n v="241.69184290030211"/>
    <n v="1455.2056394763345"/>
    <n v="666.66666666666663"/>
    <n v="15483.670815709971"/>
    <n v="-4331.6708157099711"/>
    <n v="1394"/>
    <n v="796.57142857142856"/>
  </r>
  <r>
    <d v="2024-04-18T00:00:00"/>
    <d v="2024-04-01T00:00:00"/>
    <x v="3"/>
    <x v="1"/>
    <n v="14"/>
    <n v="14"/>
    <x v="3"/>
    <n v="1367"/>
    <n v="19138"/>
    <n v="4210.3599999999997"/>
    <n v="8333.3333333333339"/>
    <n v="2333.3333333333335"/>
    <n v="422.96072507552867"/>
    <n v="2023.809869083585"/>
    <n v="666.66666666666663"/>
    <n v="17990.463927492448"/>
    <n v="1147.5360725075516"/>
    <n v="1367"/>
    <n v="1367"/>
  </r>
  <r>
    <d v="2024-04-19T00:00:00"/>
    <d v="2024-04-01T00:00:00"/>
    <x v="3"/>
    <x v="1"/>
    <n v="12"/>
    <n v="14"/>
    <x v="0"/>
    <n v="1444"/>
    <n v="17328"/>
    <n v="3812.16"/>
    <n v="8333.3333333333339"/>
    <n v="2333.3333333333335"/>
    <n v="362.53776435045313"/>
    <n v="1834.2751258811682"/>
    <n v="666.66666666666663"/>
    <n v="17342.306223564956"/>
    <n v="-14.306223564955872"/>
    <n v="1444"/>
    <n v="1237.7142857142858"/>
  </r>
  <r>
    <d v="2024-04-20T00:00:00"/>
    <d v="2024-04-01T00:00:00"/>
    <x v="3"/>
    <x v="1"/>
    <n v="11"/>
    <n v="14"/>
    <x v="1"/>
    <n v="1757"/>
    <n v="19327"/>
    <n v="4251.9399999999996"/>
    <n v="8333.3333333333339"/>
    <n v="2333.3333333333335"/>
    <n v="332.32628398791542"/>
    <n v="1739.5077542799595"/>
    <n v="666.66666666666663"/>
    <n v="17657.107371601211"/>
    <n v="1669.8926283987894"/>
    <n v="1757"/>
    <n v="1380.5"/>
  </r>
  <r>
    <d v="2024-04-21T00:00:00"/>
    <d v="2024-04-01T00:00:00"/>
    <x v="3"/>
    <x v="1"/>
    <n v="11"/>
    <n v="14"/>
    <x v="1"/>
    <n v="1055"/>
    <n v="11605"/>
    <n v="2553.1"/>
    <n v="8333.3333333333339"/>
    <n v="2333.3333333333335"/>
    <n v="332.32628398791542"/>
    <n v="1739.5077542799595"/>
    <n v="666.66666666666663"/>
    <n v="15958.267371601209"/>
    <n v="-4353.2673716012087"/>
    <n v="1055"/>
    <n v="828.92857142857144"/>
  </r>
  <r>
    <d v="2024-04-22T00:00:00"/>
    <d v="2024-04-01T00:00:00"/>
    <x v="3"/>
    <x v="1"/>
    <n v="9"/>
    <n v="14"/>
    <x v="5"/>
    <n v="1743"/>
    <n v="15687"/>
    <n v="3451.14"/>
    <n v="8333.3333333333339"/>
    <n v="2333.3333333333335"/>
    <n v="271.90332326283988"/>
    <n v="1549.9730110775427"/>
    <n v="666.66666666666663"/>
    <n v="16606.349667673716"/>
    <n v="-919.34966767371589"/>
    <n v="1743"/>
    <n v="1120.5"/>
  </r>
  <r>
    <d v="2024-04-23T00:00:00"/>
    <d v="2024-04-01T00:00:00"/>
    <x v="3"/>
    <x v="1"/>
    <n v="8"/>
    <n v="14"/>
    <x v="6"/>
    <n v="1370"/>
    <n v="10960"/>
    <n v="2411.1999999999998"/>
    <n v="8333.3333333333339"/>
    <n v="2333.3333333333335"/>
    <n v="241.69184290030211"/>
    <n v="1455.2056394763345"/>
    <n v="666.66666666666663"/>
    <n v="15441.430815709969"/>
    <n v="-4481.4308157099695"/>
    <n v="1370"/>
    <n v="782.85714285714289"/>
  </r>
  <r>
    <d v="2024-04-24T00:00:00"/>
    <d v="2024-04-01T00:00:00"/>
    <x v="3"/>
    <x v="1"/>
    <n v="10"/>
    <n v="14"/>
    <x v="4"/>
    <n v="1413"/>
    <n v="14130"/>
    <n v="3108.6"/>
    <n v="8333.3333333333339"/>
    <n v="2333.3333333333335"/>
    <n v="302.11480362537765"/>
    <n v="1644.7403826787513"/>
    <n v="666.66666666666663"/>
    <n v="16388.788519637466"/>
    <n v="-2258.7885196374664"/>
    <n v="1413"/>
    <n v="1009.2857142857143"/>
  </r>
  <r>
    <d v="2024-04-25T00:00:00"/>
    <d v="2024-04-01T00:00:00"/>
    <x v="3"/>
    <x v="1"/>
    <n v="9"/>
    <n v="14"/>
    <x v="5"/>
    <n v="1990"/>
    <n v="17910"/>
    <n v="3940.2"/>
    <n v="8333.3333333333339"/>
    <n v="2333.3333333333335"/>
    <n v="271.90332326283988"/>
    <n v="1549.9730110775427"/>
    <n v="666.66666666666663"/>
    <n v="17095.409667673717"/>
    <n v="814.59033232628281"/>
    <n v="1990"/>
    <n v="1279.2857142857142"/>
  </r>
  <r>
    <d v="2024-04-26T00:00:00"/>
    <d v="2024-04-01T00:00:00"/>
    <x v="3"/>
    <x v="1"/>
    <n v="9"/>
    <n v="14"/>
    <x v="5"/>
    <n v="1748"/>
    <n v="15732"/>
    <n v="3461.04"/>
    <n v="8333.3333333333339"/>
    <n v="2333.3333333333335"/>
    <n v="271.90332326283988"/>
    <n v="1549.9730110775427"/>
    <n v="666.66666666666663"/>
    <n v="16616.249667673717"/>
    <n v="-884.24966767371734"/>
    <n v="1748"/>
    <n v="1123.7142857142858"/>
  </r>
  <r>
    <d v="2024-04-27T00:00:00"/>
    <d v="2024-04-01T00:00:00"/>
    <x v="3"/>
    <x v="1"/>
    <n v="12"/>
    <n v="14"/>
    <x v="0"/>
    <n v="1821"/>
    <n v="21852"/>
    <n v="4807.4399999999996"/>
    <n v="8333.3333333333339"/>
    <n v="2333.3333333333335"/>
    <n v="362.53776435045313"/>
    <n v="1834.2751258811682"/>
    <n v="666.66666666666663"/>
    <n v="18337.586223564958"/>
    <n v="3514.4137764350417"/>
    <n v="1821"/>
    <n v="1560.8571428571429"/>
  </r>
  <r>
    <d v="2024-04-28T00:00:00"/>
    <d v="2024-04-01T00:00:00"/>
    <x v="3"/>
    <x v="1"/>
    <n v="10"/>
    <n v="14"/>
    <x v="4"/>
    <n v="1847"/>
    <n v="18470"/>
    <n v="4063.4"/>
    <n v="8333.3333333333339"/>
    <n v="2333.3333333333335"/>
    <n v="302.11480362537765"/>
    <n v="1644.7403826787513"/>
    <n v="666.66666666666663"/>
    <n v="17343.588519637466"/>
    <n v="1126.4114803625343"/>
    <n v="1847"/>
    <n v="1319.2857142857142"/>
  </r>
  <r>
    <d v="2024-04-29T00:00:00"/>
    <d v="2024-04-01T00:00:00"/>
    <x v="3"/>
    <x v="1"/>
    <n v="14"/>
    <n v="14"/>
    <x v="3"/>
    <n v="1097"/>
    <n v="15358"/>
    <n v="3378.76"/>
    <n v="8333.3333333333339"/>
    <n v="2333.3333333333335"/>
    <n v="422.96072507552867"/>
    <n v="2023.809869083585"/>
    <n v="666.66666666666663"/>
    <n v="17158.86392749245"/>
    <n v="-1800.8639274924499"/>
    <n v="1097"/>
    <n v="1097"/>
  </r>
  <r>
    <d v="2024-04-30T00:00:00"/>
    <d v="2024-04-01T00:00:00"/>
    <x v="3"/>
    <x v="1"/>
    <n v="14"/>
    <n v="14"/>
    <x v="3"/>
    <n v="1602"/>
    <n v="22428"/>
    <n v="4934.16"/>
    <n v="8333.3333333333339"/>
    <n v="2333.3333333333335"/>
    <n v="422.96072507552867"/>
    <n v="2023.809869083585"/>
    <n v="666.66666666666663"/>
    <n v="18714.263927492448"/>
    <n v="3713.7360725075523"/>
    <n v="1602"/>
    <n v="1602"/>
  </r>
  <r>
    <d v="2024-05-01T00:00:00"/>
    <d v="2024-05-01T00:00:00"/>
    <x v="4"/>
    <x v="1"/>
    <n v="13"/>
    <n v="14"/>
    <x v="2"/>
    <n v="1419"/>
    <n v="18447"/>
    <n v="4058.34"/>
    <n v="8064.5161290322585"/>
    <n v="2258.0645161290322"/>
    <n v="398.77300613496931"/>
    <n v="2025.6283396002375"/>
    <n v="645.16129032258061"/>
    <n v="17450.483281219076"/>
    <n v="996.51671878092384"/>
    <n v="1419"/>
    <n v="1317.6428571428571"/>
  </r>
  <r>
    <d v="2024-05-02T00:00:00"/>
    <d v="2024-05-01T00:00:00"/>
    <x v="4"/>
    <x v="1"/>
    <n v="8"/>
    <n v="14"/>
    <x v="6"/>
    <n v="1379"/>
    <n v="11032"/>
    <n v="2427.04"/>
    <n v="8064.5161290322585"/>
    <n v="2258.0645161290322"/>
    <n v="245.39877300613497"/>
    <n v="1519.4933702750841"/>
    <n v="645.16129032258061"/>
    <n v="15159.674078765091"/>
    <n v="-4127.6740787650906"/>
    <n v="1379"/>
    <n v="788"/>
  </r>
  <r>
    <d v="2024-05-03T00:00:00"/>
    <d v="2024-05-01T00:00:00"/>
    <x v="4"/>
    <x v="1"/>
    <n v="9"/>
    <n v="14"/>
    <x v="5"/>
    <n v="1836"/>
    <n v="16524"/>
    <n v="3635.28"/>
    <n v="8064.5161290322585"/>
    <n v="2258.0645161290322"/>
    <n v="276.07361963190186"/>
    <n v="1620.7203641401147"/>
    <n v="645.16129032258061"/>
    <n v="16499.815919255885"/>
    <n v="24.184080744114908"/>
    <n v="1836"/>
    <n v="1180.2857142857142"/>
  </r>
  <r>
    <d v="2024-05-04T00:00:00"/>
    <d v="2024-05-01T00:00:00"/>
    <x v="4"/>
    <x v="1"/>
    <n v="10"/>
    <n v="14"/>
    <x v="4"/>
    <n v="1227"/>
    <n v="12270"/>
    <n v="2699.4"/>
    <n v="8064.5161290322585"/>
    <n v="2258.0645161290322"/>
    <n v="306.74846625766872"/>
    <n v="1721.9473580051456"/>
    <n v="645.16129032258061"/>
    <n v="15695.837759746686"/>
    <n v="-3425.8377597466861"/>
    <n v="1227"/>
    <n v="876.42857142857144"/>
  </r>
  <r>
    <d v="2024-05-05T00:00:00"/>
    <d v="2024-05-01T00:00:00"/>
    <x v="4"/>
    <x v="1"/>
    <n v="11"/>
    <n v="14"/>
    <x v="1"/>
    <n v="1470"/>
    <n v="16170"/>
    <n v="3557.4"/>
    <n v="8064.5161290322585"/>
    <n v="2258.0645161290322"/>
    <n v="337.42331288343559"/>
    <n v="1823.1743518701762"/>
    <n v="645.16129032258061"/>
    <n v="16685.739600237484"/>
    <n v="-515.73960023748441"/>
    <n v="1470"/>
    <n v="1155"/>
  </r>
  <r>
    <d v="2024-05-06T00:00:00"/>
    <d v="2024-05-01T00:00:00"/>
    <x v="4"/>
    <x v="1"/>
    <n v="12"/>
    <n v="14"/>
    <x v="0"/>
    <n v="1319"/>
    <n v="15828"/>
    <n v="3482.16"/>
    <n v="8064.5161290322585"/>
    <n v="2258.0645161290322"/>
    <n v="368.09815950920245"/>
    <n v="1924.4013457352069"/>
    <n v="645.16129032258061"/>
    <n v="16742.401440728278"/>
    <n v="-914.40144072827752"/>
    <n v="1319"/>
    <n v="1130.5714285714287"/>
  </r>
  <r>
    <d v="2024-05-07T00:00:00"/>
    <d v="2024-05-01T00:00:00"/>
    <x v="4"/>
    <x v="1"/>
    <n v="14"/>
    <n v="14"/>
    <x v="3"/>
    <n v="1359"/>
    <n v="19026"/>
    <n v="4185.72"/>
    <n v="8064.5161290322585"/>
    <n v="2258.0645161290322"/>
    <n v="429.44785276073623"/>
    <n v="2126.8553334652684"/>
    <n v="645.16129032258061"/>
    <n v="17709.765121709876"/>
    <n v="1316.2348782901245"/>
    <n v="1359"/>
    <n v="1359"/>
  </r>
  <r>
    <d v="2024-05-08T00:00:00"/>
    <d v="2024-05-01T00:00:00"/>
    <x v="4"/>
    <x v="1"/>
    <n v="9"/>
    <n v="14"/>
    <x v="5"/>
    <n v="1193"/>
    <n v="10737"/>
    <n v="2362.14"/>
    <n v="8064.5161290322585"/>
    <n v="2258.0645161290322"/>
    <n v="276.07361963190186"/>
    <n v="1620.7203641401147"/>
    <n v="645.16129032258061"/>
    <n v="15226.675919255887"/>
    <n v="-4489.6759192558875"/>
    <n v="1193"/>
    <n v="766.92857142857144"/>
  </r>
  <r>
    <d v="2024-05-09T00:00:00"/>
    <d v="2024-05-01T00:00:00"/>
    <x v="4"/>
    <x v="1"/>
    <n v="9"/>
    <n v="14"/>
    <x v="5"/>
    <n v="1689"/>
    <n v="15201"/>
    <n v="3344.22"/>
    <n v="8064.5161290322585"/>
    <n v="2258.0645161290322"/>
    <n v="276.07361963190186"/>
    <n v="1620.7203641401147"/>
    <n v="645.16129032258061"/>
    <n v="16208.755919255889"/>
    <n v="-1007.7559192558892"/>
    <n v="1689"/>
    <n v="1085.7857142857142"/>
  </r>
  <r>
    <d v="2024-05-10T00:00:00"/>
    <d v="2024-05-01T00:00:00"/>
    <x v="4"/>
    <x v="1"/>
    <n v="14"/>
    <n v="14"/>
    <x v="3"/>
    <n v="1583"/>
    <n v="22162"/>
    <n v="4875.6400000000003"/>
    <n v="8064.5161290322585"/>
    <n v="2258.0645161290322"/>
    <n v="429.44785276073623"/>
    <n v="2126.8553334652684"/>
    <n v="645.16129032258061"/>
    <n v="18399.685121709877"/>
    <n v="3762.3148782901226"/>
    <n v="1583"/>
    <n v="1583"/>
  </r>
  <r>
    <d v="2024-05-11T00:00:00"/>
    <d v="2024-05-01T00:00:00"/>
    <x v="4"/>
    <x v="1"/>
    <n v="9"/>
    <n v="14"/>
    <x v="5"/>
    <n v="1094"/>
    <n v="9846"/>
    <n v="2166.12"/>
    <n v="8064.5161290322585"/>
    <n v="2258.0645161290322"/>
    <n v="276.07361963190186"/>
    <n v="1620.7203641401147"/>
    <n v="645.16129032258061"/>
    <n v="15030.655919255887"/>
    <n v="-5184.6559192558871"/>
    <n v="1094"/>
    <n v="703.28571428571433"/>
  </r>
  <r>
    <d v="2024-05-12T00:00:00"/>
    <d v="2024-05-01T00:00:00"/>
    <x v="4"/>
    <x v="1"/>
    <n v="9"/>
    <n v="14"/>
    <x v="5"/>
    <n v="1436"/>
    <n v="12924"/>
    <n v="2843.28"/>
    <n v="8064.5161290322585"/>
    <n v="2258.0645161290322"/>
    <n v="276.07361963190186"/>
    <n v="1620.7203641401147"/>
    <n v="645.16129032258061"/>
    <n v="15707.815919255887"/>
    <n v="-2783.8159192558869"/>
    <n v="1436"/>
    <n v="923.14285714285711"/>
  </r>
  <r>
    <d v="2024-05-13T00:00:00"/>
    <d v="2024-05-01T00:00:00"/>
    <x v="4"/>
    <x v="1"/>
    <n v="13"/>
    <n v="14"/>
    <x v="2"/>
    <n v="1841"/>
    <n v="23933"/>
    <n v="5265.26"/>
    <n v="8064.5161290322585"/>
    <n v="2258.0645161290322"/>
    <n v="398.77300613496931"/>
    <n v="2025.6283396002375"/>
    <n v="645.16129032258061"/>
    <n v="18657.403281219078"/>
    <n v="5275.5967187809219"/>
    <n v="1841"/>
    <n v="1709.5"/>
  </r>
  <r>
    <d v="2024-05-14T00:00:00"/>
    <d v="2024-05-01T00:00:00"/>
    <x v="4"/>
    <x v="1"/>
    <n v="9"/>
    <n v="14"/>
    <x v="5"/>
    <n v="1181"/>
    <n v="10629"/>
    <n v="2338.38"/>
    <n v="8064.5161290322585"/>
    <n v="2258.0645161290322"/>
    <n v="276.07361963190186"/>
    <n v="1620.7203641401147"/>
    <n v="645.16129032258061"/>
    <n v="15202.915919255889"/>
    <n v="-4573.9159192558891"/>
    <n v="1181"/>
    <n v="759.21428571428567"/>
  </r>
  <r>
    <d v="2024-05-15T00:00:00"/>
    <d v="2024-05-01T00:00:00"/>
    <x v="4"/>
    <x v="1"/>
    <n v="11"/>
    <n v="14"/>
    <x v="1"/>
    <n v="1941"/>
    <n v="21351"/>
    <n v="4697.22"/>
    <n v="8064.5161290322585"/>
    <n v="2258.0645161290322"/>
    <n v="337.42331288343559"/>
    <n v="1823.1743518701762"/>
    <n v="645.16129032258061"/>
    <n v="17825.55960023748"/>
    <n v="3525.4403997625195"/>
    <n v="1941"/>
    <n v="1525.0714285714287"/>
  </r>
  <r>
    <d v="2024-05-16T00:00:00"/>
    <d v="2024-05-01T00:00:00"/>
    <x v="4"/>
    <x v="1"/>
    <n v="11"/>
    <n v="14"/>
    <x v="1"/>
    <n v="1357"/>
    <n v="14927"/>
    <n v="3283.94"/>
    <n v="8064.5161290322585"/>
    <n v="2258.0645161290322"/>
    <n v="337.42331288343559"/>
    <n v="1823.1743518701762"/>
    <n v="645.16129032258061"/>
    <n v="16412.279600237482"/>
    <n v="-1485.2796002374816"/>
    <n v="1357"/>
    <n v="1066.2142857142858"/>
  </r>
  <r>
    <d v="2024-05-17T00:00:00"/>
    <d v="2024-05-01T00:00:00"/>
    <x v="4"/>
    <x v="1"/>
    <n v="9"/>
    <n v="14"/>
    <x v="5"/>
    <n v="1121"/>
    <n v="10089"/>
    <n v="2219.58"/>
    <n v="8064.5161290322585"/>
    <n v="2258.0645161290322"/>
    <n v="276.07361963190186"/>
    <n v="1620.7203641401147"/>
    <n v="645.16129032258061"/>
    <n v="15084.11591925589"/>
    <n v="-4995.1159192558898"/>
    <n v="1121"/>
    <n v="720.64285714285711"/>
  </r>
  <r>
    <d v="2024-05-18T00:00:00"/>
    <d v="2024-05-01T00:00:00"/>
    <x v="4"/>
    <x v="1"/>
    <n v="8"/>
    <n v="14"/>
    <x v="6"/>
    <n v="1790"/>
    <n v="14320"/>
    <n v="3150.4"/>
    <n v="8064.5161290322585"/>
    <n v="2258.0645161290322"/>
    <n v="245.39877300613497"/>
    <n v="1519.4933702750841"/>
    <n v="645.16129032258061"/>
    <n v="15883.034078765091"/>
    <n v="-1563.0340787650912"/>
    <n v="1790"/>
    <n v="1022.8571428571429"/>
  </r>
  <r>
    <d v="2024-05-19T00:00:00"/>
    <d v="2024-05-01T00:00:00"/>
    <x v="4"/>
    <x v="1"/>
    <n v="14"/>
    <n v="14"/>
    <x v="3"/>
    <n v="1889"/>
    <n v="26446"/>
    <n v="5818.12"/>
    <n v="8064.5161290322585"/>
    <n v="2258.0645161290322"/>
    <n v="429.44785276073623"/>
    <n v="2126.8553334652684"/>
    <n v="645.16129032258061"/>
    <n v="19342.165121709873"/>
    <n v="7103.8348782901267"/>
    <n v="1889"/>
    <n v="1889"/>
  </r>
  <r>
    <d v="2024-05-20T00:00:00"/>
    <d v="2024-05-01T00:00:00"/>
    <x v="4"/>
    <x v="1"/>
    <n v="11"/>
    <n v="14"/>
    <x v="1"/>
    <n v="1711"/>
    <n v="18821"/>
    <n v="4140.62"/>
    <n v="8064.5161290322585"/>
    <n v="2258.0645161290322"/>
    <n v="337.42331288343559"/>
    <n v="1823.1743518701762"/>
    <n v="645.16129032258061"/>
    <n v="17268.959600237482"/>
    <n v="1552.0403997625181"/>
    <n v="1711"/>
    <n v="1344.3571428571429"/>
  </r>
  <r>
    <d v="2024-05-21T00:00:00"/>
    <d v="2024-05-01T00:00:00"/>
    <x v="4"/>
    <x v="1"/>
    <n v="11"/>
    <n v="14"/>
    <x v="1"/>
    <n v="1454"/>
    <n v="15994"/>
    <n v="3518.68"/>
    <n v="8064.5161290322585"/>
    <n v="2258.0645161290322"/>
    <n v="337.42331288343559"/>
    <n v="1823.1743518701762"/>
    <n v="645.16129032258061"/>
    <n v="16647.019600237483"/>
    <n v="-653.01960023748325"/>
    <n v="1454"/>
    <n v="1142.4285714285713"/>
  </r>
  <r>
    <d v="2024-05-22T00:00:00"/>
    <d v="2024-05-01T00:00:00"/>
    <x v="4"/>
    <x v="1"/>
    <n v="10"/>
    <n v="14"/>
    <x v="4"/>
    <n v="1235"/>
    <n v="12350"/>
    <n v="2717"/>
    <n v="8064.5161290322585"/>
    <n v="2258.0645161290322"/>
    <n v="306.74846625766872"/>
    <n v="1721.9473580051456"/>
    <n v="645.16129032258061"/>
    <n v="15713.437759746685"/>
    <n v="-3363.4377597466846"/>
    <n v="1235"/>
    <n v="882.14285714285711"/>
  </r>
  <r>
    <d v="2024-05-23T00:00:00"/>
    <d v="2024-05-01T00:00:00"/>
    <x v="4"/>
    <x v="1"/>
    <n v="8"/>
    <n v="14"/>
    <x v="6"/>
    <n v="1626"/>
    <n v="13008"/>
    <n v="2861.76"/>
    <n v="8064.5161290322585"/>
    <n v="2258.0645161290322"/>
    <n v="245.39877300613497"/>
    <n v="1519.4933702750841"/>
    <n v="645.16129032258061"/>
    <n v="15594.394078765092"/>
    <n v="-2586.3940787650918"/>
    <n v="1626"/>
    <n v="929.14285714285711"/>
  </r>
  <r>
    <d v="2024-05-24T00:00:00"/>
    <d v="2024-05-01T00:00:00"/>
    <x v="4"/>
    <x v="1"/>
    <n v="11"/>
    <n v="14"/>
    <x v="1"/>
    <n v="1564"/>
    <n v="17204"/>
    <n v="3784.88"/>
    <n v="8064.5161290322585"/>
    <n v="2258.0645161290322"/>
    <n v="337.42331288343559"/>
    <n v="1823.1743518701762"/>
    <n v="645.16129032258061"/>
    <n v="16913.219600237484"/>
    <n v="290.78039976251603"/>
    <n v="1564"/>
    <n v="1228.8571428571429"/>
  </r>
  <r>
    <d v="2024-05-25T00:00:00"/>
    <d v="2024-05-01T00:00:00"/>
    <x v="4"/>
    <x v="1"/>
    <n v="12"/>
    <n v="14"/>
    <x v="0"/>
    <n v="1172"/>
    <n v="14064"/>
    <n v="3094.08"/>
    <n v="8064.5161290322585"/>
    <n v="2258.0645161290322"/>
    <n v="368.09815950920245"/>
    <n v="1924.4013457352069"/>
    <n v="645.16129032258061"/>
    <n v="16354.321440728281"/>
    <n v="-2290.3214407282812"/>
    <n v="1172"/>
    <n v="1004.5714285714286"/>
  </r>
  <r>
    <d v="2024-05-26T00:00:00"/>
    <d v="2024-05-01T00:00:00"/>
    <x v="4"/>
    <x v="1"/>
    <n v="8"/>
    <n v="14"/>
    <x v="6"/>
    <n v="1477"/>
    <n v="11816"/>
    <n v="2599.52"/>
    <n v="8064.5161290322585"/>
    <n v="2258.0645161290322"/>
    <n v="245.39877300613497"/>
    <n v="1519.4933702750841"/>
    <n v="645.16129032258061"/>
    <n v="15332.15407876509"/>
    <n v="-3516.1540787650902"/>
    <n v="1477"/>
    <n v="844"/>
  </r>
  <r>
    <d v="2024-05-27T00:00:00"/>
    <d v="2024-05-01T00:00:00"/>
    <x v="4"/>
    <x v="1"/>
    <n v="13"/>
    <n v="14"/>
    <x v="2"/>
    <n v="1144"/>
    <n v="14872"/>
    <n v="3271.84"/>
    <n v="8064.5161290322585"/>
    <n v="2258.0645161290322"/>
    <n v="398.77300613496931"/>
    <n v="2025.6283396002375"/>
    <n v="645.16129032258061"/>
    <n v="16663.983281219076"/>
    <n v="-1791.9832812190762"/>
    <n v="1144"/>
    <n v="1062.2857142857142"/>
  </r>
  <r>
    <d v="2024-05-28T00:00:00"/>
    <d v="2024-05-01T00:00:00"/>
    <x v="4"/>
    <x v="1"/>
    <n v="10"/>
    <n v="14"/>
    <x v="4"/>
    <n v="1497"/>
    <n v="14970"/>
    <n v="3293.4"/>
    <n v="8064.5161290322585"/>
    <n v="2258.0645161290322"/>
    <n v="306.74846625766872"/>
    <n v="1721.9473580051456"/>
    <n v="645.16129032258061"/>
    <n v="16289.837759746686"/>
    <n v="-1319.8377597466861"/>
    <n v="1497"/>
    <n v="1069.2857142857142"/>
  </r>
  <r>
    <d v="2024-05-29T00:00:00"/>
    <d v="2024-05-01T00:00:00"/>
    <x v="4"/>
    <x v="1"/>
    <n v="12"/>
    <n v="14"/>
    <x v="0"/>
    <n v="1799"/>
    <n v="21588"/>
    <n v="4749.3599999999997"/>
    <n v="8064.5161290322585"/>
    <n v="2258.0645161290322"/>
    <n v="368.09815950920245"/>
    <n v="1924.4013457352069"/>
    <n v="645.16129032258061"/>
    <n v="18009.601440728278"/>
    <n v="3578.3985592717218"/>
    <n v="1799"/>
    <n v="1542"/>
  </r>
  <r>
    <d v="2024-05-30T00:00:00"/>
    <d v="2024-05-01T00:00:00"/>
    <x v="4"/>
    <x v="1"/>
    <n v="9"/>
    <n v="14"/>
    <x v="5"/>
    <n v="1833"/>
    <n v="16497"/>
    <n v="3629.34"/>
    <n v="8064.5161290322585"/>
    <n v="2258.0645161290322"/>
    <n v="276.07361963190186"/>
    <n v="1620.7203641401147"/>
    <n v="645.16129032258061"/>
    <n v="16493.875919255886"/>
    <n v="3.1240807441135985"/>
    <n v="1833"/>
    <n v="1178.3571428571429"/>
  </r>
  <r>
    <d v="2024-05-31T00:00:00"/>
    <d v="2024-05-01T00:00:00"/>
    <x v="4"/>
    <x v="1"/>
    <n v="9"/>
    <n v="14"/>
    <x v="5"/>
    <n v="1106"/>
    <n v="9954"/>
    <n v="2189.88"/>
    <n v="8064.5161290322585"/>
    <n v="2258.0645161290322"/>
    <n v="276.07361963190186"/>
    <n v="1620.7203641401147"/>
    <n v="645.16129032258061"/>
    <n v="15054.415919255889"/>
    <n v="-5100.4159192558891"/>
    <n v="1106"/>
    <n v="711"/>
  </r>
  <r>
    <d v="2024-06-01T00:00:00"/>
    <d v="2024-06-01T00:00:00"/>
    <x v="5"/>
    <x v="1"/>
    <n v="14"/>
    <n v="14"/>
    <x v="3"/>
    <n v="1828"/>
    <n v="25592"/>
    <n v="5630.24"/>
    <n v="8333.3333333333339"/>
    <n v="2333.3333333333335"/>
    <n v="419.16167664670661"/>
    <n v="1866.2347305389221"/>
    <n v="666.66666666666663"/>
    <n v="19248.969740518965"/>
    <n v="6343.0302594810346"/>
    <n v="1828"/>
    <n v="1828"/>
  </r>
  <r>
    <d v="2024-06-02T00:00:00"/>
    <d v="2024-06-01T00:00:00"/>
    <x v="5"/>
    <x v="1"/>
    <n v="9"/>
    <n v="14"/>
    <x v="5"/>
    <n v="1437"/>
    <n v="12933"/>
    <n v="2845.26"/>
    <n v="8333.3333333333339"/>
    <n v="2333.3333333333335"/>
    <n v="269.46107784431138"/>
    <n v="1430.650898203593"/>
    <n v="666.66666666666663"/>
    <n v="15878.705309381237"/>
    <n v="-2945.7053093812374"/>
    <n v="1437"/>
    <n v="923.78571428571433"/>
  </r>
  <r>
    <d v="2024-06-03T00:00:00"/>
    <d v="2024-06-01T00:00:00"/>
    <x v="5"/>
    <x v="1"/>
    <n v="10"/>
    <n v="14"/>
    <x v="4"/>
    <n v="1014"/>
    <n v="10140"/>
    <n v="2230.8000000000002"/>
    <n v="8333.3333333333339"/>
    <n v="2333.3333333333335"/>
    <n v="299.40119760479041"/>
    <n v="1517.7676646706586"/>
    <n v="666.66666666666663"/>
    <n v="15381.302195608783"/>
    <n v="-5241.3021956087832"/>
    <n v="1014"/>
    <n v="724.28571428571433"/>
  </r>
  <r>
    <d v="2024-06-04T00:00:00"/>
    <d v="2024-06-01T00:00:00"/>
    <x v="5"/>
    <x v="1"/>
    <n v="11"/>
    <n v="14"/>
    <x v="1"/>
    <n v="1850"/>
    <n v="20350"/>
    <n v="4477"/>
    <n v="8333.3333333333339"/>
    <n v="2333.3333333333335"/>
    <n v="329.34131736526945"/>
    <n v="1604.8844311377247"/>
    <n v="666.66666666666663"/>
    <n v="17744.559081836331"/>
    <n v="2605.4409181636693"/>
    <n v="1850"/>
    <n v="1453.5714285714287"/>
  </r>
  <r>
    <d v="2024-06-05T00:00:00"/>
    <d v="2024-06-01T00:00:00"/>
    <x v="5"/>
    <x v="1"/>
    <n v="11"/>
    <n v="14"/>
    <x v="1"/>
    <n v="1044"/>
    <n v="11484"/>
    <n v="2526.48"/>
    <n v="8333.3333333333339"/>
    <n v="2333.3333333333335"/>
    <n v="329.34131736526945"/>
    <n v="1604.8844311377247"/>
    <n v="666.66666666666663"/>
    <n v="15794.039081836328"/>
    <n v="-4310.0390818363285"/>
    <n v="1044"/>
    <n v="820.28571428571433"/>
  </r>
  <r>
    <d v="2024-06-06T00:00:00"/>
    <d v="2024-06-01T00:00:00"/>
    <x v="5"/>
    <x v="1"/>
    <n v="8"/>
    <n v="14"/>
    <x v="6"/>
    <n v="1277"/>
    <n v="10216"/>
    <n v="2247.52"/>
    <n v="8333.3333333333339"/>
    <n v="2333.3333333333335"/>
    <n v="239.52095808383234"/>
    <n v="1343.5341317365269"/>
    <n v="666.66666666666663"/>
    <n v="15163.908423153694"/>
    <n v="-4947.9084231536945"/>
    <n v="1277"/>
    <n v="729.71428571428567"/>
  </r>
  <r>
    <d v="2024-06-07T00:00:00"/>
    <d v="2024-06-01T00:00:00"/>
    <x v="5"/>
    <x v="1"/>
    <n v="14"/>
    <n v="14"/>
    <x v="3"/>
    <n v="1844"/>
    <n v="25816"/>
    <n v="5679.52"/>
    <n v="8333.3333333333339"/>
    <n v="2333.3333333333335"/>
    <n v="419.16167664670661"/>
    <n v="1866.2347305389221"/>
    <n v="666.66666666666663"/>
    <n v="19298.249740518964"/>
    <n v="6517.7502594810358"/>
    <n v="1844"/>
    <n v="1844"/>
  </r>
  <r>
    <d v="2024-06-08T00:00:00"/>
    <d v="2024-06-01T00:00:00"/>
    <x v="5"/>
    <x v="1"/>
    <n v="9"/>
    <n v="14"/>
    <x v="5"/>
    <n v="1763"/>
    <n v="15867"/>
    <n v="3490.7400000000002"/>
    <n v="8333.3333333333339"/>
    <n v="2333.3333333333335"/>
    <n v="269.46107784431138"/>
    <n v="1430.650898203593"/>
    <n v="666.66666666666663"/>
    <n v="16524.185309381239"/>
    <n v="-657.18530938123877"/>
    <n v="1763"/>
    <n v="1133.3571428571429"/>
  </r>
  <r>
    <d v="2024-06-09T00:00:00"/>
    <d v="2024-06-01T00:00:00"/>
    <x v="5"/>
    <x v="1"/>
    <n v="8"/>
    <n v="14"/>
    <x v="6"/>
    <n v="1130"/>
    <n v="9040"/>
    <n v="1988.8"/>
    <n v="8333.3333333333339"/>
    <n v="2333.3333333333335"/>
    <n v="239.52095808383234"/>
    <n v="1343.5341317365269"/>
    <n v="666.66666666666663"/>
    <n v="14905.188423153693"/>
    <n v="-5865.1884231536933"/>
    <n v="1130"/>
    <n v="645.71428571428567"/>
  </r>
  <r>
    <d v="2024-06-10T00:00:00"/>
    <d v="2024-06-01T00:00:00"/>
    <x v="5"/>
    <x v="1"/>
    <n v="13"/>
    <n v="14"/>
    <x v="2"/>
    <n v="1037"/>
    <n v="13481"/>
    <n v="2965.82"/>
    <n v="8333.3333333333339"/>
    <n v="2333.3333333333335"/>
    <n v="389.22155688622757"/>
    <n v="1779.1179640718565"/>
    <n v="666.66666666666663"/>
    <n v="16467.49285429142"/>
    <n v="-2986.4928542914204"/>
    <n v="1037"/>
    <n v="962.92857142857144"/>
  </r>
  <r>
    <d v="2024-06-11T00:00:00"/>
    <d v="2024-06-01T00:00:00"/>
    <x v="5"/>
    <x v="1"/>
    <n v="8"/>
    <n v="14"/>
    <x v="6"/>
    <n v="1398"/>
    <n v="11184"/>
    <n v="2460.48"/>
    <n v="8333.3333333333339"/>
    <n v="2333.3333333333335"/>
    <n v="239.52095808383234"/>
    <n v="1343.5341317365269"/>
    <n v="666.66666666666663"/>
    <n v="15376.868423153694"/>
    <n v="-4192.8684231536936"/>
    <n v="1398"/>
    <n v="798.85714285714289"/>
  </r>
  <r>
    <d v="2024-06-12T00:00:00"/>
    <d v="2024-06-01T00:00:00"/>
    <x v="5"/>
    <x v="1"/>
    <n v="8"/>
    <n v="14"/>
    <x v="6"/>
    <n v="1895"/>
    <n v="15160"/>
    <n v="3335.2"/>
    <n v="8333.3333333333339"/>
    <n v="2333.3333333333335"/>
    <n v="239.52095808383234"/>
    <n v="1343.5341317365269"/>
    <n v="666.66666666666663"/>
    <n v="16251.588423153693"/>
    <n v="-1091.5884231536929"/>
    <n v="1895"/>
    <n v="1082.8571428571429"/>
  </r>
  <r>
    <d v="2024-06-13T00:00:00"/>
    <d v="2024-06-01T00:00:00"/>
    <x v="5"/>
    <x v="1"/>
    <n v="13"/>
    <n v="14"/>
    <x v="2"/>
    <n v="1865"/>
    <n v="24245"/>
    <n v="5333.9"/>
    <n v="8333.3333333333339"/>
    <n v="2333.3333333333335"/>
    <n v="389.22155688622757"/>
    <n v="1779.1179640718565"/>
    <n v="666.66666666666663"/>
    <n v="18835.572854291418"/>
    <n v="5409.4271457085815"/>
    <n v="1865"/>
    <n v="1731.7857142857142"/>
  </r>
  <r>
    <d v="2024-06-14T00:00:00"/>
    <d v="2024-06-01T00:00:00"/>
    <x v="5"/>
    <x v="1"/>
    <n v="12"/>
    <n v="14"/>
    <x v="0"/>
    <n v="1855"/>
    <n v="22260"/>
    <n v="4897.2"/>
    <n v="8333.3333333333339"/>
    <n v="2333.3333333333335"/>
    <n v="359.28143712574854"/>
    <n v="1692.0011976047904"/>
    <n v="666.66666666666663"/>
    <n v="18281.815968063875"/>
    <n v="3978.1840319361254"/>
    <n v="1855"/>
    <n v="1590"/>
  </r>
  <r>
    <d v="2024-06-15T00:00:00"/>
    <d v="2024-06-01T00:00:00"/>
    <x v="5"/>
    <x v="1"/>
    <n v="14"/>
    <n v="14"/>
    <x v="3"/>
    <n v="1343"/>
    <n v="18802"/>
    <n v="4136.4399999999996"/>
    <n v="8333.3333333333339"/>
    <n v="2333.3333333333335"/>
    <n v="419.16167664670661"/>
    <n v="1866.2347305389221"/>
    <n v="666.66666666666663"/>
    <n v="17755.169740518966"/>
    <n v="1046.8302594810339"/>
    <n v="1343"/>
    <n v="1343"/>
  </r>
  <r>
    <d v="2024-06-16T00:00:00"/>
    <d v="2024-06-01T00:00:00"/>
    <x v="5"/>
    <x v="1"/>
    <n v="13"/>
    <n v="14"/>
    <x v="2"/>
    <n v="1452"/>
    <n v="18876"/>
    <n v="4152.72"/>
    <n v="8333.3333333333339"/>
    <n v="2333.3333333333335"/>
    <n v="389.22155688622757"/>
    <n v="1779.1179640718565"/>
    <n v="666.66666666666663"/>
    <n v="17654.392854291418"/>
    <n v="1221.6071457085818"/>
    <n v="1452"/>
    <n v="1348.2857142857142"/>
  </r>
  <r>
    <d v="2024-06-17T00:00:00"/>
    <d v="2024-06-01T00:00:00"/>
    <x v="5"/>
    <x v="1"/>
    <n v="9"/>
    <n v="14"/>
    <x v="5"/>
    <n v="1623"/>
    <n v="14607"/>
    <n v="3213.54"/>
    <n v="8333.3333333333339"/>
    <n v="2333.3333333333335"/>
    <n v="269.46107784431138"/>
    <n v="1430.650898203593"/>
    <n v="666.66666666666663"/>
    <n v="16246.985309381236"/>
    <n v="-1639.9853093812362"/>
    <n v="1623"/>
    <n v="1043.3571428571429"/>
  </r>
  <r>
    <d v="2024-06-18T00:00:00"/>
    <d v="2024-06-01T00:00:00"/>
    <x v="5"/>
    <x v="1"/>
    <n v="13"/>
    <n v="14"/>
    <x v="2"/>
    <n v="1877"/>
    <n v="24401"/>
    <n v="5368.22"/>
    <n v="8333.3333333333339"/>
    <n v="2333.3333333333335"/>
    <n v="389.22155688622757"/>
    <n v="1779.1179640718565"/>
    <n v="666.66666666666663"/>
    <n v="18869.892854291418"/>
    <n v="5531.1071457085818"/>
    <n v="1877"/>
    <n v="1742.9285714285713"/>
  </r>
  <r>
    <d v="2024-06-19T00:00:00"/>
    <d v="2024-06-01T00:00:00"/>
    <x v="5"/>
    <x v="1"/>
    <n v="8"/>
    <n v="14"/>
    <x v="6"/>
    <n v="1943"/>
    <n v="15544"/>
    <n v="3419.68"/>
    <n v="8333.3333333333339"/>
    <n v="2333.3333333333335"/>
    <n v="239.52095808383234"/>
    <n v="1343.5341317365269"/>
    <n v="666.66666666666663"/>
    <n v="16336.068423153694"/>
    <n v="-792.06842315369431"/>
    <n v="1943"/>
    <n v="1110.2857142857142"/>
  </r>
  <r>
    <d v="2024-06-20T00:00:00"/>
    <d v="2024-06-01T00:00:00"/>
    <x v="5"/>
    <x v="1"/>
    <n v="12"/>
    <n v="14"/>
    <x v="0"/>
    <n v="1769"/>
    <n v="21228"/>
    <n v="4670.16"/>
    <n v="8333.3333333333339"/>
    <n v="2333.3333333333335"/>
    <n v="359.28143712574854"/>
    <n v="1692.0011976047904"/>
    <n v="666.66666666666663"/>
    <n v="18054.775968063874"/>
    <n v="3173.2240319361263"/>
    <n v="1769"/>
    <n v="1516.2857142857142"/>
  </r>
  <r>
    <d v="2024-06-21T00:00:00"/>
    <d v="2024-06-01T00:00:00"/>
    <x v="5"/>
    <x v="1"/>
    <n v="11"/>
    <n v="14"/>
    <x v="1"/>
    <n v="1316"/>
    <n v="14476"/>
    <n v="3184.72"/>
    <n v="8333.3333333333339"/>
    <n v="2333.3333333333335"/>
    <n v="329.34131736526945"/>
    <n v="1604.8844311377247"/>
    <n v="666.66666666666663"/>
    <n v="16452.279081836328"/>
    <n v="-1976.2790818363283"/>
    <n v="1316"/>
    <n v="1034"/>
  </r>
  <r>
    <d v="2024-06-22T00:00:00"/>
    <d v="2024-06-01T00:00:00"/>
    <x v="5"/>
    <x v="1"/>
    <n v="13"/>
    <n v="14"/>
    <x v="2"/>
    <n v="1855"/>
    <n v="24115"/>
    <n v="5305.3"/>
    <n v="8333.3333333333339"/>
    <n v="2333.3333333333335"/>
    <n v="389.22155688622757"/>
    <n v="1779.1179640718565"/>
    <n v="666.66666666666663"/>
    <n v="18806.97285429142"/>
    <n v="5308.0271457085801"/>
    <n v="1855"/>
    <n v="1722.5"/>
  </r>
  <r>
    <d v="2024-06-23T00:00:00"/>
    <d v="2024-06-01T00:00:00"/>
    <x v="5"/>
    <x v="1"/>
    <n v="13"/>
    <n v="14"/>
    <x v="2"/>
    <n v="1029"/>
    <n v="13377"/>
    <n v="2942.94"/>
    <n v="8333.3333333333339"/>
    <n v="2333.3333333333335"/>
    <n v="389.22155688622757"/>
    <n v="1779.1179640718565"/>
    <n v="666.66666666666663"/>
    <n v="16444.612854291419"/>
    <n v="-3067.6128542914194"/>
    <n v="1029"/>
    <n v="955.5"/>
  </r>
  <r>
    <d v="2024-06-24T00:00:00"/>
    <d v="2024-06-01T00:00:00"/>
    <x v="5"/>
    <x v="1"/>
    <n v="8"/>
    <n v="14"/>
    <x v="6"/>
    <n v="1824"/>
    <n v="14592"/>
    <n v="3210.2400000000002"/>
    <n v="8333.3333333333339"/>
    <n v="2333.3333333333335"/>
    <n v="239.52095808383234"/>
    <n v="1343.5341317365269"/>
    <n v="666.66666666666663"/>
    <n v="16126.628423153694"/>
    <n v="-1534.6284231536938"/>
    <n v="1824"/>
    <n v="1042.2857142857142"/>
  </r>
  <r>
    <d v="2024-06-25T00:00:00"/>
    <d v="2024-06-01T00:00:00"/>
    <x v="5"/>
    <x v="1"/>
    <n v="14"/>
    <n v="14"/>
    <x v="3"/>
    <n v="1784"/>
    <n v="24976"/>
    <n v="5494.72"/>
    <n v="8333.3333333333339"/>
    <n v="2333.3333333333335"/>
    <n v="419.16167664670661"/>
    <n v="1866.2347305389221"/>
    <n v="666.66666666666663"/>
    <n v="19113.449740518965"/>
    <n v="5862.550259481035"/>
    <n v="1784"/>
    <n v="1784"/>
  </r>
  <r>
    <d v="2024-06-26T00:00:00"/>
    <d v="2024-06-01T00:00:00"/>
    <x v="5"/>
    <x v="1"/>
    <n v="12"/>
    <n v="14"/>
    <x v="0"/>
    <n v="1495"/>
    <n v="17940"/>
    <n v="3946.8"/>
    <n v="8333.3333333333339"/>
    <n v="2333.3333333333335"/>
    <n v="359.28143712574854"/>
    <n v="1692.0011976047904"/>
    <n v="666.66666666666663"/>
    <n v="17331.415968063877"/>
    <n v="608.58403193612321"/>
    <n v="1495"/>
    <n v="1281.4285714285713"/>
  </r>
  <r>
    <d v="2024-06-27T00:00:00"/>
    <d v="2024-06-01T00:00:00"/>
    <x v="5"/>
    <x v="1"/>
    <n v="13"/>
    <n v="14"/>
    <x v="2"/>
    <n v="1809"/>
    <n v="23517"/>
    <n v="5173.74"/>
    <n v="8333.3333333333339"/>
    <n v="2333.3333333333335"/>
    <n v="389.22155688622757"/>
    <n v="1779.1179640718565"/>
    <n v="666.66666666666663"/>
    <n v="18675.412854291422"/>
    <n v="4841.5871457085777"/>
    <n v="1809"/>
    <n v="1679.7857142857142"/>
  </r>
  <r>
    <d v="2024-06-28T00:00:00"/>
    <d v="2024-06-01T00:00:00"/>
    <x v="5"/>
    <x v="1"/>
    <n v="12"/>
    <n v="14"/>
    <x v="0"/>
    <n v="1166"/>
    <n v="13992"/>
    <n v="3078.2400000000002"/>
    <n v="8333.3333333333339"/>
    <n v="2333.3333333333335"/>
    <n v="359.28143712574854"/>
    <n v="1692.0011976047904"/>
    <n v="666.66666666666663"/>
    <n v="16462.855968063872"/>
    <n v="-2470.8559680638718"/>
    <n v="1166"/>
    <n v="999.42857142857144"/>
  </r>
  <r>
    <d v="2024-06-29T00:00:00"/>
    <d v="2024-06-01T00:00:00"/>
    <x v="5"/>
    <x v="1"/>
    <n v="8"/>
    <n v="14"/>
    <x v="6"/>
    <n v="1378"/>
    <n v="11024"/>
    <n v="2425.2800000000002"/>
    <n v="8333.3333333333339"/>
    <n v="2333.3333333333335"/>
    <n v="239.52095808383234"/>
    <n v="1343.5341317365269"/>
    <n v="666.66666666666663"/>
    <n v="15341.668423153695"/>
    <n v="-4317.6684231536947"/>
    <n v="1378"/>
    <n v="787.42857142857144"/>
  </r>
  <r>
    <d v="2024-06-30T00:00:00"/>
    <d v="2024-06-01T00:00:00"/>
    <x v="5"/>
    <x v="1"/>
    <n v="13"/>
    <n v="14"/>
    <x v="2"/>
    <n v="1776"/>
    <n v="23088"/>
    <n v="5079.3599999999997"/>
    <n v="8333.3333333333339"/>
    <n v="2333.3333333333335"/>
    <n v="389.22155688622757"/>
    <n v="1779.1179640718565"/>
    <n v="666.66666666666663"/>
    <n v="18581.032854291418"/>
    <n v="4506.9671457085824"/>
    <n v="1776"/>
    <n v="1649.1428571428571"/>
  </r>
  <r>
    <d v="2024-07-01T00:00:00"/>
    <d v="2024-07-01T00:00:00"/>
    <x v="6"/>
    <x v="1"/>
    <n v="8"/>
    <n v="14"/>
    <x v="6"/>
    <n v="1294"/>
    <n v="10352"/>
    <n v="2277.44"/>
    <n v="8064.5161290322585"/>
    <n v="2258.0645161290322"/>
    <n v="241.69184290030211"/>
    <n v="1418.9624403079622"/>
    <n v="645.16129032258061"/>
    <n v="14905.836218692135"/>
    <n v="-4553.8362186921349"/>
    <n v="1294"/>
    <n v="739.42857142857144"/>
  </r>
  <r>
    <d v="2024-07-02T00:00:00"/>
    <d v="2024-07-01T00:00:00"/>
    <x v="6"/>
    <x v="1"/>
    <n v="9"/>
    <n v="14"/>
    <x v="5"/>
    <n v="1451"/>
    <n v="13059"/>
    <n v="2872.98"/>
    <n v="8064.5161290322585"/>
    <n v="2258.0645161290322"/>
    <n v="271.90332326283988"/>
    <n v="1512.8198421206512"/>
    <n v="645.16129032258061"/>
    <n v="15625.445100867362"/>
    <n v="-2566.4451008673623"/>
    <n v="1451"/>
    <n v="932.78571428571433"/>
  </r>
  <r>
    <d v="2024-07-03T00:00:00"/>
    <d v="2024-07-01T00:00:00"/>
    <x v="6"/>
    <x v="1"/>
    <n v="9"/>
    <n v="14"/>
    <x v="5"/>
    <n v="1695"/>
    <n v="15255"/>
    <n v="3356.1"/>
    <n v="8064.5161290322585"/>
    <n v="2258.0645161290322"/>
    <n v="271.90332326283988"/>
    <n v="1512.8198421206512"/>
    <n v="645.16129032258061"/>
    <n v="16108.565100867361"/>
    <n v="-853.56510086736125"/>
    <n v="1695"/>
    <n v="1089.6428571428571"/>
  </r>
  <r>
    <d v="2024-07-04T00:00:00"/>
    <d v="2024-07-01T00:00:00"/>
    <x v="6"/>
    <x v="1"/>
    <n v="12"/>
    <n v="14"/>
    <x v="0"/>
    <n v="1232"/>
    <n v="14784"/>
    <n v="3252.48"/>
    <n v="8064.5161290322585"/>
    <n v="2258.0645161290322"/>
    <n v="362.53776435045313"/>
    <n v="1794.3920475587174"/>
    <n v="645.16129032258061"/>
    <n v="16377.151747393042"/>
    <n v="-1593.1517473930417"/>
    <n v="1232"/>
    <n v="1056"/>
  </r>
  <r>
    <d v="2024-07-05T00:00:00"/>
    <d v="2024-07-01T00:00:00"/>
    <x v="6"/>
    <x v="1"/>
    <n v="10"/>
    <n v="14"/>
    <x v="4"/>
    <n v="1664"/>
    <n v="16640"/>
    <n v="3660.8"/>
    <n v="8064.5161290322585"/>
    <n v="2258.0645161290322"/>
    <n v="302.11480362537765"/>
    <n v="1606.6772439333399"/>
    <n v="645.16129032258061"/>
    <n v="16537.33398304259"/>
    <n v="102.66601695740974"/>
    <n v="1664"/>
    <n v="1188.5714285714287"/>
  </r>
  <r>
    <d v="2024-07-06T00:00:00"/>
    <d v="2024-07-01T00:00:00"/>
    <x v="6"/>
    <x v="1"/>
    <n v="9"/>
    <n v="14"/>
    <x v="5"/>
    <n v="1413"/>
    <n v="12717"/>
    <n v="2797.7400000000002"/>
    <n v="8064.5161290322585"/>
    <n v="2258.0645161290322"/>
    <n v="271.90332326283988"/>
    <n v="1512.8198421206512"/>
    <n v="645.16129032258061"/>
    <n v="15550.205100867364"/>
    <n v="-2833.2051008673643"/>
    <n v="1413"/>
    <n v="908.35714285714289"/>
  </r>
  <r>
    <d v="2024-07-07T00:00:00"/>
    <d v="2024-07-01T00:00:00"/>
    <x v="6"/>
    <x v="1"/>
    <n v="8"/>
    <n v="14"/>
    <x v="6"/>
    <n v="1712"/>
    <n v="13696"/>
    <n v="3013.12"/>
    <n v="8064.5161290322585"/>
    <n v="2258.0645161290322"/>
    <n v="241.69184290030211"/>
    <n v="1418.9624403079622"/>
    <n v="645.16129032258061"/>
    <n v="15641.516218692135"/>
    <n v="-1945.5162186921352"/>
    <n v="1712"/>
    <n v="978.28571428571433"/>
  </r>
  <r>
    <d v="2024-07-08T00:00:00"/>
    <d v="2024-07-01T00:00:00"/>
    <x v="6"/>
    <x v="1"/>
    <n v="11"/>
    <n v="14"/>
    <x v="1"/>
    <n v="1421"/>
    <n v="15631"/>
    <n v="3438.82"/>
    <n v="8064.5161290322585"/>
    <n v="2258.0645161290322"/>
    <n v="332.32628398791542"/>
    <n v="1700.5346457460287"/>
    <n v="645.16129032258061"/>
    <n v="16439.422865217817"/>
    <n v="-808.42286521781716"/>
    <n v="1421"/>
    <n v="1116.5"/>
  </r>
  <r>
    <d v="2024-07-09T00:00:00"/>
    <d v="2024-07-01T00:00:00"/>
    <x v="6"/>
    <x v="1"/>
    <n v="13"/>
    <n v="14"/>
    <x v="2"/>
    <n v="1607"/>
    <n v="20891"/>
    <n v="4596.0200000000004"/>
    <n v="8064.5161290322585"/>
    <n v="2258.0645161290322"/>
    <n v="392.7492447129909"/>
    <n v="1888.2494493714062"/>
    <n v="645.16129032258061"/>
    <n v="17844.760629568267"/>
    <n v="3046.2393704317328"/>
    <n v="1607"/>
    <n v="1492.2142857142858"/>
  </r>
  <r>
    <d v="2024-07-10T00:00:00"/>
    <d v="2024-07-01T00:00:00"/>
    <x v="6"/>
    <x v="1"/>
    <n v="12"/>
    <n v="14"/>
    <x v="0"/>
    <n v="1868"/>
    <n v="22416"/>
    <n v="4931.5200000000004"/>
    <n v="8064.5161290322585"/>
    <n v="2258.0645161290322"/>
    <n v="362.53776435045313"/>
    <n v="1794.3920475587174"/>
    <n v="645.16129032258061"/>
    <n v="18056.191747393041"/>
    <n v="4359.8082526069593"/>
    <n v="1868"/>
    <n v="1601.1428571428571"/>
  </r>
  <r>
    <d v="2024-07-11T00:00:00"/>
    <d v="2024-07-01T00:00:00"/>
    <x v="6"/>
    <x v="1"/>
    <n v="8"/>
    <n v="14"/>
    <x v="6"/>
    <n v="1109"/>
    <n v="8872"/>
    <n v="1951.84"/>
    <n v="8064.5161290322585"/>
    <n v="2258.0645161290322"/>
    <n v="241.69184290030211"/>
    <n v="1418.9624403079622"/>
    <n v="645.16129032258061"/>
    <n v="14580.236218692135"/>
    <n v="-5708.2362186921346"/>
    <n v="1109"/>
    <n v="633.71428571428567"/>
  </r>
  <r>
    <d v="2024-07-12T00:00:00"/>
    <d v="2024-07-01T00:00:00"/>
    <x v="6"/>
    <x v="1"/>
    <n v="13"/>
    <n v="14"/>
    <x v="2"/>
    <n v="1137"/>
    <n v="14781"/>
    <n v="3251.82"/>
    <n v="8064.5161290322585"/>
    <n v="2258.0645161290322"/>
    <n v="392.7492447129909"/>
    <n v="1888.2494493714062"/>
    <n v="645.16129032258061"/>
    <n v="16500.56062956827"/>
    <n v="-1719.5606295682701"/>
    <n v="1137"/>
    <n v="1055.7857142857142"/>
  </r>
  <r>
    <d v="2024-07-13T00:00:00"/>
    <d v="2024-07-01T00:00:00"/>
    <x v="6"/>
    <x v="1"/>
    <n v="8"/>
    <n v="14"/>
    <x v="6"/>
    <n v="1257"/>
    <n v="10056"/>
    <n v="2212.3200000000002"/>
    <n v="8064.5161290322585"/>
    <n v="2258.0645161290322"/>
    <n v="241.69184290030211"/>
    <n v="1418.9624403079622"/>
    <n v="645.16129032258061"/>
    <n v="14840.716218692136"/>
    <n v="-4784.716218692136"/>
    <n v="1257"/>
    <n v="718.28571428571433"/>
  </r>
  <r>
    <d v="2024-07-14T00:00:00"/>
    <d v="2024-07-01T00:00:00"/>
    <x v="6"/>
    <x v="1"/>
    <n v="12"/>
    <n v="14"/>
    <x v="0"/>
    <n v="1129"/>
    <n v="13548"/>
    <n v="2980.56"/>
    <n v="8064.5161290322585"/>
    <n v="2258.0645161290322"/>
    <n v="362.53776435045313"/>
    <n v="1794.3920475587174"/>
    <n v="645.16129032258061"/>
    <n v="16105.231747393043"/>
    <n v="-2557.2317473930434"/>
    <n v="1129"/>
    <n v="967.71428571428567"/>
  </r>
  <r>
    <d v="2024-07-15T00:00:00"/>
    <d v="2024-07-01T00:00:00"/>
    <x v="6"/>
    <x v="1"/>
    <n v="11"/>
    <n v="14"/>
    <x v="1"/>
    <n v="1961"/>
    <n v="21571"/>
    <n v="4745.62"/>
    <n v="8064.5161290322585"/>
    <n v="2258.0645161290322"/>
    <n v="332.32628398791542"/>
    <n v="1700.5346457460287"/>
    <n v="645.16129032258061"/>
    <n v="17746.222865217813"/>
    <n v="3824.7771347821872"/>
    <n v="1961"/>
    <n v="1540.7857142857142"/>
  </r>
  <r>
    <d v="2024-07-16T00:00:00"/>
    <d v="2024-07-01T00:00:00"/>
    <x v="6"/>
    <x v="1"/>
    <n v="12"/>
    <n v="14"/>
    <x v="0"/>
    <n v="1387"/>
    <n v="16644"/>
    <n v="3661.68"/>
    <n v="8064.5161290322585"/>
    <n v="2258.0645161290322"/>
    <n v="362.53776435045313"/>
    <n v="1794.3920475587174"/>
    <n v="645.16129032258061"/>
    <n v="16786.351747393041"/>
    <n v="-142.35174739304057"/>
    <n v="1387"/>
    <n v="1188.8571428571429"/>
  </r>
  <r>
    <d v="2024-07-17T00:00:00"/>
    <d v="2024-07-01T00:00:00"/>
    <x v="6"/>
    <x v="1"/>
    <n v="12"/>
    <n v="14"/>
    <x v="0"/>
    <n v="1636"/>
    <n v="19632"/>
    <n v="4319.04"/>
    <n v="8064.5161290322585"/>
    <n v="2258.0645161290322"/>
    <n v="362.53776435045313"/>
    <n v="1794.3920475587174"/>
    <n v="645.16129032258061"/>
    <n v="17443.711747393041"/>
    <n v="2188.2882526069588"/>
    <n v="1636"/>
    <n v="1402.2857142857142"/>
  </r>
  <r>
    <d v="2024-07-18T00:00:00"/>
    <d v="2024-07-01T00:00:00"/>
    <x v="6"/>
    <x v="1"/>
    <n v="8"/>
    <n v="14"/>
    <x v="6"/>
    <n v="1476"/>
    <n v="11808"/>
    <n v="2597.7600000000002"/>
    <n v="8064.5161290322585"/>
    <n v="2258.0645161290322"/>
    <n v="241.69184290030211"/>
    <n v="1418.9624403079622"/>
    <n v="645.16129032258061"/>
    <n v="15226.156218692136"/>
    <n v="-3418.1562186921365"/>
    <n v="1476"/>
    <n v="843.42857142857144"/>
  </r>
  <r>
    <d v="2024-07-19T00:00:00"/>
    <d v="2024-07-01T00:00:00"/>
    <x v="6"/>
    <x v="1"/>
    <n v="12"/>
    <n v="14"/>
    <x v="0"/>
    <n v="1939"/>
    <n v="23268"/>
    <n v="5118.96"/>
    <n v="8064.5161290322585"/>
    <n v="2258.0645161290322"/>
    <n v="362.53776435045313"/>
    <n v="1794.3920475587174"/>
    <n v="645.16129032258061"/>
    <n v="18243.631747393039"/>
    <n v="5024.3682526069606"/>
    <n v="1939"/>
    <n v="1662"/>
  </r>
  <r>
    <d v="2024-07-20T00:00:00"/>
    <d v="2024-07-01T00:00:00"/>
    <x v="6"/>
    <x v="1"/>
    <n v="9"/>
    <n v="14"/>
    <x v="5"/>
    <n v="1379"/>
    <n v="12411"/>
    <n v="2730.42"/>
    <n v="8064.5161290322585"/>
    <n v="2258.0645161290322"/>
    <n v="271.90332326283988"/>
    <n v="1512.8198421206512"/>
    <n v="645.16129032258061"/>
    <n v="15482.885100867365"/>
    <n v="-3071.8851008673646"/>
    <n v="1379"/>
    <n v="886.5"/>
  </r>
  <r>
    <d v="2024-07-21T00:00:00"/>
    <d v="2024-07-01T00:00:00"/>
    <x v="6"/>
    <x v="1"/>
    <n v="9"/>
    <n v="14"/>
    <x v="5"/>
    <n v="1737"/>
    <n v="15633"/>
    <n v="3439.26"/>
    <n v="8064.5161290322585"/>
    <n v="2258.0645161290322"/>
    <n v="271.90332326283988"/>
    <n v="1512.8198421206512"/>
    <n v="645.16129032258061"/>
    <n v="16191.725100867365"/>
    <n v="-558.72510086736474"/>
    <n v="1737"/>
    <n v="1116.6428571428571"/>
  </r>
  <r>
    <d v="2024-07-22T00:00:00"/>
    <d v="2024-07-01T00:00:00"/>
    <x v="6"/>
    <x v="1"/>
    <n v="11"/>
    <n v="14"/>
    <x v="1"/>
    <n v="1327"/>
    <n v="14597"/>
    <n v="3211.34"/>
    <n v="8064.5161290322585"/>
    <n v="2258.0645161290322"/>
    <n v="332.32628398791542"/>
    <n v="1700.5346457460287"/>
    <n v="645.16129032258061"/>
    <n v="16211.942865217816"/>
    <n v="-1614.9428652178158"/>
    <n v="1327"/>
    <n v="1042.6428571428571"/>
  </r>
  <r>
    <d v="2024-07-23T00:00:00"/>
    <d v="2024-07-01T00:00:00"/>
    <x v="6"/>
    <x v="1"/>
    <n v="10"/>
    <n v="14"/>
    <x v="4"/>
    <n v="1116"/>
    <n v="11160"/>
    <n v="2455.1999999999998"/>
    <n v="8064.5161290322585"/>
    <n v="2258.0645161290322"/>
    <n v="302.11480362537765"/>
    <n v="1606.6772439333399"/>
    <n v="645.16129032258061"/>
    <n v="15331.73398304259"/>
    <n v="-4171.7339830425899"/>
    <n v="1116"/>
    <n v="797.14285714285711"/>
  </r>
  <r>
    <d v="2024-07-24T00:00:00"/>
    <d v="2024-07-01T00:00:00"/>
    <x v="6"/>
    <x v="1"/>
    <n v="14"/>
    <n v="14"/>
    <x v="3"/>
    <n v="1243"/>
    <n v="17402"/>
    <n v="3828.44"/>
    <n v="8064.5161290322585"/>
    <n v="2258.0645161290322"/>
    <n v="422.96072507552867"/>
    <n v="1982.1068511840949"/>
    <n v="645.16129032258061"/>
    <n v="17201.249511743492"/>
    <n v="200.75048825650811"/>
    <n v="1243"/>
    <n v="1243"/>
  </r>
  <r>
    <d v="2024-07-25T00:00:00"/>
    <d v="2024-07-01T00:00:00"/>
    <x v="6"/>
    <x v="1"/>
    <n v="14"/>
    <n v="14"/>
    <x v="3"/>
    <n v="1013"/>
    <n v="14182"/>
    <n v="3120.04"/>
    <n v="8064.5161290322585"/>
    <n v="2258.0645161290322"/>
    <n v="422.96072507552867"/>
    <n v="1982.1068511840949"/>
    <n v="645.16129032258061"/>
    <n v="16492.849511743494"/>
    <n v="-2310.8495117434941"/>
    <n v="1013"/>
    <n v="1013"/>
  </r>
  <r>
    <d v="2024-07-26T00:00:00"/>
    <d v="2024-07-01T00:00:00"/>
    <x v="6"/>
    <x v="1"/>
    <n v="14"/>
    <n v="14"/>
    <x v="3"/>
    <n v="1477"/>
    <n v="20678"/>
    <n v="4549.16"/>
    <n v="8064.5161290322585"/>
    <n v="2258.0645161290322"/>
    <n v="422.96072507552867"/>
    <n v="1982.1068511840949"/>
    <n v="645.16129032258061"/>
    <n v="17921.969511743493"/>
    <n v="2756.0304882565069"/>
    <n v="1477"/>
    <n v="1477"/>
  </r>
  <r>
    <d v="2024-07-27T00:00:00"/>
    <d v="2024-07-01T00:00:00"/>
    <x v="6"/>
    <x v="1"/>
    <n v="11"/>
    <n v="14"/>
    <x v="1"/>
    <n v="1414"/>
    <n v="15554"/>
    <n v="3421.88"/>
    <n v="8064.5161290322585"/>
    <n v="2258.0645161290322"/>
    <n v="332.32628398791542"/>
    <n v="1700.5346457460287"/>
    <n v="645.16129032258061"/>
    <n v="16422.482865217815"/>
    <n v="-868.48286521781483"/>
    <n v="1414"/>
    <n v="1111"/>
  </r>
  <r>
    <d v="2024-07-28T00:00:00"/>
    <d v="2024-07-01T00:00:00"/>
    <x v="6"/>
    <x v="1"/>
    <n v="11"/>
    <n v="14"/>
    <x v="1"/>
    <n v="1522"/>
    <n v="16742"/>
    <n v="3683.2400000000002"/>
    <n v="8064.5161290322585"/>
    <n v="2258.0645161290322"/>
    <n v="332.32628398791542"/>
    <n v="1700.5346457460287"/>
    <n v="645.16129032258061"/>
    <n v="16683.842865217815"/>
    <n v="58.157134782184585"/>
    <n v="1522"/>
    <n v="1195.8571428571429"/>
  </r>
  <r>
    <d v="2024-07-29T00:00:00"/>
    <d v="2024-07-01T00:00:00"/>
    <x v="6"/>
    <x v="1"/>
    <n v="10"/>
    <n v="14"/>
    <x v="4"/>
    <n v="1913"/>
    <n v="19130"/>
    <n v="4208.6000000000004"/>
    <n v="8064.5161290322585"/>
    <n v="2258.0645161290322"/>
    <n v="302.11480362537765"/>
    <n v="1606.6772439333399"/>
    <n v="645.16129032258061"/>
    <n v="17085.13398304259"/>
    <n v="2044.8660169574105"/>
    <n v="1913"/>
    <n v="1366.4285714285713"/>
  </r>
  <r>
    <d v="2024-07-30T00:00:00"/>
    <d v="2024-07-01T00:00:00"/>
    <x v="6"/>
    <x v="1"/>
    <n v="11"/>
    <n v="14"/>
    <x v="1"/>
    <n v="1726"/>
    <n v="18986"/>
    <n v="4176.92"/>
    <n v="8064.5161290322585"/>
    <n v="2258.0645161290322"/>
    <n v="332.32628398791542"/>
    <n v="1700.5346457460287"/>
    <n v="645.16129032258061"/>
    <n v="17177.522865217816"/>
    <n v="1808.4771347821843"/>
    <n v="1726"/>
    <n v="1356.1428571428571"/>
  </r>
  <r>
    <d v="2024-07-31T00:00:00"/>
    <d v="2024-07-01T00:00:00"/>
    <x v="6"/>
    <x v="1"/>
    <n v="10"/>
    <n v="14"/>
    <x v="4"/>
    <n v="1621"/>
    <n v="16210"/>
    <n v="3566.2"/>
    <n v="8064.5161290322585"/>
    <n v="2258.0645161290322"/>
    <n v="302.11480362537765"/>
    <n v="1606.6772439333399"/>
    <n v="645.16129032258061"/>
    <n v="16442.733983042588"/>
    <n v="-232.73398304258808"/>
    <n v="1621"/>
    <n v="1157.8571428571429"/>
  </r>
  <r>
    <d v="2024-08-01T00:00:00"/>
    <d v="2024-08-01T00:00:00"/>
    <x v="7"/>
    <x v="1"/>
    <n v="12"/>
    <n v="14"/>
    <x v="0"/>
    <n v="1173"/>
    <n v="14076"/>
    <n v="3096.72"/>
    <n v="8064.5161290322585"/>
    <n v="2258.0645161290322"/>
    <n v="361.44578313253015"/>
    <n v="1767.9280994947533"/>
    <n v="645.16129032258061"/>
    <n v="16193.835818111156"/>
    <n v="-2117.8358181111562"/>
    <n v="1173"/>
    <n v="1005.4285714285714"/>
  </r>
  <r>
    <d v="2024-08-02T00:00:00"/>
    <d v="2024-08-01T00:00:00"/>
    <x v="7"/>
    <x v="1"/>
    <n v="10"/>
    <n v="14"/>
    <x v="4"/>
    <n v="1838"/>
    <n v="18380"/>
    <n v="4043.6"/>
    <n v="8064.5161290322585"/>
    <n v="2258.0645161290322"/>
    <n v="301.20481927710847"/>
    <n v="1583.1895452778858"/>
    <n v="645.16129032258061"/>
    <n v="16895.736300038865"/>
    <n v="1484.263699961135"/>
    <n v="1838"/>
    <n v="1312.8571428571429"/>
  </r>
  <r>
    <d v="2024-08-03T00:00:00"/>
    <d v="2024-08-01T00:00:00"/>
    <x v="7"/>
    <x v="1"/>
    <n v="13"/>
    <n v="14"/>
    <x v="2"/>
    <n v="1503"/>
    <n v="19539"/>
    <n v="4298.58"/>
    <n v="8064.5161290322585"/>
    <n v="2258.0645161290322"/>
    <n v="391.56626506024099"/>
    <n v="1860.2973766031869"/>
    <n v="645.16129032258061"/>
    <n v="17518.185577147298"/>
    <n v="2020.8144228527017"/>
    <n v="1503"/>
    <n v="1395.6428571428571"/>
  </r>
  <r>
    <d v="2024-08-04T00:00:00"/>
    <d v="2024-08-01T00:00:00"/>
    <x v="7"/>
    <x v="1"/>
    <n v="13"/>
    <n v="14"/>
    <x v="2"/>
    <n v="1947"/>
    <n v="25311"/>
    <n v="5568.42"/>
    <n v="8064.5161290322585"/>
    <n v="2258.0645161290322"/>
    <n v="391.56626506024099"/>
    <n v="1860.2973766031869"/>
    <n v="645.16129032258061"/>
    <n v="18788.025577147298"/>
    <n v="6522.9744228527015"/>
    <n v="1947"/>
    <n v="1807.9285714285713"/>
  </r>
  <r>
    <d v="2024-08-05T00:00:00"/>
    <d v="2024-08-01T00:00:00"/>
    <x v="7"/>
    <x v="1"/>
    <n v="9"/>
    <n v="14"/>
    <x v="5"/>
    <n v="1734"/>
    <n v="15606"/>
    <n v="3433.32"/>
    <n v="8064.5161290322585"/>
    <n v="2258.0645161290322"/>
    <n v="271.08433734939763"/>
    <n v="1490.820268169452"/>
    <n v="645.16129032258061"/>
    <n v="16162.966541002721"/>
    <n v="-556.96654100272099"/>
    <n v="1734"/>
    <n v="1114.7142857142858"/>
  </r>
  <r>
    <d v="2024-08-06T00:00:00"/>
    <d v="2024-08-01T00:00:00"/>
    <x v="7"/>
    <x v="1"/>
    <n v="8"/>
    <n v="14"/>
    <x v="6"/>
    <n v="1800"/>
    <n v="14400"/>
    <n v="3168"/>
    <n v="8064.5161290322585"/>
    <n v="2258.0645161290322"/>
    <n v="240.96385542168676"/>
    <n v="1398.4509910610182"/>
    <n v="645.16129032258061"/>
    <n v="15775.156781966576"/>
    <n v="-1375.1567819665761"/>
    <n v="1800"/>
    <n v="1028.5714285714287"/>
  </r>
  <r>
    <d v="2024-08-07T00:00:00"/>
    <d v="2024-08-01T00:00:00"/>
    <x v="7"/>
    <x v="1"/>
    <n v="11"/>
    <n v="14"/>
    <x v="1"/>
    <n v="1815"/>
    <n v="19965"/>
    <n v="4392.3"/>
    <n v="8064.5161290322585"/>
    <n v="2258.0645161290322"/>
    <n v="331.32530120481931"/>
    <n v="1675.5588223863194"/>
    <n v="645.16129032258061"/>
    <n v="17366.926059075009"/>
    <n v="2598.0739409249909"/>
    <n v="1815"/>
    <n v="1426.0714285714287"/>
  </r>
  <r>
    <d v="2024-08-08T00:00:00"/>
    <d v="2024-08-01T00:00:00"/>
    <x v="7"/>
    <x v="1"/>
    <n v="9"/>
    <n v="14"/>
    <x v="5"/>
    <n v="1816"/>
    <n v="16344"/>
    <n v="3595.68"/>
    <n v="8064.5161290322585"/>
    <n v="2258.0645161290322"/>
    <n v="271.08433734939763"/>
    <n v="1490.820268169452"/>
    <n v="645.16129032258061"/>
    <n v="16325.326541002722"/>
    <n v="18.673458997278431"/>
    <n v="1816"/>
    <n v="1167.4285714285713"/>
  </r>
  <r>
    <d v="2024-08-09T00:00:00"/>
    <d v="2024-08-01T00:00:00"/>
    <x v="7"/>
    <x v="1"/>
    <n v="10"/>
    <n v="14"/>
    <x v="4"/>
    <n v="1417"/>
    <n v="14170"/>
    <n v="3117.4"/>
    <n v="8064.5161290322585"/>
    <n v="2258.0645161290322"/>
    <n v="301.20481927710847"/>
    <n v="1583.1895452778858"/>
    <n v="645.16129032258061"/>
    <n v="15969.536300038868"/>
    <n v="-1799.5363000388679"/>
    <n v="1417"/>
    <n v="1012.1428571428571"/>
  </r>
  <r>
    <d v="2024-08-10T00:00:00"/>
    <d v="2024-08-01T00:00:00"/>
    <x v="7"/>
    <x v="1"/>
    <n v="11"/>
    <n v="14"/>
    <x v="1"/>
    <n v="1119"/>
    <n v="12309"/>
    <n v="2707.98"/>
    <n v="8064.5161290322585"/>
    <n v="2258.0645161290322"/>
    <n v="331.32530120481931"/>
    <n v="1675.5588223863194"/>
    <n v="645.16129032258061"/>
    <n v="15682.606059075011"/>
    <n v="-3373.6060590750112"/>
    <n v="1119"/>
    <n v="879.21428571428567"/>
  </r>
  <r>
    <d v="2024-08-11T00:00:00"/>
    <d v="2024-08-01T00:00:00"/>
    <x v="7"/>
    <x v="1"/>
    <n v="10"/>
    <n v="14"/>
    <x v="4"/>
    <n v="1616"/>
    <n v="16160"/>
    <n v="3555.2"/>
    <n v="8064.5161290322585"/>
    <n v="2258.0645161290322"/>
    <n v="301.20481927710847"/>
    <n v="1583.1895452778858"/>
    <n v="645.16129032258061"/>
    <n v="16407.336300038867"/>
    <n v="-247.33630003886719"/>
    <n v="1616"/>
    <n v="1154.2857142857142"/>
  </r>
  <r>
    <d v="2024-08-12T00:00:00"/>
    <d v="2024-08-01T00:00:00"/>
    <x v="7"/>
    <x v="1"/>
    <n v="14"/>
    <n v="14"/>
    <x v="3"/>
    <n v="1422"/>
    <n v="19908"/>
    <n v="4379.76"/>
    <n v="8064.5161290322585"/>
    <n v="2258.0645161290322"/>
    <n v="421.68674698795184"/>
    <n v="1952.6666537116207"/>
    <n v="645.16129032258061"/>
    <n v="17721.855336183446"/>
    <n v="2186.1446638165544"/>
    <n v="1422"/>
    <n v="1422"/>
  </r>
  <r>
    <d v="2024-08-13T00:00:00"/>
    <d v="2024-08-01T00:00:00"/>
    <x v="7"/>
    <x v="1"/>
    <n v="10"/>
    <n v="14"/>
    <x v="4"/>
    <n v="1318"/>
    <n v="13180"/>
    <n v="2899.6"/>
    <n v="8064.5161290322585"/>
    <n v="2258.0645161290322"/>
    <n v="301.20481927710847"/>
    <n v="1583.1895452778858"/>
    <n v="645.16129032258061"/>
    <n v="15751.736300038867"/>
    <n v="-2571.7363000388668"/>
    <n v="1318"/>
    <n v="941.42857142857144"/>
  </r>
  <r>
    <d v="2024-08-14T00:00:00"/>
    <d v="2024-08-01T00:00:00"/>
    <x v="7"/>
    <x v="1"/>
    <n v="13"/>
    <n v="14"/>
    <x v="2"/>
    <n v="1830"/>
    <n v="23790"/>
    <n v="5233.8"/>
    <n v="8064.5161290322585"/>
    <n v="2258.0645161290322"/>
    <n v="391.56626506024099"/>
    <n v="1860.2973766031869"/>
    <n v="645.16129032258061"/>
    <n v="18453.405577147299"/>
    <n v="5336.5944228527005"/>
    <n v="1830"/>
    <n v="1699.2857142857142"/>
  </r>
  <r>
    <d v="2024-08-15T00:00:00"/>
    <d v="2024-08-01T00:00:00"/>
    <x v="7"/>
    <x v="1"/>
    <n v="10"/>
    <n v="14"/>
    <x v="4"/>
    <n v="1525"/>
    <n v="15250"/>
    <n v="3355"/>
    <n v="8064.5161290322585"/>
    <n v="2258.0645161290322"/>
    <n v="301.20481927710847"/>
    <n v="1583.1895452778858"/>
    <n v="645.16129032258061"/>
    <n v="16207.136300038866"/>
    <n v="-957.13630003886647"/>
    <n v="1525"/>
    <n v="1089.2857142857142"/>
  </r>
  <r>
    <d v="2024-08-16T00:00:00"/>
    <d v="2024-08-01T00:00:00"/>
    <x v="7"/>
    <x v="1"/>
    <n v="14"/>
    <n v="14"/>
    <x v="3"/>
    <n v="1042"/>
    <n v="14588"/>
    <n v="3209.36"/>
    <n v="8064.5161290322585"/>
    <n v="2258.0645161290322"/>
    <n v="421.68674698795184"/>
    <n v="1952.6666537116207"/>
    <n v="645.16129032258061"/>
    <n v="16551.455336183444"/>
    <n v="-1963.4553361834442"/>
    <n v="1042"/>
    <n v="1042"/>
  </r>
  <r>
    <d v="2024-08-17T00:00:00"/>
    <d v="2024-08-01T00:00:00"/>
    <x v="7"/>
    <x v="1"/>
    <n v="9"/>
    <n v="14"/>
    <x v="5"/>
    <n v="1642"/>
    <n v="14778"/>
    <n v="3251.16"/>
    <n v="8064.5161290322585"/>
    <n v="2258.0645161290322"/>
    <n v="271.08433734939763"/>
    <n v="1490.820268169452"/>
    <n v="645.16129032258061"/>
    <n v="15980.806541002721"/>
    <n v="-1202.8065410027211"/>
    <n v="1642"/>
    <n v="1055.5714285714287"/>
  </r>
  <r>
    <d v="2024-08-18T00:00:00"/>
    <d v="2024-08-01T00:00:00"/>
    <x v="7"/>
    <x v="1"/>
    <n v="13"/>
    <n v="14"/>
    <x v="2"/>
    <n v="1228"/>
    <n v="15964"/>
    <n v="3512.08"/>
    <n v="8064.5161290322585"/>
    <n v="2258.0645161290322"/>
    <n v="391.56626506024099"/>
    <n v="1860.2973766031869"/>
    <n v="645.16129032258061"/>
    <n v="16731.685577147298"/>
    <n v="-767.68557714729832"/>
    <n v="1228"/>
    <n v="1140.2857142857142"/>
  </r>
  <r>
    <d v="2024-08-19T00:00:00"/>
    <d v="2024-08-01T00:00:00"/>
    <x v="7"/>
    <x v="1"/>
    <n v="9"/>
    <n v="14"/>
    <x v="5"/>
    <n v="1226"/>
    <n v="11034"/>
    <n v="2427.48"/>
    <n v="8064.5161290322585"/>
    <n v="2258.0645161290322"/>
    <n v="271.08433734939763"/>
    <n v="1490.820268169452"/>
    <n v="645.16129032258061"/>
    <n v="15157.126541002721"/>
    <n v="-4123.1265410027208"/>
    <n v="1226"/>
    <n v="788.14285714285711"/>
  </r>
  <r>
    <d v="2024-08-20T00:00:00"/>
    <d v="2024-08-01T00:00:00"/>
    <x v="7"/>
    <x v="1"/>
    <n v="9"/>
    <n v="14"/>
    <x v="5"/>
    <n v="1889"/>
    <n v="17001"/>
    <n v="3740.22"/>
    <n v="8064.5161290322585"/>
    <n v="2258.0645161290322"/>
    <n v="271.08433734939763"/>
    <n v="1490.820268169452"/>
    <n v="645.16129032258061"/>
    <n v="16469.866541002721"/>
    <n v="531.13345899727938"/>
    <n v="1889"/>
    <n v="1214.3571428571429"/>
  </r>
  <r>
    <d v="2024-08-21T00:00:00"/>
    <d v="2024-08-01T00:00:00"/>
    <x v="7"/>
    <x v="1"/>
    <n v="11"/>
    <n v="14"/>
    <x v="1"/>
    <n v="1296"/>
    <n v="14256"/>
    <n v="3136.32"/>
    <n v="8064.5161290322585"/>
    <n v="2258.0645161290322"/>
    <n v="331.32530120481931"/>
    <n v="1675.5588223863194"/>
    <n v="645.16129032258061"/>
    <n v="16110.946059075011"/>
    <n v="-1854.9460590750114"/>
    <n v="1296"/>
    <n v="1018.2857142857143"/>
  </r>
  <r>
    <d v="2024-08-22T00:00:00"/>
    <d v="2024-08-01T00:00:00"/>
    <x v="7"/>
    <x v="1"/>
    <n v="13"/>
    <n v="14"/>
    <x v="2"/>
    <n v="1751"/>
    <n v="22763"/>
    <n v="5007.8599999999997"/>
    <n v="8064.5161290322585"/>
    <n v="2258.0645161290322"/>
    <n v="391.56626506024099"/>
    <n v="1860.2973766031869"/>
    <n v="645.16129032258061"/>
    <n v="18227.465577147297"/>
    <n v="4535.5344228527028"/>
    <n v="1751"/>
    <n v="1625.9285714285713"/>
  </r>
  <r>
    <d v="2024-08-23T00:00:00"/>
    <d v="2024-08-01T00:00:00"/>
    <x v="7"/>
    <x v="1"/>
    <n v="9"/>
    <n v="14"/>
    <x v="5"/>
    <n v="1703"/>
    <n v="15327"/>
    <n v="3371.94"/>
    <n v="8064.5161290322585"/>
    <n v="2258.0645161290322"/>
    <n v="271.08433734939763"/>
    <n v="1490.820268169452"/>
    <n v="645.16129032258061"/>
    <n v="16101.58654100272"/>
    <n v="-774.58654100271997"/>
    <n v="1703"/>
    <n v="1094.7857142857142"/>
  </r>
  <r>
    <d v="2024-08-24T00:00:00"/>
    <d v="2024-08-01T00:00:00"/>
    <x v="7"/>
    <x v="1"/>
    <n v="8"/>
    <n v="14"/>
    <x v="6"/>
    <n v="1501"/>
    <n v="12008"/>
    <n v="2641.76"/>
    <n v="8064.5161290322585"/>
    <n v="2258.0645161290322"/>
    <n v="240.96385542168676"/>
    <n v="1398.4509910610182"/>
    <n v="645.16129032258061"/>
    <n v="15248.916781966578"/>
    <n v="-3240.9167819665781"/>
    <n v="1501"/>
    <n v="857.71428571428567"/>
  </r>
  <r>
    <d v="2024-08-25T00:00:00"/>
    <d v="2024-08-01T00:00:00"/>
    <x v="7"/>
    <x v="1"/>
    <n v="11"/>
    <n v="14"/>
    <x v="1"/>
    <n v="1931"/>
    <n v="21241"/>
    <n v="4673.0200000000004"/>
    <n v="8064.5161290322585"/>
    <n v="2258.0645161290322"/>
    <n v="331.32530120481931"/>
    <n v="1675.5588223863194"/>
    <n v="645.16129032258061"/>
    <n v="17647.646059075007"/>
    <n v="3593.3539409249934"/>
    <n v="1931"/>
    <n v="1517.2142857142858"/>
  </r>
  <r>
    <d v="2024-08-26T00:00:00"/>
    <d v="2024-08-01T00:00:00"/>
    <x v="7"/>
    <x v="1"/>
    <n v="8"/>
    <n v="14"/>
    <x v="6"/>
    <n v="1716"/>
    <n v="13728"/>
    <n v="3020.16"/>
    <n v="8064.5161290322585"/>
    <n v="2258.0645161290322"/>
    <n v="240.96385542168676"/>
    <n v="1398.4509910610182"/>
    <n v="645.16129032258061"/>
    <n v="15627.316781966576"/>
    <n v="-1899.3167819665759"/>
    <n v="1716"/>
    <n v="980.57142857142856"/>
  </r>
  <r>
    <d v="2024-08-27T00:00:00"/>
    <d v="2024-08-01T00:00:00"/>
    <x v="7"/>
    <x v="1"/>
    <n v="9"/>
    <n v="14"/>
    <x v="5"/>
    <n v="1236"/>
    <n v="11124"/>
    <n v="2447.2800000000002"/>
    <n v="8064.5161290322585"/>
    <n v="2258.0645161290322"/>
    <n v="271.08433734939763"/>
    <n v="1490.820268169452"/>
    <n v="645.16129032258061"/>
    <n v="15176.92654100272"/>
    <n v="-4052.9265410027201"/>
    <n v="1236"/>
    <n v="794.57142857142856"/>
  </r>
  <r>
    <d v="2024-08-28T00:00:00"/>
    <d v="2024-08-01T00:00:00"/>
    <x v="7"/>
    <x v="1"/>
    <n v="10"/>
    <n v="14"/>
    <x v="4"/>
    <n v="1760"/>
    <n v="17600"/>
    <n v="3872"/>
    <n v="8064.5161290322585"/>
    <n v="2258.0645161290322"/>
    <n v="301.20481927710847"/>
    <n v="1583.1895452778858"/>
    <n v="645.16129032258061"/>
    <n v="16724.136300038866"/>
    <n v="875.86369996113353"/>
    <n v="1760"/>
    <n v="1257.1428571428571"/>
  </r>
  <r>
    <d v="2024-08-29T00:00:00"/>
    <d v="2024-08-01T00:00:00"/>
    <x v="7"/>
    <x v="1"/>
    <n v="14"/>
    <n v="14"/>
    <x v="3"/>
    <n v="1996"/>
    <n v="27944"/>
    <n v="6147.68"/>
    <n v="8064.5161290322585"/>
    <n v="2258.0645161290322"/>
    <n v="421.68674698795184"/>
    <n v="1952.6666537116207"/>
    <n v="645.16129032258061"/>
    <n v="19489.77533618344"/>
    <n v="8454.2246638165598"/>
    <n v="1996"/>
    <n v="1996"/>
  </r>
  <r>
    <d v="2024-08-30T00:00:00"/>
    <d v="2024-08-01T00:00:00"/>
    <x v="7"/>
    <x v="1"/>
    <n v="10"/>
    <n v="14"/>
    <x v="4"/>
    <n v="1915"/>
    <n v="19150"/>
    <n v="4213"/>
    <n v="8064.5161290322585"/>
    <n v="2258.0645161290322"/>
    <n v="301.20481927710847"/>
    <n v="1583.1895452778858"/>
    <n v="645.16129032258061"/>
    <n v="17065.136300038863"/>
    <n v="2084.8636999611372"/>
    <n v="1915"/>
    <n v="1367.8571428571429"/>
  </r>
  <r>
    <d v="2024-08-31T00:00:00"/>
    <d v="2024-08-01T00:00:00"/>
    <x v="7"/>
    <x v="1"/>
    <n v="12"/>
    <n v="14"/>
    <x v="0"/>
    <n v="1160"/>
    <n v="13920"/>
    <n v="3062.4"/>
    <n v="8064.5161290322585"/>
    <n v="2258.0645161290322"/>
    <n v="361.44578313253015"/>
    <n v="1767.9280994947533"/>
    <n v="645.16129032258061"/>
    <n v="16159.515818111156"/>
    <n v="-2239.5158181111565"/>
    <n v="1160"/>
    <n v="994.28571428571433"/>
  </r>
  <r>
    <d v="2024-09-01T00:00:00"/>
    <d v="2024-09-01T00:00:00"/>
    <x v="8"/>
    <x v="1"/>
    <n v="10"/>
    <n v="14"/>
    <x v="4"/>
    <n v="1974"/>
    <n v="19740"/>
    <n v="4342.8"/>
    <n v="8333.3333333333339"/>
    <n v="2333.3333333333335"/>
    <n v="301.20481927710847"/>
    <n v="1575.1175903614458"/>
    <n v="666.66666666666663"/>
    <n v="17552.455742971892"/>
    <n v="2187.5442570281084"/>
    <n v="1974"/>
    <n v="1410"/>
  </r>
  <r>
    <d v="2024-09-02T00:00:00"/>
    <d v="2024-09-01T00:00:00"/>
    <x v="8"/>
    <x v="1"/>
    <n v="13"/>
    <n v="14"/>
    <x v="2"/>
    <n v="1250"/>
    <n v="16250"/>
    <n v="3575"/>
    <n v="8333.3333333333339"/>
    <n v="2333.3333333333335"/>
    <n v="391.56626506024099"/>
    <n v="1847.0368674698793"/>
    <n v="666.66666666666663"/>
    <n v="17146.936465863455"/>
    <n v="-896.93646586345494"/>
    <n v="1250"/>
    <n v="1160.7142857142858"/>
  </r>
  <r>
    <d v="2024-09-03T00:00:00"/>
    <d v="2024-09-01T00:00:00"/>
    <x v="8"/>
    <x v="1"/>
    <n v="14"/>
    <n v="14"/>
    <x v="3"/>
    <n v="1978"/>
    <n v="27692"/>
    <n v="6092.24"/>
    <n v="8333.3333333333339"/>
    <n v="2333.3333333333335"/>
    <n v="421.68674698795184"/>
    <n v="1937.6766265060239"/>
    <n v="666.66666666666663"/>
    <n v="19784.93670682731"/>
    <n v="7907.0632931726905"/>
    <n v="1978"/>
    <n v="1978"/>
  </r>
  <r>
    <d v="2024-09-04T00:00:00"/>
    <d v="2024-09-01T00:00:00"/>
    <x v="8"/>
    <x v="1"/>
    <n v="9"/>
    <n v="14"/>
    <x v="5"/>
    <n v="1386"/>
    <n v="12474"/>
    <n v="2744.28"/>
    <n v="8333.3333333333339"/>
    <n v="2333.3333333333335"/>
    <n v="271.08433734939763"/>
    <n v="1484.4778313253012"/>
    <n v="666.66666666666663"/>
    <n v="15833.175502008033"/>
    <n v="-3359.1755020080327"/>
    <n v="1386"/>
    <n v="891"/>
  </r>
  <r>
    <d v="2024-09-05T00:00:00"/>
    <d v="2024-09-01T00:00:00"/>
    <x v="8"/>
    <x v="1"/>
    <n v="9"/>
    <n v="14"/>
    <x v="5"/>
    <n v="1851"/>
    <n v="16659"/>
    <n v="3664.98"/>
    <n v="8333.3333333333339"/>
    <n v="2333.3333333333335"/>
    <n v="271.08433734939763"/>
    <n v="1484.4778313253012"/>
    <n v="666.66666666666663"/>
    <n v="16753.875502008032"/>
    <n v="-94.875502008031617"/>
    <n v="1851"/>
    <n v="1189.9285714285713"/>
  </r>
  <r>
    <d v="2024-09-06T00:00:00"/>
    <d v="2024-09-01T00:00:00"/>
    <x v="8"/>
    <x v="1"/>
    <n v="9"/>
    <n v="14"/>
    <x v="5"/>
    <n v="1537"/>
    <n v="13833"/>
    <n v="3043.26"/>
    <n v="8333.3333333333339"/>
    <n v="2333.3333333333335"/>
    <n v="271.08433734939763"/>
    <n v="1484.4778313253012"/>
    <n v="666.66666666666663"/>
    <n v="16132.155502008032"/>
    <n v="-2299.1555020080323"/>
    <n v="1537"/>
    <n v="988.07142857142856"/>
  </r>
  <r>
    <d v="2024-09-07T00:00:00"/>
    <d v="2024-09-01T00:00:00"/>
    <x v="8"/>
    <x v="1"/>
    <n v="14"/>
    <n v="14"/>
    <x v="3"/>
    <n v="1403"/>
    <n v="19642"/>
    <n v="4321.24"/>
    <n v="8333.3333333333339"/>
    <n v="2333.3333333333335"/>
    <n v="421.68674698795184"/>
    <n v="1937.6766265060239"/>
    <n v="666.66666666666663"/>
    <n v="18013.936706827313"/>
    <n v="1628.0632931726868"/>
    <n v="1403"/>
    <n v="1403"/>
  </r>
  <r>
    <d v="2024-09-08T00:00:00"/>
    <d v="2024-09-01T00:00:00"/>
    <x v="8"/>
    <x v="1"/>
    <n v="9"/>
    <n v="14"/>
    <x v="5"/>
    <n v="1787"/>
    <n v="16083"/>
    <n v="3538.26"/>
    <n v="8333.3333333333339"/>
    <n v="2333.3333333333335"/>
    <n v="271.08433734939763"/>
    <n v="1484.4778313253012"/>
    <n v="666.66666666666663"/>
    <n v="16627.155502008034"/>
    <n v="-544.15550200803409"/>
    <n v="1787"/>
    <n v="1148.7857142857142"/>
  </r>
  <r>
    <d v="2024-09-09T00:00:00"/>
    <d v="2024-09-01T00:00:00"/>
    <x v="8"/>
    <x v="1"/>
    <n v="8"/>
    <n v="14"/>
    <x v="6"/>
    <n v="1813"/>
    <n v="14504"/>
    <n v="3190.88"/>
    <n v="8333.3333333333339"/>
    <n v="2333.3333333333335"/>
    <n v="240.96385542168676"/>
    <n v="1393.8380722891566"/>
    <n v="666.66666666666663"/>
    <n v="16159.015261044176"/>
    <n v="-1655.0152610441764"/>
    <n v="1813"/>
    <n v="1036"/>
  </r>
  <r>
    <d v="2024-09-10T00:00:00"/>
    <d v="2024-09-01T00:00:00"/>
    <x v="8"/>
    <x v="1"/>
    <n v="10"/>
    <n v="14"/>
    <x v="4"/>
    <n v="1384"/>
    <n v="13840"/>
    <n v="3044.8"/>
    <n v="8333.3333333333339"/>
    <n v="2333.3333333333335"/>
    <n v="301.20481927710847"/>
    <n v="1575.1175903614458"/>
    <n v="666.66666666666663"/>
    <n v="16254.45574297189"/>
    <n v="-2414.4557429718898"/>
    <n v="1384"/>
    <n v="988.57142857142856"/>
  </r>
  <r>
    <d v="2024-09-11T00:00:00"/>
    <d v="2024-09-01T00:00:00"/>
    <x v="8"/>
    <x v="1"/>
    <n v="9"/>
    <n v="14"/>
    <x v="5"/>
    <n v="1421"/>
    <n v="12789"/>
    <n v="2813.58"/>
    <n v="8333.3333333333339"/>
    <n v="2333.3333333333335"/>
    <n v="271.08433734939763"/>
    <n v="1484.4778313253012"/>
    <n v="666.66666666666663"/>
    <n v="15902.475502008032"/>
    <n v="-3113.475502008032"/>
    <n v="1421"/>
    <n v="913.5"/>
  </r>
  <r>
    <d v="2024-09-12T00:00:00"/>
    <d v="2024-09-01T00:00:00"/>
    <x v="8"/>
    <x v="1"/>
    <n v="11"/>
    <n v="14"/>
    <x v="1"/>
    <n v="1073"/>
    <n v="11803"/>
    <n v="2596.66"/>
    <n v="8333.3333333333339"/>
    <n v="2333.3333333333335"/>
    <n v="331.32530120481931"/>
    <n v="1665.7573493975901"/>
    <n v="666.66666666666663"/>
    <n v="15927.075983935743"/>
    <n v="-4124.0759839357434"/>
    <n v="1073"/>
    <n v="843.07142857142856"/>
  </r>
  <r>
    <d v="2024-09-13T00:00:00"/>
    <d v="2024-09-01T00:00:00"/>
    <x v="8"/>
    <x v="1"/>
    <n v="9"/>
    <n v="14"/>
    <x v="5"/>
    <n v="1260"/>
    <n v="11340"/>
    <n v="2494.8000000000002"/>
    <n v="8333.3333333333339"/>
    <n v="2333.3333333333335"/>
    <n v="271.08433734939763"/>
    <n v="1484.4778313253012"/>
    <n v="666.66666666666663"/>
    <n v="15583.695502008033"/>
    <n v="-4243.6955020080331"/>
    <n v="1260"/>
    <n v="810"/>
  </r>
  <r>
    <d v="2024-09-14T00:00:00"/>
    <d v="2024-09-01T00:00:00"/>
    <x v="8"/>
    <x v="1"/>
    <n v="14"/>
    <n v="14"/>
    <x v="3"/>
    <n v="1011"/>
    <n v="14154"/>
    <n v="3113.88"/>
    <n v="8333.3333333333339"/>
    <n v="2333.3333333333335"/>
    <n v="421.68674698795184"/>
    <n v="1937.6766265060239"/>
    <n v="666.66666666666663"/>
    <n v="16806.576706827309"/>
    <n v="-2652.576706827309"/>
    <n v="1011"/>
    <n v="1011"/>
  </r>
  <r>
    <d v="2024-09-15T00:00:00"/>
    <d v="2024-09-01T00:00:00"/>
    <x v="8"/>
    <x v="1"/>
    <n v="11"/>
    <n v="14"/>
    <x v="1"/>
    <n v="1663"/>
    <n v="18293"/>
    <n v="4024.46"/>
    <n v="8333.3333333333339"/>
    <n v="2333.3333333333335"/>
    <n v="331.32530120481931"/>
    <n v="1665.7573493975901"/>
    <n v="666.66666666666663"/>
    <n v="17354.875983935744"/>
    <n v="938.12401606425556"/>
    <n v="1663"/>
    <n v="1306.6428571428571"/>
  </r>
  <r>
    <d v="2024-09-16T00:00:00"/>
    <d v="2024-09-01T00:00:00"/>
    <x v="8"/>
    <x v="1"/>
    <n v="9"/>
    <n v="14"/>
    <x v="5"/>
    <n v="1342"/>
    <n v="12078"/>
    <n v="2657.16"/>
    <n v="8333.3333333333339"/>
    <n v="2333.3333333333335"/>
    <n v="271.08433734939763"/>
    <n v="1484.4778313253012"/>
    <n v="666.66666666666663"/>
    <n v="15746.055502008032"/>
    <n v="-3668.0555020080319"/>
    <n v="1342"/>
    <n v="862.71428571428567"/>
  </r>
  <r>
    <d v="2024-09-17T00:00:00"/>
    <d v="2024-09-01T00:00:00"/>
    <x v="8"/>
    <x v="1"/>
    <n v="12"/>
    <n v="14"/>
    <x v="0"/>
    <n v="1512"/>
    <n v="18144"/>
    <n v="3991.68"/>
    <n v="8333.3333333333339"/>
    <n v="2333.3333333333335"/>
    <n v="361.44578313253015"/>
    <n v="1756.3971084337347"/>
    <n v="666.66666666666663"/>
    <n v="17442.856224899602"/>
    <n v="701.14377510039776"/>
    <n v="1512"/>
    <n v="1296"/>
  </r>
  <r>
    <d v="2024-09-18T00:00:00"/>
    <d v="2024-09-01T00:00:00"/>
    <x v="8"/>
    <x v="1"/>
    <n v="10"/>
    <n v="14"/>
    <x v="4"/>
    <n v="1787"/>
    <n v="17870"/>
    <n v="3931.4"/>
    <n v="8333.3333333333339"/>
    <n v="2333.3333333333335"/>
    <n v="301.20481927710847"/>
    <n v="1575.1175903614458"/>
    <n v="666.66666666666663"/>
    <n v="17141.05574297189"/>
    <n v="728.94425702810986"/>
    <n v="1787"/>
    <n v="1276.4285714285713"/>
  </r>
  <r>
    <d v="2024-09-19T00:00:00"/>
    <d v="2024-09-01T00:00:00"/>
    <x v="8"/>
    <x v="1"/>
    <n v="13"/>
    <n v="14"/>
    <x v="2"/>
    <n v="1314"/>
    <n v="17082"/>
    <n v="3758.04"/>
    <n v="8333.3333333333339"/>
    <n v="2333.3333333333335"/>
    <n v="391.56626506024099"/>
    <n v="1847.0368674698793"/>
    <n v="666.66666666666663"/>
    <n v="17329.976465863456"/>
    <n v="-247.97646586345581"/>
    <n v="1314"/>
    <n v="1220.1428571428571"/>
  </r>
  <r>
    <d v="2024-09-20T00:00:00"/>
    <d v="2024-09-01T00:00:00"/>
    <x v="8"/>
    <x v="1"/>
    <n v="12"/>
    <n v="14"/>
    <x v="0"/>
    <n v="1107"/>
    <n v="13284"/>
    <n v="2922.48"/>
    <n v="8333.3333333333339"/>
    <n v="2333.3333333333335"/>
    <n v="361.44578313253015"/>
    <n v="1756.3971084337347"/>
    <n v="666.66666666666663"/>
    <n v="16373.6562248996"/>
    <n v="-3089.6562248995997"/>
    <n v="1107"/>
    <n v="948.85714285714289"/>
  </r>
  <r>
    <d v="2024-09-21T00:00:00"/>
    <d v="2024-09-01T00:00:00"/>
    <x v="8"/>
    <x v="1"/>
    <n v="12"/>
    <n v="14"/>
    <x v="0"/>
    <n v="1501"/>
    <n v="18012"/>
    <n v="3962.64"/>
    <n v="8333.3333333333339"/>
    <n v="2333.3333333333335"/>
    <n v="361.44578313253015"/>
    <n v="1756.3971084337347"/>
    <n v="666.66666666666663"/>
    <n v="17413.816224899601"/>
    <n v="598.18377510039863"/>
    <n v="1501"/>
    <n v="1286.5714285714287"/>
  </r>
  <r>
    <d v="2024-09-22T00:00:00"/>
    <d v="2024-09-01T00:00:00"/>
    <x v="8"/>
    <x v="1"/>
    <n v="12"/>
    <n v="14"/>
    <x v="0"/>
    <n v="1922"/>
    <n v="23064"/>
    <n v="5074.08"/>
    <n v="8333.3333333333339"/>
    <n v="2333.3333333333335"/>
    <n v="361.44578313253015"/>
    <n v="1756.3971084337347"/>
    <n v="666.66666666666663"/>
    <n v="18525.2562248996"/>
    <n v="4538.7437751003999"/>
    <n v="1922"/>
    <n v="1647.4285714285713"/>
  </r>
  <r>
    <d v="2024-09-23T00:00:00"/>
    <d v="2024-09-01T00:00:00"/>
    <x v="8"/>
    <x v="1"/>
    <n v="13"/>
    <n v="14"/>
    <x v="2"/>
    <n v="1138"/>
    <n v="14794"/>
    <n v="3254.68"/>
    <n v="8333.3333333333339"/>
    <n v="2333.3333333333335"/>
    <n v="391.56626506024099"/>
    <n v="1847.0368674698793"/>
    <n v="666.66666666666663"/>
    <n v="16826.616465863455"/>
    <n v="-2032.6164658634552"/>
    <n v="1138"/>
    <n v="1056.7142857142858"/>
  </r>
  <r>
    <d v="2024-09-24T00:00:00"/>
    <d v="2024-09-01T00:00:00"/>
    <x v="8"/>
    <x v="1"/>
    <n v="9"/>
    <n v="14"/>
    <x v="5"/>
    <n v="1748"/>
    <n v="15732"/>
    <n v="3461.04"/>
    <n v="8333.3333333333339"/>
    <n v="2333.3333333333335"/>
    <n v="271.08433734939763"/>
    <n v="1484.4778313253012"/>
    <n v="666.66666666666663"/>
    <n v="16549.935502008033"/>
    <n v="-817.93550200803293"/>
    <n v="1748"/>
    <n v="1123.7142857142858"/>
  </r>
  <r>
    <d v="2024-09-25T00:00:00"/>
    <d v="2024-09-01T00:00:00"/>
    <x v="8"/>
    <x v="1"/>
    <n v="11"/>
    <n v="14"/>
    <x v="1"/>
    <n v="1425"/>
    <n v="15675"/>
    <n v="3448.5"/>
    <n v="8333.3333333333339"/>
    <n v="2333.3333333333335"/>
    <n v="331.32530120481931"/>
    <n v="1665.7573493975901"/>
    <n v="666.66666666666663"/>
    <n v="16778.915983935745"/>
    <n v="-1103.9159839357453"/>
    <n v="1425"/>
    <n v="1119.6428571428571"/>
  </r>
  <r>
    <d v="2024-09-26T00:00:00"/>
    <d v="2024-09-01T00:00:00"/>
    <x v="8"/>
    <x v="1"/>
    <n v="14"/>
    <n v="14"/>
    <x v="3"/>
    <n v="1147"/>
    <n v="16058"/>
    <n v="3532.76"/>
    <n v="8333.3333333333339"/>
    <n v="2333.3333333333335"/>
    <n v="421.68674698795184"/>
    <n v="1937.6766265060239"/>
    <n v="666.66666666666663"/>
    <n v="17225.456706827314"/>
    <n v="-1167.4567068273136"/>
    <n v="1147"/>
    <n v="1147"/>
  </r>
  <r>
    <d v="2024-09-27T00:00:00"/>
    <d v="2024-09-01T00:00:00"/>
    <x v="8"/>
    <x v="1"/>
    <n v="10"/>
    <n v="14"/>
    <x v="4"/>
    <n v="1647"/>
    <n v="16470"/>
    <n v="3623.4"/>
    <n v="8333.3333333333339"/>
    <n v="2333.3333333333335"/>
    <n v="301.20481927710847"/>
    <n v="1575.1175903614458"/>
    <n v="666.66666666666663"/>
    <n v="16833.05574297189"/>
    <n v="-363.05574297189014"/>
    <n v="1647"/>
    <n v="1176.4285714285713"/>
  </r>
  <r>
    <d v="2024-09-28T00:00:00"/>
    <d v="2024-09-01T00:00:00"/>
    <x v="8"/>
    <x v="1"/>
    <n v="13"/>
    <n v="14"/>
    <x v="2"/>
    <n v="1966"/>
    <n v="25558"/>
    <n v="5622.76"/>
    <n v="8333.3333333333339"/>
    <n v="2333.3333333333335"/>
    <n v="391.56626506024099"/>
    <n v="1847.0368674698793"/>
    <n v="666.66666666666663"/>
    <n v="19194.696465863457"/>
    <n v="6363.303534136543"/>
    <n v="1966"/>
    <n v="1825.5714285714287"/>
  </r>
  <r>
    <d v="2024-09-29T00:00:00"/>
    <d v="2024-09-01T00:00:00"/>
    <x v="8"/>
    <x v="1"/>
    <n v="12"/>
    <n v="14"/>
    <x v="0"/>
    <n v="1659"/>
    <n v="19908"/>
    <n v="4379.76"/>
    <n v="8333.3333333333339"/>
    <n v="2333.3333333333335"/>
    <n v="361.44578313253015"/>
    <n v="1756.3971084337347"/>
    <n v="666.66666666666663"/>
    <n v="17830.9362248996"/>
    <n v="2077.0637751003997"/>
    <n v="1659"/>
    <n v="1422"/>
  </r>
  <r>
    <d v="2024-09-30T00:00:00"/>
    <d v="2024-09-01T00:00:00"/>
    <x v="8"/>
    <x v="1"/>
    <n v="11"/>
    <n v="14"/>
    <x v="1"/>
    <n v="1142"/>
    <n v="12562"/>
    <n v="2763.64"/>
    <n v="8333.3333333333339"/>
    <n v="2333.3333333333335"/>
    <n v="331.32530120481931"/>
    <n v="1665.7573493975901"/>
    <n v="666.66666666666663"/>
    <n v="16094.055983935743"/>
    <n v="-3532.0559839357429"/>
    <n v="1142"/>
    <n v="897.28571428571433"/>
  </r>
  <r>
    <d v="2024-10-01T00:00:00"/>
    <d v="2024-10-01T00:00:00"/>
    <x v="9"/>
    <x v="1"/>
    <n v="13"/>
    <n v="14"/>
    <x v="2"/>
    <n v="1720"/>
    <n v="22360"/>
    <n v="4919.2"/>
    <n v="8064.5161290322585"/>
    <n v="2258.0645161290322"/>
    <n v="400"/>
    <n v="1841.0281290322582"/>
    <n v="645.16129032258061"/>
    <n v="18127.970064516128"/>
    <n v="4232.0299354838717"/>
    <n v="1720"/>
    <n v="1597.1428571428571"/>
  </r>
  <r>
    <d v="2024-10-02T00:00:00"/>
    <d v="2024-10-01T00:00:00"/>
    <x v="9"/>
    <x v="1"/>
    <n v="8"/>
    <n v="14"/>
    <x v="6"/>
    <n v="1624"/>
    <n v="12992"/>
    <n v="2858.2400000000002"/>
    <n v="8064.5161290322585"/>
    <n v="2258.0645161290322"/>
    <n v="246.15384615384616"/>
    <n v="1380.5235136476426"/>
    <n v="645.16129032258061"/>
    <n v="15452.659295285361"/>
    <n v="-2460.6592952853607"/>
    <n v="1624"/>
    <n v="928"/>
  </r>
  <r>
    <d v="2024-10-03T00:00:00"/>
    <d v="2024-10-01T00:00:00"/>
    <x v="9"/>
    <x v="1"/>
    <n v="9"/>
    <n v="14"/>
    <x v="5"/>
    <n v="1457"/>
    <n v="13113"/>
    <n v="2884.86"/>
    <n v="8064.5161290322585"/>
    <n v="2258.0645161290322"/>
    <n v="276.92307692307691"/>
    <n v="1472.6244367245658"/>
    <n v="645.16129032258061"/>
    <n v="15602.149449131513"/>
    <n v="-2489.1494491315134"/>
    <n v="1457"/>
    <n v="936.64285714285711"/>
  </r>
  <r>
    <d v="2024-10-04T00:00:00"/>
    <d v="2024-10-01T00:00:00"/>
    <x v="9"/>
    <x v="1"/>
    <n v="10"/>
    <n v="14"/>
    <x v="4"/>
    <n v="1220"/>
    <n v="12200"/>
    <n v="2684"/>
    <n v="8064.5161290322585"/>
    <n v="2258.0645161290322"/>
    <n v="307.69230769230768"/>
    <n v="1564.725359801489"/>
    <n v="645.16129032258061"/>
    <n v="15524.159602977668"/>
    <n v="-3324.1596029776683"/>
    <n v="1220"/>
    <n v="871.42857142857144"/>
  </r>
  <r>
    <d v="2024-10-05T00:00:00"/>
    <d v="2024-10-01T00:00:00"/>
    <x v="9"/>
    <x v="1"/>
    <n v="10"/>
    <n v="14"/>
    <x v="4"/>
    <n v="1918"/>
    <n v="19180"/>
    <n v="4219.6000000000004"/>
    <n v="8064.5161290322585"/>
    <n v="2258.0645161290322"/>
    <n v="307.69230769230768"/>
    <n v="1564.725359801489"/>
    <n v="645.16129032258061"/>
    <n v="17059.759602977669"/>
    <n v="2120.2403970223313"/>
    <n v="1918"/>
    <n v="1370"/>
  </r>
  <r>
    <d v="2024-10-06T00:00:00"/>
    <d v="2024-10-01T00:00:00"/>
    <x v="9"/>
    <x v="1"/>
    <n v="8"/>
    <n v="14"/>
    <x v="6"/>
    <n v="1579"/>
    <n v="12632"/>
    <n v="2779.04"/>
    <n v="8064.5161290322585"/>
    <n v="2258.0645161290322"/>
    <n v="246.15384615384616"/>
    <n v="1380.5235136476426"/>
    <n v="645.16129032258061"/>
    <n v="15373.45929528536"/>
    <n v="-2741.45929528536"/>
    <n v="1579"/>
    <n v="902.28571428571433"/>
  </r>
  <r>
    <d v="2024-10-07T00:00:00"/>
    <d v="2024-10-01T00:00:00"/>
    <x v="9"/>
    <x v="1"/>
    <n v="12"/>
    <n v="14"/>
    <x v="0"/>
    <n v="1886"/>
    <n v="22632"/>
    <n v="4979.04"/>
    <n v="8064.5161290322585"/>
    <n v="2258.0645161290322"/>
    <n v="369.23076923076923"/>
    <n v="1748.927205955335"/>
    <n v="645.16129032258061"/>
    <n v="18064.939910669975"/>
    <n v="4567.0600893300252"/>
    <n v="1886"/>
    <n v="1616.5714285714287"/>
  </r>
  <r>
    <d v="2024-10-08T00:00:00"/>
    <d v="2024-10-01T00:00:00"/>
    <x v="9"/>
    <x v="1"/>
    <n v="9"/>
    <n v="14"/>
    <x v="5"/>
    <n v="1006"/>
    <n v="9054"/>
    <n v="1991.88"/>
    <n v="8064.5161290322585"/>
    <n v="2258.0645161290322"/>
    <n v="276.92307692307691"/>
    <n v="1472.6244367245658"/>
    <n v="645.16129032258061"/>
    <n v="14709.169449131514"/>
    <n v="-5655.1694491315138"/>
    <n v="1006"/>
    <n v="646.71428571428567"/>
  </r>
  <r>
    <d v="2024-10-09T00:00:00"/>
    <d v="2024-10-01T00:00:00"/>
    <x v="9"/>
    <x v="1"/>
    <n v="8"/>
    <n v="14"/>
    <x v="6"/>
    <n v="1408"/>
    <n v="11264"/>
    <n v="2478.08"/>
    <n v="8064.5161290322585"/>
    <n v="2258.0645161290322"/>
    <n v="246.15384615384616"/>
    <n v="1380.5235136476426"/>
    <n v="645.16129032258061"/>
    <n v="15072.499295285361"/>
    <n v="-3808.4992952853609"/>
    <n v="1408"/>
    <n v="804.57142857142856"/>
  </r>
  <r>
    <d v="2024-10-10T00:00:00"/>
    <d v="2024-10-01T00:00:00"/>
    <x v="9"/>
    <x v="1"/>
    <n v="9"/>
    <n v="14"/>
    <x v="5"/>
    <n v="1549"/>
    <n v="13941"/>
    <n v="3067.02"/>
    <n v="8064.5161290322585"/>
    <n v="2258.0645161290322"/>
    <n v="276.92307692307691"/>
    <n v="1472.6244367245658"/>
    <n v="645.16129032258061"/>
    <n v="15784.309449131513"/>
    <n v="-1843.3094491315132"/>
    <n v="1549"/>
    <n v="995.78571428571433"/>
  </r>
  <r>
    <d v="2024-10-11T00:00:00"/>
    <d v="2024-10-01T00:00:00"/>
    <x v="9"/>
    <x v="1"/>
    <n v="14"/>
    <n v="14"/>
    <x v="3"/>
    <n v="1661"/>
    <n v="23254"/>
    <n v="5115.88"/>
    <n v="8064.5161290322585"/>
    <n v="2258.0645161290322"/>
    <n v="430.76923076923077"/>
    <n v="1933.1290521091812"/>
    <n v="645.16129032258061"/>
    <n v="18447.520218362282"/>
    <n v="4806.4797816377177"/>
    <n v="1661"/>
    <n v="1661"/>
  </r>
  <r>
    <d v="2024-10-12T00:00:00"/>
    <d v="2024-10-01T00:00:00"/>
    <x v="9"/>
    <x v="1"/>
    <n v="10"/>
    <n v="14"/>
    <x v="4"/>
    <n v="1585"/>
    <n v="15850"/>
    <n v="3487"/>
    <n v="8064.5161290322585"/>
    <n v="2258.0645161290322"/>
    <n v="307.69230769230768"/>
    <n v="1564.725359801489"/>
    <n v="645.16129032258061"/>
    <n v="16327.159602977668"/>
    <n v="-477.15960297766833"/>
    <n v="1585"/>
    <n v="1132.1428571428571"/>
  </r>
  <r>
    <d v="2024-10-13T00:00:00"/>
    <d v="2024-10-01T00:00:00"/>
    <x v="9"/>
    <x v="1"/>
    <n v="9"/>
    <n v="14"/>
    <x v="5"/>
    <n v="1684"/>
    <n v="15156"/>
    <n v="3334.32"/>
    <n v="8064.5161290322585"/>
    <n v="2258.0645161290322"/>
    <n v="276.92307692307691"/>
    <n v="1472.6244367245658"/>
    <n v="645.16129032258061"/>
    <n v="16051.609449131514"/>
    <n v="-895.60944913151434"/>
    <n v="1684"/>
    <n v="1082.5714285714287"/>
  </r>
  <r>
    <d v="2024-10-14T00:00:00"/>
    <d v="2024-10-01T00:00:00"/>
    <x v="9"/>
    <x v="1"/>
    <n v="12"/>
    <n v="14"/>
    <x v="0"/>
    <n v="1947"/>
    <n v="23364"/>
    <n v="5140.08"/>
    <n v="8064.5161290322585"/>
    <n v="2258.0645161290322"/>
    <n v="369.23076923076923"/>
    <n v="1748.927205955335"/>
    <n v="645.16129032258061"/>
    <n v="18225.979910669976"/>
    <n v="5138.0200893300243"/>
    <n v="1947"/>
    <n v="1668.8571428571429"/>
  </r>
  <r>
    <d v="2024-10-15T00:00:00"/>
    <d v="2024-10-01T00:00:00"/>
    <x v="9"/>
    <x v="1"/>
    <n v="14"/>
    <n v="14"/>
    <x v="3"/>
    <n v="1093"/>
    <n v="15302"/>
    <n v="3366.44"/>
    <n v="8064.5161290322585"/>
    <n v="2258.0645161290322"/>
    <n v="430.76923076923077"/>
    <n v="1933.1290521091812"/>
    <n v="645.16129032258061"/>
    <n v="16698.080218362284"/>
    <n v="-1396.0802183622836"/>
    <n v="1093"/>
    <n v="1093"/>
  </r>
  <r>
    <d v="2024-10-16T00:00:00"/>
    <d v="2024-10-01T00:00:00"/>
    <x v="9"/>
    <x v="1"/>
    <n v="9"/>
    <n v="14"/>
    <x v="5"/>
    <n v="1772"/>
    <n v="15948"/>
    <n v="3508.56"/>
    <n v="8064.5161290322585"/>
    <n v="2258.0645161290322"/>
    <n v="276.92307692307691"/>
    <n v="1472.6244367245658"/>
    <n v="645.16129032258061"/>
    <n v="16225.849449131514"/>
    <n v="-277.84944913151412"/>
    <n v="1772"/>
    <n v="1139.1428571428571"/>
  </r>
  <r>
    <d v="2024-10-17T00:00:00"/>
    <d v="2024-10-01T00:00:00"/>
    <x v="9"/>
    <x v="1"/>
    <n v="8"/>
    <n v="14"/>
    <x v="6"/>
    <n v="1043"/>
    <n v="8344"/>
    <n v="1835.68"/>
    <n v="8064.5161290322585"/>
    <n v="2258.0645161290322"/>
    <n v="246.15384615384616"/>
    <n v="1380.5235136476426"/>
    <n v="645.16129032258061"/>
    <n v="14430.099295285359"/>
    <n v="-6086.0992952853594"/>
    <n v="1043"/>
    <n v="596"/>
  </r>
  <r>
    <d v="2024-10-18T00:00:00"/>
    <d v="2024-10-01T00:00:00"/>
    <x v="9"/>
    <x v="1"/>
    <n v="12"/>
    <n v="14"/>
    <x v="0"/>
    <n v="1756"/>
    <n v="21072"/>
    <n v="4635.84"/>
    <n v="8064.5161290322585"/>
    <n v="2258.0645161290322"/>
    <n v="369.23076923076923"/>
    <n v="1748.927205955335"/>
    <n v="645.16129032258061"/>
    <n v="17721.739910669974"/>
    <n v="3350.2600893300259"/>
    <n v="1756"/>
    <n v="1505.1428571428571"/>
  </r>
  <r>
    <d v="2024-10-19T00:00:00"/>
    <d v="2024-10-01T00:00:00"/>
    <x v="9"/>
    <x v="1"/>
    <n v="11"/>
    <n v="14"/>
    <x v="1"/>
    <n v="1050"/>
    <n v="11550"/>
    <n v="2541"/>
    <n v="8064.5161290322585"/>
    <n v="2258.0645161290322"/>
    <n v="338.46153846153845"/>
    <n v="1656.826282878412"/>
    <n v="645.16129032258061"/>
    <n v="15504.029756823822"/>
    <n v="-3954.029756823822"/>
    <n v="1050"/>
    <n v="825"/>
  </r>
  <r>
    <d v="2024-10-20T00:00:00"/>
    <d v="2024-10-01T00:00:00"/>
    <x v="9"/>
    <x v="1"/>
    <n v="14"/>
    <n v="14"/>
    <x v="3"/>
    <n v="1531"/>
    <n v="21434"/>
    <n v="4715.4800000000005"/>
    <n v="8064.5161290322585"/>
    <n v="2258.0645161290322"/>
    <n v="430.76923076923077"/>
    <n v="1933.1290521091812"/>
    <n v="645.16129032258061"/>
    <n v="18047.120218362281"/>
    <n v="3386.8797816377191"/>
    <n v="1531"/>
    <n v="1531"/>
  </r>
  <r>
    <d v="2024-10-21T00:00:00"/>
    <d v="2024-10-01T00:00:00"/>
    <x v="9"/>
    <x v="1"/>
    <n v="9"/>
    <n v="14"/>
    <x v="5"/>
    <n v="1510"/>
    <n v="13590"/>
    <n v="2989.8"/>
    <n v="8064.5161290322585"/>
    <n v="2258.0645161290322"/>
    <n v="276.92307692307691"/>
    <n v="1472.6244367245658"/>
    <n v="645.16129032258061"/>
    <n v="15707.089449131514"/>
    <n v="-2117.0894491315139"/>
    <n v="1510"/>
    <n v="970.71428571428567"/>
  </r>
  <r>
    <d v="2024-10-22T00:00:00"/>
    <d v="2024-10-01T00:00:00"/>
    <x v="9"/>
    <x v="1"/>
    <n v="11"/>
    <n v="14"/>
    <x v="1"/>
    <n v="1312"/>
    <n v="14432"/>
    <n v="3175.04"/>
    <n v="8064.5161290322585"/>
    <n v="2258.0645161290322"/>
    <n v="338.46153846153845"/>
    <n v="1656.826282878412"/>
    <n v="645.16129032258061"/>
    <n v="16138.069756823823"/>
    <n v="-1706.0697568238229"/>
    <n v="1312"/>
    <n v="1030.8571428571429"/>
  </r>
  <r>
    <d v="2024-10-23T00:00:00"/>
    <d v="2024-10-01T00:00:00"/>
    <x v="9"/>
    <x v="1"/>
    <n v="10"/>
    <n v="14"/>
    <x v="4"/>
    <n v="1444"/>
    <n v="14440"/>
    <n v="3176.8"/>
    <n v="8064.5161290322585"/>
    <n v="2258.0645161290322"/>
    <n v="307.69230769230768"/>
    <n v="1564.725359801489"/>
    <n v="645.16129032258061"/>
    <n v="16016.959602977669"/>
    <n v="-1576.9596029776694"/>
    <n v="1444"/>
    <n v="1031.4285714285713"/>
  </r>
  <r>
    <d v="2024-10-24T00:00:00"/>
    <d v="2024-10-01T00:00:00"/>
    <x v="9"/>
    <x v="1"/>
    <n v="13"/>
    <n v="14"/>
    <x v="2"/>
    <n v="1557"/>
    <n v="20241"/>
    <n v="4453.0200000000004"/>
    <n v="8064.5161290322585"/>
    <n v="2258.0645161290322"/>
    <n v="400"/>
    <n v="1841.0281290322582"/>
    <n v="645.16129032258061"/>
    <n v="17661.790064516128"/>
    <n v="2579.209935483872"/>
    <n v="1557"/>
    <n v="1445.7857142857142"/>
  </r>
  <r>
    <d v="2024-10-25T00:00:00"/>
    <d v="2024-10-01T00:00:00"/>
    <x v="9"/>
    <x v="1"/>
    <n v="10"/>
    <n v="14"/>
    <x v="4"/>
    <n v="1299"/>
    <n v="12990"/>
    <n v="2857.8"/>
    <n v="8064.5161290322585"/>
    <n v="2258.0645161290322"/>
    <n v="307.69230769230768"/>
    <n v="1564.725359801489"/>
    <n v="645.16129032258061"/>
    <n v="15697.959602977669"/>
    <n v="-2707.9596029776694"/>
    <n v="1299"/>
    <n v="927.85714285714289"/>
  </r>
  <r>
    <d v="2024-10-26T00:00:00"/>
    <d v="2024-10-01T00:00:00"/>
    <x v="9"/>
    <x v="1"/>
    <n v="14"/>
    <n v="14"/>
    <x v="3"/>
    <n v="1895"/>
    <n v="26530"/>
    <n v="5836.6"/>
    <n v="8064.5161290322585"/>
    <n v="2258.0645161290322"/>
    <n v="430.76923076923077"/>
    <n v="1933.1290521091812"/>
    <n v="645.16129032258061"/>
    <n v="19168.240218362283"/>
    <n v="7361.7597816377165"/>
    <n v="1895"/>
    <n v="1895"/>
  </r>
  <r>
    <d v="2024-10-27T00:00:00"/>
    <d v="2024-10-01T00:00:00"/>
    <x v="9"/>
    <x v="1"/>
    <n v="9"/>
    <n v="14"/>
    <x v="5"/>
    <n v="1544"/>
    <n v="13896"/>
    <n v="3057.12"/>
    <n v="8064.5161290322585"/>
    <n v="2258.0645161290322"/>
    <n v="276.92307692307691"/>
    <n v="1472.6244367245658"/>
    <n v="645.16129032258061"/>
    <n v="15774.409449131514"/>
    <n v="-1878.4094491315136"/>
    <n v="1544"/>
    <n v="992.57142857142856"/>
  </r>
  <r>
    <d v="2024-10-28T00:00:00"/>
    <d v="2024-10-01T00:00:00"/>
    <x v="9"/>
    <x v="1"/>
    <n v="11"/>
    <n v="14"/>
    <x v="1"/>
    <n v="1294"/>
    <n v="14234"/>
    <n v="3131.48"/>
    <n v="8064.5161290322585"/>
    <n v="2258.0645161290322"/>
    <n v="338.46153846153845"/>
    <n v="1656.826282878412"/>
    <n v="645.16129032258061"/>
    <n v="16094.509756823823"/>
    <n v="-1860.5097568238234"/>
    <n v="1294"/>
    <n v="1016.7142857142857"/>
  </r>
  <r>
    <d v="2024-10-29T00:00:00"/>
    <d v="2024-10-01T00:00:00"/>
    <x v="9"/>
    <x v="1"/>
    <n v="8"/>
    <n v="14"/>
    <x v="6"/>
    <n v="1417"/>
    <n v="11336"/>
    <n v="2493.92"/>
    <n v="8064.5161290322585"/>
    <n v="2258.0645161290322"/>
    <n v="246.15384615384616"/>
    <n v="1380.5235136476426"/>
    <n v="645.16129032258061"/>
    <n v="15088.339295285361"/>
    <n v="-3752.339295285361"/>
    <n v="1417"/>
    <n v="809.71428571428567"/>
  </r>
  <r>
    <d v="2024-10-30T00:00:00"/>
    <d v="2024-10-01T00:00:00"/>
    <x v="9"/>
    <x v="1"/>
    <n v="11"/>
    <n v="14"/>
    <x v="1"/>
    <n v="1284"/>
    <n v="14124"/>
    <n v="3107.28"/>
    <n v="8064.5161290322585"/>
    <n v="2258.0645161290322"/>
    <n v="338.46153846153845"/>
    <n v="1656.826282878412"/>
    <n v="645.16129032258061"/>
    <n v="16070.309756823823"/>
    <n v="-1946.3097568238227"/>
    <n v="1284"/>
    <n v="1008.8571428571429"/>
  </r>
  <r>
    <d v="2024-10-31T00:00:00"/>
    <d v="2024-10-01T00:00:00"/>
    <x v="9"/>
    <x v="1"/>
    <n v="10"/>
    <n v="14"/>
    <x v="4"/>
    <n v="1918"/>
    <n v="19180"/>
    <n v="4219.6000000000004"/>
    <n v="8064.5161290322585"/>
    <n v="2258.0645161290322"/>
    <n v="307.69230769230768"/>
    <n v="1564.725359801489"/>
    <n v="645.16129032258061"/>
    <n v="17059.759602977669"/>
    <n v="2120.2403970223313"/>
    <n v="1918"/>
    <n v="1370"/>
  </r>
  <r>
    <d v="2024-11-01T00:00:00"/>
    <d v="2024-11-01T00:00:00"/>
    <x v="10"/>
    <x v="1"/>
    <n v="11"/>
    <n v="14"/>
    <x v="1"/>
    <n v="1230"/>
    <n v="13530"/>
    <n v="2976.6"/>
    <n v="8333.3333333333339"/>
    <n v="2333.3333333333335"/>
    <n v="326.40949554896144"/>
    <n v="1648.9894362017803"/>
    <n v="666.66666666666663"/>
    <n v="16285.332265084076"/>
    <n v="-2755.3322650840764"/>
    <n v="1230"/>
    <n v="966.42857142857144"/>
  </r>
  <r>
    <d v="2024-11-02T00:00:00"/>
    <d v="2024-11-01T00:00:00"/>
    <x v="10"/>
    <x v="1"/>
    <n v="12"/>
    <n v="14"/>
    <x v="0"/>
    <n v="1815"/>
    <n v="21780"/>
    <n v="4791.6000000000004"/>
    <n v="8333.3333333333339"/>
    <n v="2333.3333333333335"/>
    <n v="356.08308605341244"/>
    <n v="1738.1775667655786"/>
    <n v="666.66666666666663"/>
    <n v="18219.193986152328"/>
    <n v="3560.8060138476721"/>
    <n v="1815"/>
    <n v="1555.7142857142858"/>
  </r>
  <r>
    <d v="2024-11-03T00:00:00"/>
    <d v="2024-11-01T00:00:00"/>
    <x v="10"/>
    <x v="1"/>
    <n v="9"/>
    <n v="14"/>
    <x v="5"/>
    <n v="1839"/>
    <n v="16551"/>
    <n v="3641.22"/>
    <n v="8333.3333333333339"/>
    <n v="2333.3333333333335"/>
    <n v="267.06231454005933"/>
    <n v="1470.613175074184"/>
    <n v="666.66666666666663"/>
    <n v="16712.228822947578"/>
    <n v="-161.22882294757801"/>
    <n v="1839"/>
    <n v="1182.2142857142858"/>
  </r>
  <r>
    <d v="2024-11-04T00:00:00"/>
    <d v="2024-11-01T00:00:00"/>
    <x v="10"/>
    <x v="1"/>
    <n v="14"/>
    <n v="14"/>
    <x v="3"/>
    <n v="1713"/>
    <n v="23982"/>
    <n v="5276.04"/>
    <n v="8333.3333333333339"/>
    <n v="2333.3333333333335"/>
    <n v="415.43026706231456"/>
    <n v="1916.5538278931749"/>
    <n v="666.66666666666663"/>
    <n v="18941.357428288826"/>
    <n v="5040.6425717111742"/>
    <n v="1713"/>
    <n v="1713"/>
  </r>
  <r>
    <d v="2024-11-05T00:00:00"/>
    <d v="2024-11-01T00:00:00"/>
    <x v="10"/>
    <x v="1"/>
    <n v="11"/>
    <n v="14"/>
    <x v="1"/>
    <n v="1069"/>
    <n v="11759"/>
    <n v="2586.98"/>
    <n v="8333.3333333333339"/>
    <n v="2333.3333333333335"/>
    <n v="326.40949554896144"/>
    <n v="1648.9894362017803"/>
    <n v="666.66666666666663"/>
    <n v="15895.712265084076"/>
    <n v="-4136.7122650840756"/>
    <n v="1069"/>
    <n v="839.92857142857144"/>
  </r>
  <r>
    <d v="2024-11-06T00:00:00"/>
    <d v="2024-11-01T00:00:00"/>
    <x v="10"/>
    <x v="1"/>
    <n v="8"/>
    <n v="14"/>
    <x v="6"/>
    <n v="1407"/>
    <n v="11256"/>
    <n v="2476.3200000000002"/>
    <n v="8333.3333333333339"/>
    <n v="2333.3333333333335"/>
    <n v="237.38872403560831"/>
    <n v="1381.4250445103858"/>
    <n v="666.66666666666663"/>
    <n v="15428.467101879329"/>
    <n v="-4172.4671018793288"/>
    <n v="1407"/>
    <n v="804"/>
  </r>
  <r>
    <d v="2024-11-07T00:00:00"/>
    <d v="2024-11-01T00:00:00"/>
    <x v="10"/>
    <x v="1"/>
    <n v="10"/>
    <n v="14"/>
    <x v="4"/>
    <n v="1918"/>
    <n v="19180"/>
    <n v="4219.6000000000004"/>
    <n v="8333.3333333333339"/>
    <n v="2333.3333333333335"/>
    <n v="296.73590504451039"/>
    <n v="1559.8013056379823"/>
    <n v="666.66666666666663"/>
    <n v="17409.470544015829"/>
    <n v="1770.5294559841714"/>
    <n v="1918"/>
    <n v="1370"/>
  </r>
  <r>
    <d v="2024-11-08T00:00:00"/>
    <d v="2024-11-01T00:00:00"/>
    <x v="10"/>
    <x v="1"/>
    <n v="12"/>
    <n v="14"/>
    <x v="0"/>
    <n v="1624"/>
    <n v="19488"/>
    <n v="4287.3599999999997"/>
    <n v="8333.3333333333339"/>
    <n v="2333.3333333333335"/>
    <n v="356.08308605341244"/>
    <n v="1738.1775667655786"/>
    <n v="666.66666666666663"/>
    <n v="17714.953986152326"/>
    <n v="1773.0460138476737"/>
    <n v="1624"/>
    <n v="1392"/>
  </r>
  <r>
    <d v="2024-11-09T00:00:00"/>
    <d v="2024-11-01T00:00:00"/>
    <x v="10"/>
    <x v="1"/>
    <n v="14"/>
    <n v="14"/>
    <x v="3"/>
    <n v="1712"/>
    <n v="23968"/>
    <n v="5272.96"/>
    <n v="8333.3333333333339"/>
    <n v="2333.3333333333335"/>
    <n v="415.43026706231456"/>
    <n v="1916.5538278931749"/>
    <n v="666.66666666666663"/>
    <n v="18938.277428288828"/>
    <n v="5029.7225717111723"/>
    <n v="1712"/>
    <n v="1712"/>
  </r>
  <r>
    <d v="2024-11-10T00:00:00"/>
    <d v="2024-11-01T00:00:00"/>
    <x v="10"/>
    <x v="1"/>
    <n v="8"/>
    <n v="14"/>
    <x v="6"/>
    <n v="1299"/>
    <n v="10392"/>
    <n v="2286.2400000000002"/>
    <n v="8333.3333333333339"/>
    <n v="2333.3333333333335"/>
    <n v="237.38872403560831"/>
    <n v="1381.4250445103858"/>
    <n v="666.66666666666663"/>
    <n v="15238.387101879329"/>
    <n v="-4846.3871018793288"/>
    <n v="1299"/>
    <n v="742.28571428571433"/>
  </r>
  <r>
    <d v="2024-11-11T00:00:00"/>
    <d v="2024-11-01T00:00:00"/>
    <x v="10"/>
    <x v="1"/>
    <n v="11"/>
    <n v="14"/>
    <x v="1"/>
    <n v="1928"/>
    <n v="21208"/>
    <n v="4665.76"/>
    <n v="8333.3333333333339"/>
    <n v="2333.3333333333335"/>
    <n v="326.40949554896144"/>
    <n v="1648.9894362017803"/>
    <n v="666.66666666666663"/>
    <n v="17974.492265084078"/>
    <n v="3233.5077349159219"/>
    <n v="1928"/>
    <n v="1514.8571428571429"/>
  </r>
  <r>
    <d v="2024-11-12T00:00:00"/>
    <d v="2024-11-01T00:00:00"/>
    <x v="10"/>
    <x v="1"/>
    <n v="13"/>
    <n v="14"/>
    <x v="2"/>
    <n v="1478"/>
    <n v="19214"/>
    <n v="4227.08"/>
    <n v="8333.3333333333339"/>
    <n v="2333.3333333333335"/>
    <n v="385.7566765578635"/>
    <n v="1827.3656973293769"/>
    <n v="666.66666666666663"/>
    <n v="17773.535707220577"/>
    <n v="1440.464292779423"/>
    <n v="1478"/>
    <n v="1372.4285714285713"/>
  </r>
  <r>
    <d v="2024-11-13T00:00:00"/>
    <d v="2024-11-01T00:00:00"/>
    <x v="10"/>
    <x v="1"/>
    <n v="8"/>
    <n v="14"/>
    <x v="6"/>
    <n v="1742"/>
    <n v="13936"/>
    <n v="3065.92"/>
    <n v="8333.3333333333339"/>
    <n v="2333.3333333333335"/>
    <n v="237.38872403560831"/>
    <n v="1381.4250445103858"/>
    <n v="666.66666666666663"/>
    <n v="16018.067101879329"/>
    <n v="-2082.0671018793291"/>
    <n v="1742"/>
    <n v="995.42857142857144"/>
  </r>
  <r>
    <d v="2024-11-14T00:00:00"/>
    <d v="2024-11-01T00:00:00"/>
    <x v="10"/>
    <x v="1"/>
    <n v="14"/>
    <n v="14"/>
    <x v="3"/>
    <n v="1857"/>
    <n v="25998"/>
    <n v="5719.56"/>
    <n v="8333.3333333333339"/>
    <n v="2333.3333333333335"/>
    <n v="415.43026706231456"/>
    <n v="1916.5538278931749"/>
    <n v="666.66666666666663"/>
    <n v="19384.877428288823"/>
    <n v="6613.1225717111774"/>
    <n v="1857"/>
    <n v="1857"/>
  </r>
  <r>
    <d v="2024-11-15T00:00:00"/>
    <d v="2024-11-01T00:00:00"/>
    <x v="10"/>
    <x v="1"/>
    <n v="12"/>
    <n v="14"/>
    <x v="0"/>
    <n v="1265"/>
    <n v="15180"/>
    <n v="3339.6"/>
    <n v="8333.3333333333339"/>
    <n v="2333.3333333333335"/>
    <n v="356.08308605341244"/>
    <n v="1738.1775667655786"/>
    <n v="666.66666666666663"/>
    <n v="16767.193986152328"/>
    <n v="-1587.1939861523279"/>
    <n v="1265"/>
    <n v="1084.2857142857142"/>
  </r>
  <r>
    <d v="2024-11-16T00:00:00"/>
    <d v="2024-11-01T00:00:00"/>
    <x v="10"/>
    <x v="1"/>
    <n v="9"/>
    <n v="14"/>
    <x v="5"/>
    <n v="1554"/>
    <n v="13986"/>
    <n v="3076.92"/>
    <n v="8333.3333333333339"/>
    <n v="2333.3333333333335"/>
    <n v="267.06231454005933"/>
    <n v="1470.613175074184"/>
    <n v="666.66666666666663"/>
    <n v="16147.928822947577"/>
    <n v="-2161.9288229475769"/>
    <n v="1554"/>
    <n v="999"/>
  </r>
  <r>
    <d v="2024-11-17T00:00:00"/>
    <d v="2024-11-01T00:00:00"/>
    <x v="10"/>
    <x v="1"/>
    <n v="9"/>
    <n v="14"/>
    <x v="5"/>
    <n v="1008"/>
    <n v="9072"/>
    <n v="1995.84"/>
    <n v="8333.3333333333339"/>
    <n v="2333.3333333333335"/>
    <n v="267.06231454005933"/>
    <n v="1470.613175074184"/>
    <n v="666.66666666666663"/>
    <n v="15066.848822947577"/>
    <n v="-5994.848822947577"/>
    <n v="1008"/>
    <n v="648"/>
  </r>
  <r>
    <d v="2024-11-18T00:00:00"/>
    <d v="2024-11-01T00:00:00"/>
    <x v="10"/>
    <x v="1"/>
    <n v="13"/>
    <n v="14"/>
    <x v="2"/>
    <n v="1416"/>
    <n v="18408"/>
    <n v="4049.76"/>
    <n v="8333.3333333333339"/>
    <n v="2333.3333333333335"/>
    <n v="385.7566765578635"/>
    <n v="1827.3656973293769"/>
    <n v="666.66666666666663"/>
    <n v="17596.215707220577"/>
    <n v="811.78429277942269"/>
    <n v="1416"/>
    <n v="1314.8571428571429"/>
  </r>
  <r>
    <d v="2024-11-19T00:00:00"/>
    <d v="2024-11-01T00:00:00"/>
    <x v="10"/>
    <x v="1"/>
    <n v="12"/>
    <n v="14"/>
    <x v="0"/>
    <n v="1111"/>
    <n v="13332"/>
    <n v="2933.04"/>
    <n v="8333.3333333333339"/>
    <n v="2333.3333333333335"/>
    <n v="356.08308605341244"/>
    <n v="1738.1775667655786"/>
    <n v="666.66666666666663"/>
    <n v="16360.633986152325"/>
    <n v="-3028.6339861523247"/>
    <n v="1111"/>
    <n v="952.28571428571433"/>
  </r>
  <r>
    <d v="2024-11-20T00:00:00"/>
    <d v="2024-11-01T00:00:00"/>
    <x v="10"/>
    <x v="1"/>
    <n v="11"/>
    <n v="14"/>
    <x v="1"/>
    <n v="1107"/>
    <n v="12177"/>
    <n v="2678.94"/>
    <n v="8333.3333333333339"/>
    <n v="2333.3333333333335"/>
    <n v="326.40949554896144"/>
    <n v="1648.9894362017803"/>
    <n v="666.66666666666663"/>
    <n v="15987.672265084077"/>
    <n v="-3810.6722650840766"/>
    <n v="1107"/>
    <n v="869.78571428571433"/>
  </r>
  <r>
    <d v="2024-11-21T00:00:00"/>
    <d v="2024-11-01T00:00:00"/>
    <x v="10"/>
    <x v="1"/>
    <n v="14"/>
    <n v="14"/>
    <x v="3"/>
    <n v="1286"/>
    <n v="18004"/>
    <n v="3960.88"/>
    <n v="8333.3333333333339"/>
    <n v="2333.3333333333335"/>
    <n v="415.43026706231456"/>
    <n v="1916.5538278931749"/>
    <n v="666.66666666666663"/>
    <n v="17626.197428288826"/>
    <n v="377.8025717111741"/>
    <n v="1286"/>
    <n v="1286"/>
  </r>
  <r>
    <d v="2024-11-22T00:00:00"/>
    <d v="2024-11-01T00:00:00"/>
    <x v="10"/>
    <x v="1"/>
    <n v="13"/>
    <n v="14"/>
    <x v="2"/>
    <n v="1279"/>
    <n v="16627"/>
    <n v="3657.94"/>
    <n v="8333.3333333333339"/>
    <n v="2333.3333333333335"/>
    <n v="385.7566765578635"/>
    <n v="1827.3656973293769"/>
    <n v="666.66666666666663"/>
    <n v="17204.395707220578"/>
    <n v="-577.39570722057761"/>
    <n v="1279"/>
    <n v="1187.6428571428571"/>
  </r>
  <r>
    <d v="2024-11-23T00:00:00"/>
    <d v="2024-11-01T00:00:00"/>
    <x v="10"/>
    <x v="1"/>
    <n v="12"/>
    <n v="14"/>
    <x v="0"/>
    <n v="1944"/>
    <n v="23328"/>
    <n v="5132.16"/>
    <n v="8333.3333333333339"/>
    <n v="2333.3333333333335"/>
    <n v="356.08308605341244"/>
    <n v="1738.1775667655786"/>
    <n v="666.66666666666663"/>
    <n v="18559.753986152326"/>
    <n v="4768.2460138476745"/>
    <n v="1944"/>
    <n v="1666.2857142857142"/>
  </r>
  <r>
    <d v="2024-11-24T00:00:00"/>
    <d v="2024-11-01T00:00:00"/>
    <x v="10"/>
    <x v="1"/>
    <n v="13"/>
    <n v="14"/>
    <x v="2"/>
    <n v="1360"/>
    <n v="17680"/>
    <n v="3889.6"/>
    <n v="8333.3333333333339"/>
    <n v="2333.3333333333335"/>
    <n v="385.7566765578635"/>
    <n v="1827.3656973293769"/>
    <n v="666.66666666666663"/>
    <n v="17436.055707220577"/>
    <n v="243.94429277942254"/>
    <n v="1360"/>
    <n v="1262.8571428571429"/>
  </r>
  <r>
    <d v="2024-11-25T00:00:00"/>
    <d v="2024-11-01T00:00:00"/>
    <x v="10"/>
    <x v="1"/>
    <n v="9"/>
    <n v="14"/>
    <x v="5"/>
    <n v="1737"/>
    <n v="15633"/>
    <n v="3439.26"/>
    <n v="8333.3333333333339"/>
    <n v="2333.3333333333335"/>
    <n v="267.06231454005933"/>
    <n v="1470.613175074184"/>
    <n v="666.66666666666663"/>
    <n v="16510.268822947579"/>
    <n v="-877.26882294757888"/>
    <n v="1737"/>
    <n v="1116.6428571428571"/>
  </r>
  <r>
    <d v="2024-11-26T00:00:00"/>
    <d v="2024-11-01T00:00:00"/>
    <x v="10"/>
    <x v="1"/>
    <n v="13"/>
    <n v="14"/>
    <x v="2"/>
    <n v="1342"/>
    <n v="17446"/>
    <n v="3838.12"/>
    <n v="8333.3333333333339"/>
    <n v="2333.3333333333335"/>
    <n v="385.7566765578635"/>
    <n v="1827.3656973293769"/>
    <n v="666.66666666666663"/>
    <n v="17384.575707220578"/>
    <n v="61.424292779422103"/>
    <n v="1342"/>
    <n v="1246.1428571428571"/>
  </r>
  <r>
    <d v="2024-11-27T00:00:00"/>
    <d v="2024-11-01T00:00:00"/>
    <x v="10"/>
    <x v="1"/>
    <n v="12"/>
    <n v="14"/>
    <x v="0"/>
    <n v="1498"/>
    <n v="17976"/>
    <n v="3954.72"/>
    <n v="8333.3333333333339"/>
    <n v="2333.3333333333335"/>
    <n v="356.08308605341244"/>
    <n v="1738.1775667655786"/>
    <n v="666.66666666666663"/>
    <n v="17382.313986152327"/>
    <n v="593.68601384767317"/>
    <n v="1498"/>
    <n v="1284"/>
  </r>
  <r>
    <d v="2024-11-28T00:00:00"/>
    <d v="2024-11-01T00:00:00"/>
    <x v="10"/>
    <x v="1"/>
    <n v="10"/>
    <n v="14"/>
    <x v="4"/>
    <n v="1304"/>
    <n v="13040"/>
    <n v="2868.8"/>
    <n v="8333.3333333333339"/>
    <n v="2333.3333333333335"/>
    <n v="296.73590504451039"/>
    <n v="1559.8013056379823"/>
    <n v="666.66666666666663"/>
    <n v="16058.670544015828"/>
    <n v="-3018.6705440158275"/>
    <n v="1304"/>
    <n v="931.42857142857144"/>
  </r>
  <r>
    <d v="2024-11-29T00:00:00"/>
    <d v="2024-11-01T00:00:00"/>
    <x v="10"/>
    <x v="1"/>
    <n v="10"/>
    <n v="14"/>
    <x v="4"/>
    <n v="1335"/>
    <n v="13350"/>
    <n v="2937"/>
    <n v="8333.3333333333339"/>
    <n v="2333.3333333333335"/>
    <n v="296.73590504451039"/>
    <n v="1559.8013056379823"/>
    <n v="666.66666666666663"/>
    <n v="16126.870544015826"/>
    <n v="-2776.8705440158265"/>
    <n v="1335"/>
    <n v="953.57142857142856"/>
  </r>
  <r>
    <d v="2024-11-30T00:00:00"/>
    <d v="2024-11-01T00:00:00"/>
    <x v="10"/>
    <x v="1"/>
    <n v="10"/>
    <n v="14"/>
    <x v="4"/>
    <n v="1775"/>
    <n v="17750"/>
    <n v="3905"/>
    <n v="8333.3333333333339"/>
    <n v="2333.3333333333335"/>
    <n v="296.73590504451039"/>
    <n v="1559.8013056379823"/>
    <n v="666.66666666666663"/>
    <n v="17094.870544015826"/>
    <n v="655.12945598417355"/>
    <n v="1775"/>
    <n v="1267.8571428571429"/>
  </r>
  <r>
    <d v="2024-12-01T00:00:00"/>
    <d v="2024-12-01T00:00:00"/>
    <x v="11"/>
    <x v="1"/>
    <n v="13"/>
    <n v="14"/>
    <x v="2"/>
    <n v="1379"/>
    <n v="17927"/>
    <n v="3943.94"/>
    <n v="8064.5161290322585"/>
    <n v="2258.0645161290322"/>
    <n v="391.56626506024099"/>
    <n v="1844.8649630781188"/>
    <n v="645.16129032258061"/>
    <n v="17148.113163622231"/>
    <n v="778.88683637776921"/>
    <n v="1379"/>
    <n v="1280.5"/>
  </r>
  <r>
    <d v="2024-12-02T00:00:00"/>
    <d v="2024-12-01T00:00:00"/>
    <x v="11"/>
    <x v="1"/>
    <n v="14"/>
    <n v="14"/>
    <x v="3"/>
    <n v="1258"/>
    <n v="17612"/>
    <n v="3874.64"/>
    <n v="8064.5161290322585"/>
    <n v="2258.0645161290322"/>
    <n v="421.68674698795184"/>
    <n v="1936.4679751263116"/>
    <n v="645.16129032258061"/>
    <n v="17200.536657598135"/>
    <n v="411.46334240186479"/>
    <n v="1258"/>
    <n v="1258"/>
  </r>
  <r>
    <d v="2024-12-03T00:00:00"/>
    <d v="2024-12-01T00:00:00"/>
    <x v="11"/>
    <x v="1"/>
    <n v="11"/>
    <n v="14"/>
    <x v="1"/>
    <n v="1225"/>
    <n v="13475"/>
    <n v="2964.5"/>
    <n v="8064.5161290322585"/>
    <n v="2258.0645161290322"/>
    <n v="331.32530120481931"/>
    <n v="1661.6589389817332"/>
    <n v="645.16129032258061"/>
    <n v="15925.226175670423"/>
    <n v="-2450.2261756704229"/>
    <n v="1225"/>
    <n v="962.5"/>
  </r>
  <r>
    <d v="2024-12-04T00:00:00"/>
    <d v="2024-12-01T00:00:00"/>
    <x v="11"/>
    <x v="1"/>
    <n v="14"/>
    <n v="14"/>
    <x v="3"/>
    <n v="1403"/>
    <n v="19642"/>
    <n v="4321.24"/>
    <n v="8064.5161290322585"/>
    <n v="2258.0645161290322"/>
    <n v="421.68674698795184"/>
    <n v="1936.4679751263116"/>
    <n v="645.16129032258061"/>
    <n v="17647.136657598134"/>
    <n v="1994.8633424018662"/>
    <n v="1403"/>
    <n v="1403"/>
  </r>
  <r>
    <d v="2024-12-05T00:00:00"/>
    <d v="2024-12-01T00:00:00"/>
    <x v="11"/>
    <x v="1"/>
    <n v="9"/>
    <n v="14"/>
    <x v="5"/>
    <n v="1166"/>
    <n v="10494"/>
    <n v="2308.6799999999998"/>
    <n v="8064.5161290322585"/>
    <n v="2258.0645161290322"/>
    <n v="271.08433734939763"/>
    <n v="1478.4529148853478"/>
    <n v="645.16129032258061"/>
    <n v="15025.959187718616"/>
    <n v="-4531.9591877186158"/>
    <n v="1166"/>
    <n v="749.57142857142856"/>
  </r>
  <r>
    <d v="2024-12-06T00:00:00"/>
    <d v="2024-12-01T00:00:00"/>
    <x v="11"/>
    <x v="1"/>
    <n v="8"/>
    <n v="14"/>
    <x v="6"/>
    <n v="1207"/>
    <n v="9656"/>
    <n v="2124.3200000000002"/>
    <n v="8064.5161290322585"/>
    <n v="2258.0645161290322"/>
    <n v="240.96385542168676"/>
    <n v="1386.849902837155"/>
    <n v="645.16129032258061"/>
    <n v="14719.875693742715"/>
    <n v="-5063.8756937427152"/>
    <n v="1207"/>
    <n v="689.71428571428567"/>
  </r>
  <r>
    <d v="2024-12-07T00:00:00"/>
    <d v="2024-12-01T00:00:00"/>
    <x v="11"/>
    <x v="1"/>
    <n v="8"/>
    <n v="14"/>
    <x v="6"/>
    <n v="1329"/>
    <n v="10632"/>
    <n v="2339.04"/>
    <n v="8064.5161290322585"/>
    <n v="2258.0645161290322"/>
    <n v="240.96385542168676"/>
    <n v="1386.849902837155"/>
    <n v="645.16129032258061"/>
    <n v="14934.595693742715"/>
    <n v="-4302.5956937427145"/>
    <n v="1329"/>
    <n v="759.42857142857144"/>
  </r>
  <r>
    <d v="2024-12-08T00:00:00"/>
    <d v="2024-12-01T00:00:00"/>
    <x v="11"/>
    <x v="1"/>
    <n v="8"/>
    <n v="14"/>
    <x v="6"/>
    <n v="1301"/>
    <n v="10408"/>
    <n v="2289.7600000000002"/>
    <n v="8064.5161290322585"/>
    <n v="2258.0645161290322"/>
    <n v="240.96385542168676"/>
    <n v="1386.849902837155"/>
    <n v="645.16129032258061"/>
    <n v="14885.315693742716"/>
    <n v="-4477.3156937427157"/>
    <n v="1301"/>
    <n v="743.42857142857144"/>
  </r>
  <r>
    <d v="2024-12-09T00:00:00"/>
    <d v="2024-12-01T00:00:00"/>
    <x v="11"/>
    <x v="1"/>
    <n v="9"/>
    <n v="14"/>
    <x v="5"/>
    <n v="1700"/>
    <n v="15300"/>
    <n v="3366"/>
    <n v="8064.5161290322585"/>
    <n v="2258.0645161290322"/>
    <n v="271.08433734939763"/>
    <n v="1478.4529148853478"/>
    <n v="645.16129032258061"/>
    <n v="16083.279187718616"/>
    <n v="-783.2791877186155"/>
    <n v="1700"/>
    <n v="1092.8571428571429"/>
  </r>
  <r>
    <d v="2024-12-10T00:00:00"/>
    <d v="2024-12-01T00:00:00"/>
    <x v="11"/>
    <x v="1"/>
    <n v="11"/>
    <n v="14"/>
    <x v="1"/>
    <n v="1093"/>
    <n v="12023"/>
    <n v="2645.06"/>
    <n v="8064.5161290322585"/>
    <n v="2258.0645161290322"/>
    <n v="331.32530120481931"/>
    <n v="1661.6589389817332"/>
    <n v="645.16129032258061"/>
    <n v="15605.786175670424"/>
    <n v="-3582.7861756704242"/>
    <n v="1093"/>
    <n v="858.78571428571433"/>
  </r>
  <r>
    <d v="2024-12-11T00:00:00"/>
    <d v="2024-12-01T00:00:00"/>
    <x v="11"/>
    <x v="1"/>
    <n v="9"/>
    <n v="14"/>
    <x v="5"/>
    <n v="1451"/>
    <n v="13059"/>
    <n v="2872.98"/>
    <n v="8064.5161290322585"/>
    <n v="2258.0645161290322"/>
    <n v="271.08433734939763"/>
    <n v="1478.4529148853478"/>
    <n v="645.16129032258061"/>
    <n v="15590.259187718617"/>
    <n v="-2531.2591877186169"/>
    <n v="1451"/>
    <n v="932.78571428571433"/>
  </r>
  <r>
    <d v="2024-12-12T00:00:00"/>
    <d v="2024-12-01T00:00:00"/>
    <x v="11"/>
    <x v="1"/>
    <n v="10"/>
    <n v="14"/>
    <x v="4"/>
    <n v="1581"/>
    <n v="15810"/>
    <n v="3478.2"/>
    <n v="8064.5161290322585"/>
    <n v="2258.0645161290322"/>
    <n v="301.20481927710847"/>
    <n v="1570.0559269335406"/>
    <n v="645.16129032258061"/>
    <n v="16317.202681694522"/>
    <n v="-507.20268169452174"/>
    <n v="1581"/>
    <n v="1129.2857142857142"/>
  </r>
  <r>
    <d v="2024-12-13T00:00:00"/>
    <d v="2024-12-01T00:00:00"/>
    <x v="11"/>
    <x v="1"/>
    <n v="10"/>
    <n v="14"/>
    <x v="4"/>
    <n v="1635"/>
    <n v="16350"/>
    <n v="3597"/>
    <n v="8064.5161290322585"/>
    <n v="2258.0645161290322"/>
    <n v="301.20481927710847"/>
    <n v="1570.0559269335406"/>
    <n v="645.16129032258061"/>
    <n v="16436.002681694521"/>
    <n v="-86.002681694521016"/>
    <n v="1635"/>
    <n v="1167.8571428571429"/>
  </r>
  <r>
    <d v="2024-12-14T00:00:00"/>
    <d v="2024-12-01T00:00:00"/>
    <x v="11"/>
    <x v="1"/>
    <n v="10"/>
    <n v="14"/>
    <x v="4"/>
    <n v="1765"/>
    <n v="17650"/>
    <n v="3883"/>
    <n v="8064.5161290322585"/>
    <n v="2258.0645161290322"/>
    <n v="301.20481927710847"/>
    <n v="1570.0559269335406"/>
    <n v="645.16129032258061"/>
    <n v="16722.002681694521"/>
    <n v="927.99731830547898"/>
    <n v="1765"/>
    <n v="1260.7142857142858"/>
  </r>
  <r>
    <d v="2024-12-15T00:00:00"/>
    <d v="2024-12-01T00:00:00"/>
    <x v="11"/>
    <x v="1"/>
    <n v="13"/>
    <n v="14"/>
    <x v="2"/>
    <n v="1912"/>
    <n v="24856"/>
    <n v="5468.32"/>
    <n v="8064.5161290322585"/>
    <n v="2258.0645161290322"/>
    <n v="391.56626506024099"/>
    <n v="1844.8649630781188"/>
    <n v="645.16129032258061"/>
    <n v="18672.493163622228"/>
    <n v="6183.5068363777718"/>
    <n v="1912"/>
    <n v="1775.4285714285713"/>
  </r>
  <r>
    <d v="2024-12-16T00:00:00"/>
    <d v="2024-12-01T00:00:00"/>
    <x v="11"/>
    <x v="1"/>
    <n v="13"/>
    <n v="14"/>
    <x v="2"/>
    <n v="1780"/>
    <n v="23140"/>
    <n v="5090.8"/>
    <n v="8064.5161290322585"/>
    <n v="2258.0645161290322"/>
    <n v="391.56626506024099"/>
    <n v="1844.8649630781188"/>
    <n v="645.16129032258061"/>
    <n v="18294.973163622231"/>
    <n v="4845.0268363777686"/>
    <n v="1780"/>
    <n v="1652.8571428571429"/>
  </r>
  <r>
    <d v="2024-12-17T00:00:00"/>
    <d v="2024-12-01T00:00:00"/>
    <x v="11"/>
    <x v="1"/>
    <n v="12"/>
    <n v="14"/>
    <x v="0"/>
    <n v="1321"/>
    <n v="15852"/>
    <n v="3487.44"/>
    <n v="8064.5161290322585"/>
    <n v="2258.0645161290322"/>
    <n v="361.44578313253015"/>
    <n v="1753.261951029926"/>
    <n v="645.16129032258061"/>
    <n v="16569.889669646327"/>
    <n v="-717.88966964632709"/>
    <n v="1321"/>
    <n v="1132.2857142857142"/>
  </r>
  <r>
    <d v="2024-12-18T00:00:00"/>
    <d v="2024-12-01T00:00:00"/>
    <x v="11"/>
    <x v="1"/>
    <n v="11"/>
    <n v="14"/>
    <x v="1"/>
    <n v="1827"/>
    <n v="20097"/>
    <n v="4421.34"/>
    <n v="8064.5161290322585"/>
    <n v="2258.0645161290322"/>
    <n v="331.32530120481931"/>
    <n v="1661.6589389817332"/>
    <n v="645.16129032258061"/>
    <n v="17382.066175670421"/>
    <n v="2714.9338243295788"/>
    <n v="1827"/>
    <n v="1435.5"/>
  </r>
  <r>
    <d v="2024-12-19T00:00:00"/>
    <d v="2024-12-01T00:00:00"/>
    <x v="11"/>
    <x v="1"/>
    <n v="14"/>
    <n v="14"/>
    <x v="3"/>
    <n v="1303"/>
    <n v="18242"/>
    <n v="4013.2400000000002"/>
    <n v="8064.5161290322585"/>
    <n v="2258.0645161290322"/>
    <n v="421.68674698795184"/>
    <n v="1936.4679751263116"/>
    <n v="645.16129032258061"/>
    <n v="17339.136657598134"/>
    <n v="902.86334240186625"/>
    <n v="1303"/>
    <n v="1303"/>
  </r>
  <r>
    <d v="2024-12-20T00:00:00"/>
    <d v="2024-12-01T00:00:00"/>
    <x v="11"/>
    <x v="1"/>
    <n v="14"/>
    <n v="14"/>
    <x v="3"/>
    <n v="1756"/>
    <n v="24584"/>
    <n v="5408.4800000000005"/>
    <n v="8064.5161290322585"/>
    <n v="2258.0645161290322"/>
    <n v="421.68674698795184"/>
    <n v="1936.4679751263116"/>
    <n v="645.16129032258061"/>
    <n v="18734.376657598135"/>
    <n v="5849.6233424018646"/>
    <n v="1756"/>
    <n v="1756"/>
  </r>
  <r>
    <d v="2024-12-21T00:00:00"/>
    <d v="2024-12-01T00:00:00"/>
    <x v="11"/>
    <x v="1"/>
    <n v="8"/>
    <n v="14"/>
    <x v="6"/>
    <n v="1692"/>
    <n v="13536"/>
    <n v="2977.92"/>
    <n v="8064.5161290322585"/>
    <n v="2258.0645161290322"/>
    <n v="240.96385542168676"/>
    <n v="1386.849902837155"/>
    <n v="645.16129032258061"/>
    <n v="15573.475693742716"/>
    <n v="-2037.4756937427155"/>
    <n v="1692"/>
    <n v="966.85714285714289"/>
  </r>
  <r>
    <d v="2024-12-22T00:00:00"/>
    <d v="2024-12-01T00:00:00"/>
    <x v="11"/>
    <x v="1"/>
    <n v="10"/>
    <n v="14"/>
    <x v="4"/>
    <n v="1652"/>
    <n v="16520"/>
    <n v="3634.4"/>
    <n v="8064.5161290322585"/>
    <n v="2258.0645161290322"/>
    <n v="301.20481927710847"/>
    <n v="1570.0559269335406"/>
    <n v="645.16129032258061"/>
    <n v="16473.402681694522"/>
    <n v="46.597318305477529"/>
    <n v="1652"/>
    <n v="1180"/>
  </r>
  <r>
    <d v="2024-12-23T00:00:00"/>
    <d v="2024-12-01T00:00:00"/>
    <x v="11"/>
    <x v="1"/>
    <n v="9"/>
    <n v="14"/>
    <x v="5"/>
    <n v="1098"/>
    <n v="9882"/>
    <n v="2174.04"/>
    <n v="8064.5161290322585"/>
    <n v="2258.0645161290322"/>
    <n v="271.08433734939763"/>
    <n v="1478.4529148853478"/>
    <n v="645.16129032258061"/>
    <n v="14891.319187718616"/>
    <n v="-5009.3191877186164"/>
    <n v="1098"/>
    <n v="705.85714285714289"/>
  </r>
  <r>
    <d v="2024-12-24T00:00:00"/>
    <d v="2024-12-01T00:00:00"/>
    <x v="11"/>
    <x v="1"/>
    <n v="10"/>
    <n v="14"/>
    <x v="4"/>
    <n v="1965"/>
    <n v="19650"/>
    <n v="4323"/>
    <n v="8064.5161290322585"/>
    <n v="2258.0645161290322"/>
    <n v="301.20481927710847"/>
    <n v="1570.0559269335406"/>
    <n v="645.16129032258061"/>
    <n v="17162.002681694517"/>
    <n v="2487.9973183054826"/>
    <n v="1965"/>
    <n v="1403.5714285714287"/>
  </r>
  <r>
    <d v="2024-12-25T00:00:00"/>
    <d v="2024-12-01T00:00:00"/>
    <x v="11"/>
    <x v="1"/>
    <n v="10"/>
    <n v="14"/>
    <x v="4"/>
    <n v="1146"/>
    <n v="11460"/>
    <n v="2521.1999999999998"/>
    <n v="8064.5161290322585"/>
    <n v="2258.0645161290322"/>
    <n v="301.20481927710847"/>
    <n v="1570.0559269335406"/>
    <n v="645.16129032258061"/>
    <n v="15360.202681694522"/>
    <n v="-3900.2026816945217"/>
    <n v="1146"/>
    <n v="818.57142857142856"/>
  </r>
  <r>
    <d v="2024-12-26T00:00:00"/>
    <d v="2024-12-01T00:00:00"/>
    <x v="11"/>
    <x v="1"/>
    <n v="10"/>
    <n v="14"/>
    <x v="4"/>
    <n v="1245"/>
    <n v="12450"/>
    <n v="2739"/>
    <n v="8064.5161290322585"/>
    <n v="2258.0645161290322"/>
    <n v="301.20481927710847"/>
    <n v="1570.0559269335406"/>
    <n v="645.16129032258061"/>
    <n v="15578.002681694521"/>
    <n v="-3128.002681694521"/>
    <n v="1245"/>
    <n v="889.28571428571433"/>
  </r>
  <r>
    <d v="2024-12-27T00:00:00"/>
    <d v="2024-12-01T00:00:00"/>
    <x v="11"/>
    <x v="1"/>
    <n v="9"/>
    <n v="14"/>
    <x v="5"/>
    <n v="1664"/>
    <n v="14976"/>
    <n v="3294.72"/>
    <n v="8064.5161290322585"/>
    <n v="2258.0645161290322"/>
    <n v="271.08433734939763"/>
    <n v="1478.4529148853478"/>
    <n v="645.16129032258061"/>
    <n v="16011.999187718617"/>
    <n v="-1035.9991877186167"/>
    <n v="1664"/>
    <n v="1069.7142857142858"/>
  </r>
  <r>
    <d v="2024-12-28T00:00:00"/>
    <d v="2024-12-01T00:00:00"/>
    <x v="11"/>
    <x v="1"/>
    <n v="12"/>
    <n v="14"/>
    <x v="0"/>
    <n v="1711"/>
    <n v="20532"/>
    <n v="4517.04"/>
    <n v="8064.5161290322585"/>
    <n v="2258.0645161290322"/>
    <n v="361.44578313253015"/>
    <n v="1753.261951029926"/>
    <n v="645.16129032258061"/>
    <n v="17599.489669646326"/>
    <n v="2932.5103303536744"/>
    <n v="1711"/>
    <n v="1466.5714285714287"/>
  </r>
  <r>
    <d v="2024-12-29T00:00:00"/>
    <d v="2024-12-01T00:00:00"/>
    <x v="11"/>
    <x v="1"/>
    <n v="10"/>
    <n v="14"/>
    <x v="4"/>
    <n v="1047"/>
    <n v="10470"/>
    <n v="2303.4"/>
    <n v="8064.5161290322585"/>
    <n v="2258.0645161290322"/>
    <n v="301.20481927710847"/>
    <n v="1570.0559269335406"/>
    <n v="645.16129032258061"/>
    <n v="15142.402681694522"/>
    <n v="-4672.4026816945225"/>
    <n v="1047"/>
    <n v="747.85714285714289"/>
  </r>
  <r>
    <d v="2024-12-30T00:00:00"/>
    <d v="2024-12-01T00:00:00"/>
    <x v="11"/>
    <x v="1"/>
    <n v="9"/>
    <n v="14"/>
    <x v="5"/>
    <n v="1469"/>
    <n v="13221"/>
    <n v="2908.62"/>
    <n v="8064.5161290322585"/>
    <n v="2258.0645161290322"/>
    <n v="271.08433734939763"/>
    <n v="1478.4529148853478"/>
    <n v="645.16129032258061"/>
    <n v="15625.899187718616"/>
    <n v="-2404.8991877186163"/>
    <n v="1469"/>
    <n v="944.35714285714289"/>
  </r>
  <r>
    <d v="2024-12-31T00:00:00"/>
    <d v="2024-12-01T00:00:00"/>
    <x v="11"/>
    <x v="1"/>
    <n v="14"/>
    <n v="14"/>
    <x v="3"/>
    <n v="1395"/>
    <n v="19530"/>
    <n v="4296.6000000000004"/>
    <n v="8064.5161290322585"/>
    <n v="2258.0645161290322"/>
    <n v="421.68674698795184"/>
    <n v="1936.4679751263116"/>
    <n v="645.16129032258061"/>
    <n v="17622.496657598134"/>
    <n v="1907.5033424018657"/>
    <n v="1395"/>
    <n v="1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7FC7B-A095-4376-805C-EA27201414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07:D220" firstHeaderRow="0"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dataField="1" showAll="0"/>
    <pivotField showAll="0"/>
    <pivotField numFmtId="9" showAll="0"/>
    <pivotField showAll="0"/>
    <pivotField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numFmtId="1" showAll="0"/>
    <pivotField numFmtId="1" showAl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Total_Daily_Expense" fld="15" baseField="0" baseItem="0" numFmtId="1"/>
    <dataField name="Sum of Profit" fld="16" baseField="0" baseItem="0" numFmtId="1"/>
    <dataField name="Sum of Rooms_Occupied" fld="4" baseField="0" baseItem="0"/>
  </dataFields>
  <chartFormats count="3">
    <chartFormat chart="25"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1"/>
          </reference>
        </references>
      </pivotArea>
    </chartFormat>
    <chartFormat chart="25"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D37F81-7097-487C-B2FF-803A87D7C581}"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142:F154" firstHeaderRow="0"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numFmtId="9" showAll="0">
      <items count="8">
        <item x="6"/>
        <item x="5"/>
        <item x="4"/>
        <item x="1"/>
        <item x="0"/>
        <item x="2"/>
        <item x="3"/>
        <item t="default"/>
      </items>
    </pivotField>
    <pivotField showAll="0"/>
    <pivotField showAll="0"/>
    <pivotField numFmtId="1" showAll="0"/>
    <pivotField dataField="1" numFmtId="1" showAll="0"/>
    <pivotField dataField="1" numFmtId="1" showAll="0"/>
    <pivotField dataField="1" numFmtId="1" showAll="0"/>
    <pivotField dataField="1" numFmtId="1" showAll="0"/>
    <pivotField dataField="1" numFmtId="1" showAll="0"/>
    <pivotField numFmtId="1" showAll="0"/>
    <pivotField numFmtId="1" showAll="0"/>
    <pivotField numFmtId="1" showAll="0"/>
    <pivotField numFmtId="1" showAll="0"/>
  </pivotFields>
  <rowFields count="1">
    <field x="2"/>
  </rowFields>
  <rowItems count="12">
    <i>
      <x/>
    </i>
    <i>
      <x v="1"/>
    </i>
    <i>
      <x v="2"/>
    </i>
    <i>
      <x v="3"/>
    </i>
    <i>
      <x v="4"/>
    </i>
    <i>
      <x v="5"/>
    </i>
    <i>
      <x v="6"/>
    </i>
    <i>
      <x v="7"/>
    </i>
    <i>
      <x v="8"/>
    </i>
    <i>
      <x v="9"/>
    </i>
    <i>
      <x v="10"/>
    </i>
    <i>
      <x v="11"/>
    </i>
  </rowItems>
  <colFields count="1">
    <field x="-2"/>
  </colFields>
  <colItems count="5">
    <i>
      <x/>
    </i>
    <i i="1">
      <x v="1"/>
    </i>
    <i i="2">
      <x v="2"/>
    </i>
    <i i="3">
      <x v="3"/>
    </i>
    <i i="4">
      <x v="4"/>
    </i>
  </colItems>
  <dataFields count="5">
    <dataField name="Sum of Daily_Rent" fld="10" baseField="0" baseItem="0" numFmtId="1"/>
    <dataField name="Sum of Daily_Staff" fld="11" baseField="0" baseItem="0" numFmtId="1"/>
    <dataField name="Sum of Daily_HK" fld="12" baseField="0" baseItem="0" numFmtId="1"/>
    <dataField name="Sum of Daily_Electricity" fld="13" baseField="0" baseItem="0" numFmtId="1"/>
    <dataField name="Sum of Daily Maintenance" fld="14" baseField="0" baseItem="0" numFmtId="1"/>
  </dataFields>
  <chartFormats count="5">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 chart="21" format="3" series="1">
      <pivotArea type="data" outline="0" fieldPosition="0">
        <references count="1">
          <reference field="4294967294" count="1" selected="0">
            <x v="3"/>
          </reference>
        </references>
      </pivotArea>
    </chartFormat>
    <chartFormat chart="2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8087AA-F71F-410F-8B51-B7DF45B681F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7:B110" firstHeaderRow="1"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dataField="1" showAll="0"/>
    <pivotField showAll="0"/>
    <pivotField numFmtId="9"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
  </rowFields>
  <rowItems count="13">
    <i>
      <x/>
    </i>
    <i>
      <x v="1"/>
    </i>
    <i>
      <x v="2"/>
    </i>
    <i>
      <x v="3"/>
    </i>
    <i>
      <x v="4"/>
    </i>
    <i>
      <x v="5"/>
    </i>
    <i>
      <x v="6"/>
    </i>
    <i>
      <x v="7"/>
    </i>
    <i>
      <x v="8"/>
    </i>
    <i>
      <x v="9"/>
    </i>
    <i>
      <x v="10"/>
    </i>
    <i>
      <x v="11"/>
    </i>
    <i t="grand">
      <x/>
    </i>
  </rowItems>
  <colItems count="1">
    <i/>
  </colItems>
  <dataFields count="1">
    <dataField name="Sum of Rooms_Occupied" fld="4"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CCF2AB-3335-4DB0-AA17-3F6B87474DD7}"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76:C88" firstHeaderRow="0"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dataField="1" numFmtId="9" showAll="0">
      <items count="8">
        <item x="6"/>
        <item x="5"/>
        <item x="4"/>
        <item x="1"/>
        <item x="0"/>
        <item x="2"/>
        <item x="3"/>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Average of ADR" fld="17" subtotal="average" baseField="2" baseItem="0" numFmtId="1"/>
    <dataField name="Average of Occupancy %" fld="6" subtotal="average" baseField="2" baseItem="0" numFmtId="9"/>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E1DDB9-FD0B-4D82-BAA3-FAB21AC75951}"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9:B51" firstHeaderRow="1"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numFmtId="9"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s>
  <rowFields count="1">
    <field x="2"/>
  </rowFields>
  <rowItems count="12">
    <i>
      <x/>
    </i>
    <i>
      <x v="1"/>
    </i>
    <i>
      <x v="2"/>
    </i>
    <i>
      <x v="3"/>
    </i>
    <i>
      <x v="4"/>
    </i>
    <i>
      <x v="5"/>
    </i>
    <i>
      <x v="6"/>
    </i>
    <i>
      <x v="7"/>
    </i>
    <i>
      <x v="8"/>
    </i>
    <i>
      <x v="9"/>
    </i>
    <i>
      <x v="10"/>
    </i>
    <i>
      <x v="11"/>
    </i>
  </rowItems>
  <colItems count="1">
    <i/>
  </colItems>
  <dataFields count="1">
    <dataField name="Average of ADR" fld="17" subtotal="average" baseField="2" baseItem="2" numFmtId="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86134E-C28A-4490-B891-93F2BB545AB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16:B129" firstHeaderRow="1" firstDataRow="1" firstDataCol="1" rowPageCount="1" colPageCount="1"/>
  <pivotFields count="19">
    <pivotField numFmtId="14" showAll="0"/>
    <pivotField numFmtId="164" showAll="0"/>
    <pivotField axis="axisRow" showAll="0">
      <items count="13">
        <item x="0"/>
        <item x="1"/>
        <item x="2"/>
        <item x="3"/>
        <item x="4"/>
        <item x="5"/>
        <item x="6"/>
        <item x="7"/>
        <item x="8"/>
        <item x="9"/>
        <item x="10"/>
        <item x="11"/>
        <item t="default"/>
      </items>
    </pivotField>
    <pivotField axis="axisPage" multipleItemSelectionAllowed="1" showAll="0">
      <items count="3">
        <item x="0"/>
        <item x="1"/>
        <item t="default"/>
      </items>
    </pivotField>
    <pivotField showAll="0"/>
    <pivotField showAll="0"/>
    <pivotField numFmtId="9" showAll="0"/>
    <pivotField showAll="0"/>
    <pivotField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s>
  <rowFields count="1">
    <field x="2"/>
  </rowFields>
  <rowItems count="13">
    <i>
      <x/>
    </i>
    <i>
      <x v="1"/>
    </i>
    <i>
      <x v="2"/>
    </i>
    <i>
      <x v="3"/>
    </i>
    <i>
      <x v="4"/>
    </i>
    <i>
      <x v="5"/>
    </i>
    <i>
      <x v="6"/>
    </i>
    <i>
      <x v="7"/>
    </i>
    <i>
      <x v="8"/>
    </i>
    <i>
      <x v="9"/>
    </i>
    <i>
      <x v="10"/>
    </i>
    <i>
      <x v="11"/>
    </i>
    <i t="grand">
      <x/>
    </i>
  </rowItems>
  <colItems count="1">
    <i/>
  </colItems>
  <pageFields count="1">
    <pageField fld="3" hier="-1"/>
  </pageFields>
  <dataFields count="1">
    <dataField name="Sum of Profit" fld="16" baseField="0" baseItem="0" numFmtId="1"/>
  </dataFields>
  <chartFormats count="2">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D9A7D-675D-4110-939A-32A00990411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22:B34" firstHeaderRow="1"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numFmtId="9"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s>
  <rowFields count="1">
    <field x="2"/>
  </rowFields>
  <rowItems count="12">
    <i>
      <x/>
    </i>
    <i>
      <x v="1"/>
    </i>
    <i>
      <x v="2"/>
    </i>
    <i>
      <x v="3"/>
    </i>
    <i>
      <x v="4"/>
    </i>
    <i>
      <x v="5"/>
    </i>
    <i>
      <x v="6"/>
    </i>
    <i>
      <x v="7"/>
    </i>
    <i>
      <x v="8"/>
    </i>
    <i>
      <x v="9"/>
    </i>
    <i>
      <x v="10"/>
    </i>
    <i>
      <x v="11"/>
    </i>
  </rowItems>
  <colItems count="1">
    <i/>
  </colItems>
  <dataFields count="1">
    <dataField name="Average of RevPar" fld="18" subtotal="average" baseField="2" baseItem="0" numFmtId="1"/>
  </dataFields>
  <chartFormats count="2">
    <chartFormat chart="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37EC5A-BF7A-4A83-85CE-AD94A56F39D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57:B70" firstHeaderRow="1"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numFmtId="9" showAll="0"/>
    <pivotField showAll="0"/>
    <pivotField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s>
  <rowFields count="1">
    <field x="2"/>
  </rowFields>
  <rowItems count="13">
    <i>
      <x/>
    </i>
    <i>
      <x v="1"/>
    </i>
    <i>
      <x v="2"/>
    </i>
    <i>
      <x v="3"/>
    </i>
    <i>
      <x v="4"/>
    </i>
    <i>
      <x v="5"/>
    </i>
    <i>
      <x v="6"/>
    </i>
    <i>
      <x v="7"/>
    </i>
    <i>
      <x v="8"/>
    </i>
    <i>
      <x v="9"/>
    </i>
    <i>
      <x v="10"/>
    </i>
    <i>
      <x v="11"/>
    </i>
    <i t="grand">
      <x/>
    </i>
  </rowItems>
  <colItems count="1">
    <i/>
  </colItems>
  <dataFields count="1">
    <dataField name="Sum of Total_Daily_Expense" fld="15" baseField="0" baseItem="0" numFmtId="1"/>
  </dataFields>
  <chartFormats count="3">
    <chartFormat chart="4"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ACBD20-E937-4718-A722-7D49E2CF332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86:B199" firstHeaderRow="1"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numFmtId="9" showAll="0"/>
    <pivotField showAll="0"/>
    <pivotField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
  </rowFields>
  <rowItems count="13">
    <i>
      <x/>
    </i>
    <i>
      <x v="1"/>
    </i>
    <i>
      <x v="2"/>
    </i>
    <i>
      <x v="3"/>
    </i>
    <i>
      <x v="4"/>
    </i>
    <i>
      <x v="5"/>
    </i>
    <i>
      <x v="6"/>
    </i>
    <i>
      <x v="7"/>
    </i>
    <i>
      <x v="8"/>
    </i>
    <i>
      <x v="9"/>
    </i>
    <i>
      <x v="10"/>
    </i>
    <i>
      <x v="11"/>
    </i>
    <i t="grand">
      <x/>
    </i>
  </rowItems>
  <colItems count="1">
    <i/>
  </colItems>
  <dataFields count="1">
    <dataField name="Sum of OTA Commision" fld="9" baseField="0" baseItem="0" numFmtId="1"/>
  </dataFields>
  <chartFormats count="1">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0D069C-03C1-44D6-A0DD-F8135452DE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19">
    <pivotField numFmtId="14" showAll="0"/>
    <pivotField numFmtId="164" showAll="0"/>
    <pivotField axis="axisRow" showAll="0">
      <items count="13">
        <item x="0"/>
        <item x="1"/>
        <item x="2"/>
        <item x="3"/>
        <item x="4"/>
        <item x="5"/>
        <item x="6"/>
        <item x="7"/>
        <item x="8"/>
        <item x="9"/>
        <item x="10"/>
        <item x="11"/>
        <item t="default"/>
      </items>
    </pivotField>
    <pivotField showAll="0">
      <items count="3">
        <item x="0"/>
        <item x="1"/>
        <item t="default"/>
      </items>
    </pivotField>
    <pivotField showAll="0"/>
    <pivotField showAll="0"/>
    <pivotField numFmtId="9" showAll="0"/>
    <pivotField showAll="0"/>
    <pivotField dataFiel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
  </rowFields>
  <rowItems count="13">
    <i>
      <x/>
    </i>
    <i>
      <x v="1"/>
    </i>
    <i>
      <x v="2"/>
    </i>
    <i>
      <x v="3"/>
    </i>
    <i>
      <x v="4"/>
    </i>
    <i>
      <x v="5"/>
    </i>
    <i>
      <x v="6"/>
    </i>
    <i>
      <x v="7"/>
    </i>
    <i>
      <x v="8"/>
    </i>
    <i>
      <x v="9"/>
    </i>
    <i>
      <x v="10"/>
    </i>
    <i>
      <x v="11"/>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481DC1-AC3F-49A2-8153-2015C3425D21}" sourceName="Year">
  <pivotTables>
    <pivotTable tabId="10" name="PivotTable7"/>
    <pivotTable tabId="10" name="PivotTable10"/>
    <pivotTable tabId="10" name="PivotTable11"/>
    <pivotTable tabId="10" name="PivotTable12"/>
    <pivotTable tabId="10" name="PivotTable13"/>
    <pivotTable tabId="10" name="PivotTable14"/>
    <pivotTable tabId="10" name="PivotTable15"/>
    <pivotTable tabId="10" name="PivotTable8"/>
    <pivotTable tabId="10" name="PivotTable9"/>
    <pivotTable tabId="10" name="PivotTable1"/>
  </pivotTables>
  <data>
    <tabular pivotCacheId="19307113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290FE6E-741F-49E7-8D91-64DFB7405B6B}" sourceName="Month">
  <pivotTables>
    <pivotTable tabId="10" name="PivotTable7"/>
    <pivotTable tabId="10" name="PivotTable10"/>
    <pivotTable tabId="10" name="PivotTable11"/>
    <pivotTable tabId="10" name="PivotTable12"/>
    <pivotTable tabId="10" name="PivotTable13"/>
    <pivotTable tabId="10" name="PivotTable14"/>
    <pivotTable tabId="10" name="PivotTable15"/>
    <pivotTable tabId="10" name="PivotTable8"/>
    <pivotTable tabId="10" name="PivotTable9"/>
    <pivotTable tabId="10" name="PivotTable1"/>
  </pivotTables>
  <data>
    <tabular pivotCacheId="193071135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8937290-0AAE-4226-99BB-0DED09FBAA13}" cache="Slicer_Year" caption="Year" style="SlicerStyleLight3" rowHeight="241300"/>
  <slicer name="Month" xr10:uid="{AF4F46EE-EDD9-49C6-9B6A-682FCFF77530}" cache="Slicer_Month" caption="Month" style="SlicerStyleLight3"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D830FD-A6AE-49C1-9D46-F192A0C24A2E}" name="Daily_Data" displayName="Daily_Data" ref="A1:S732" totalsRowShown="0">
  <autoFilter ref="A1:S732" xr:uid="{3DD830FD-A6AE-49C1-9D46-F192A0C24A2E}"/>
  <tableColumns count="19">
    <tableColumn id="1" xr3:uid="{D546845F-3828-413C-86F4-25D96F03EAE1}" name="Date" dataDxfId="46"/>
    <tableColumn id="18" xr3:uid="{69650559-87BE-43BA-9360-01A058988AA2}" name="Month_key" dataDxfId="45">
      <calculatedColumnFormula>DATE(YEAR(Daily_Data[[#This Row],[Date]]), MONTH(Daily_Data[[#This Row],[Date]]), 1)</calculatedColumnFormula>
    </tableColumn>
    <tableColumn id="8" xr3:uid="{B8F92829-FA3A-4488-B8A6-A1F8CB097C5B}" name="Month" dataDxfId="44">
      <calculatedColumnFormula>TEXT(Daily_Data[[#This Row],[Month_key]],"mmmm")</calculatedColumnFormula>
    </tableColumn>
    <tableColumn id="7" xr3:uid="{FD6B18F2-D3B4-4680-9ED8-C32F7130C5B1}" name="Year" dataDxfId="43">
      <calculatedColumnFormula>TEXT(Daily_Data[[#This Row],[Month_key]],"yyyy")</calculatedColumnFormula>
    </tableColumn>
    <tableColumn id="2" xr3:uid="{708F6FE6-DC5C-4250-ACF3-1FD0C48ED20C}" name="Rooms_Occupied" dataDxfId="42"/>
    <tableColumn id="3" xr3:uid="{0FEEC1B0-2CF7-4AB8-963D-E32D54EC12CC}" name="Max_rooms" dataDxfId="41"/>
    <tableColumn id="4" xr3:uid="{8FA8FC0E-152F-4154-901A-3452810A66BD}" name="Occupancy_rate" dataDxfId="40" dataCellStyle="Percent">
      <calculatedColumnFormula>Daily_Data[[#This Row],[Rooms_Occupied]]/F2</calculatedColumnFormula>
    </tableColumn>
    <tableColumn id="5" xr3:uid="{1FE37BA7-4D95-4BDE-8985-B502387EE66F}" name="Room_rate" dataDxfId="39"/>
    <tableColumn id="6" xr3:uid="{E1CFB6D0-C1F8-4F52-91CD-0D0042DB32D0}" name="Total_Sales" dataDxfId="38"/>
    <tableColumn id="21" xr3:uid="{2C15A393-5A2B-4AF5-955B-6930A822C990}" name="OTA Commision" dataDxfId="37">
      <calculatedColumnFormula>Daily_Data[[#This Row],[Total_Sales]] * 0.22</calculatedColumnFormula>
    </tableColumn>
    <tableColumn id="12" xr3:uid="{BD91EC12-D551-4A61-A66B-EF9CE6C3B668}" name="Daily_Rent" dataDxfId="36">
      <calculatedColumnFormula>INDEX(Expense_master[Monthly_Rent],MATCH(Daily_Data[[#This Row],[Month_key]],Expense_master[Month_Key],0)) / INDEX(Expense_master[Days_in_Month],MATCH(Daily_Data[[#This Row],[Month_key]],Expense_master[Month_Key],0))</calculatedColumnFormula>
    </tableColumn>
    <tableColumn id="13" xr3:uid="{C825CECE-0766-4E16-8984-7B0BFDF9E705}" name="Daily_Staff" dataDxfId="35">
      <calculatedColumnFormula>SUMIFS(Expense_master[Staff_Salary],Expense_master[Month_Key],Daily_Data[[#This Row],[Month_key]]) / SUMIFS(Expense_master[Days_in_Month],Expense_master[Month_Key],Daily_Data[[#This Row],[Month_key]])</calculatedColumnFormula>
    </tableColumn>
    <tableColumn id="14" xr3:uid="{B893E87F-41F8-4072-B6BB-E60E491D9126}" name="Daily_HK" dataDxfId="34">
      <calculatedColumnFormula>Daily_Data[[#This Row],[Rooms_Occupied]] * (SUMIFS(Expense_master[Housekeeping_Laundy],Expense_master[Month_Key],Daily_Data[[#This Row],[Month_key]]) / SUMIFS(Occupancy_table[Monthly_rooms_Occupied],Occupancy_table[Month_Key],Daily_Data[[#This Row],[Month_key]]))</calculatedColumnFormula>
    </tableColumn>
    <tableColumn id="15" xr3:uid="{247BBEC2-3582-4F7A-A3BB-D5DA62EEB0F0}" name="Daily_Electricity" dataDxfId="33">
      <calculatedColumnFormula>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calculatedColumnFormula>
    </tableColumn>
    <tableColumn id="23" xr3:uid="{393A0A24-7272-4070-993B-A4CEEAED948C}" name="Daily Maintenance" dataDxfId="32">
      <calculatedColumnFormula>SUMIFS(Expense_master[Monthly_Maintenance],Expense_master[Month_Key],Daily_Data[[#This Row],[Month_key]]) / SUMIFS(Expense_master[Days_in_Month],Expense_master[Month_Key], Daily_Data[[#This Row],[Month_key]])</calculatedColumnFormula>
    </tableColumn>
    <tableColumn id="16" xr3:uid="{0B70B31D-311B-4912-AE35-F36FDB4A0CCE}" name="Total_Daily_Expense" dataDxfId="31">
      <calculatedColumnFormula xml:space="preserve"> Daily_Data[[#This Row],[OTA Commision]] + Daily_Data[[#This Row],[Daily_Rent]]+Daily_Data[[#This Row],[Daily_Staff]]+Daily_Data[[#This Row],[Daily_HK]]+Daily_Data[[#This Row],[Daily_Electricity]] + Daily_Data[[#This Row],[Daily Maintenance]]</calculatedColumnFormula>
    </tableColumn>
    <tableColumn id="17" xr3:uid="{FFAE406D-63B1-473C-B37C-BA16FAD1ACCC}" name="Profit" dataDxfId="30">
      <calculatedColumnFormula>Daily_Data[[#This Row],[Total_Sales]]-Daily_Data[[#This Row],[Total_Daily_Expense]]</calculatedColumnFormula>
    </tableColumn>
    <tableColumn id="9" xr3:uid="{06842076-593F-4533-874B-6A9A48D09E96}" name="ADR" dataDxfId="29">
      <calculatedColumnFormula>Daily_Data[[#This Row],[Total_Sales]]/Daily_Data[[#This Row],[Rooms_Occupied]]</calculatedColumnFormula>
    </tableColumn>
    <tableColumn id="10" xr3:uid="{29EF5DB7-0923-42F8-8F94-55BC578ED2C8}" name="RevPar" dataDxfId="28">
      <calculatedColumnFormula>Daily_Data[[#This Row],[Total_Sales]] / Daily_Data[[#This Row],[Max_rooms]]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3D371A-55AF-4333-AD8C-D2E46ABB6F1A}" name="Expense_master" displayName="Expense_master" ref="A1:K25" totalsRowShown="0">
  <autoFilter ref="A1:K25" xr:uid="{443D371A-55AF-4333-AD8C-D2E46ABB6F1A}"/>
  <tableColumns count="11">
    <tableColumn id="1" xr3:uid="{C9C50779-64F2-4CDD-8F29-0761B9B97F70}" name="Month" dataDxfId="27"/>
    <tableColumn id="2" xr3:uid="{233D8830-CB7F-4522-B51F-C23F96A6765E}" name="Year" dataDxfId="26"/>
    <tableColumn id="8" xr3:uid="{E609C8A9-FD12-47D0-975E-B533221F1C14}" name="Month_Key" dataDxfId="25">
      <calculatedColumnFormula>DATE(Expense_master[[#This Row],[Year]],
      MATCH(Expense_master[[#This Row],[Month]],{"Jan","Feb","Mar","Apr","May","Jun","Jul","Aug","Sep","Oct","Nov","Dec"},0),
      1)</calculatedColumnFormula>
    </tableColumn>
    <tableColumn id="3" xr3:uid="{EF09584C-36F2-40D4-B23A-63CACFEC62B7}" name="Monthly_Rent" dataDxfId="24"/>
    <tableColumn id="4" xr3:uid="{A49DB939-5F07-4AA4-914F-3DE1DCD9BFBF}" name="Staff_Salary" dataDxfId="23"/>
    <tableColumn id="5" xr3:uid="{50183229-1211-4848-B02E-6977D22132C1}" name="Housekeeping_Laundy" dataDxfId="22"/>
    <tableColumn id="6" xr3:uid="{FB330018-83C1-4F41-B180-0D5AE117E2C1}" name="Electicity_Bill" dataDxfId="21"/>
    <tableColumn id="10" xr3:uid="{C4D38331-F545-4E32-9924-A1A07A307163}" name="Monthly_Maintenance" dataDxfId="20"/>
    <tableColumn id="7" xr3:uid="{764833F8-231E-47F9-B563-69A5ABC9A8FC}" name="Days_in_Month" dataDxfId="19"/>
    <tableColumn id="11" xr3:uid="{037E9E70-ABCE-4D18-8EEF-0A520F6431DB}" name="OTA_Commission" dataDxfId="18">
      <calculatedColumnFormula>SUMIFS(Daily_Data[OTA Commision],Daily_Data[Month_key],Expense_master[[#This Row],[Month_Key]])</calculatedColumnFormula>
    </tableColumn>
    <tableColumn id="9" xr3:uid="{CC879CC5-BD36-40D1-9AC3-901F7A2732ED}" name="Total_expense" dataDxfId="17">
      <calculatedColumnFormula>Expense_master[[#This Row],[Monthly_Rent]]+Expense_master[[#This Row],[Staff_Salary]]+Expense_master[[#This Row],[Housekeeping_Laundy]]+Expense_master[[#This Row],[Electicity_Bill]]+Expense_master[[#This Row],[Monthly_Maintenance]]+Expense_master[[#This Row],[OTA_Commission]]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A5EADA-2224-4D4C-9575-ADED14A8FD37}" name="Occupancy_table" displayName="Occupancy_table" ref="A1:D25" totalsRowShown="0" tableBorderDxfId="16">
  <autoFilter ref="A1:D25" xr:uid="{14A5EADA-2224-4D4C-9575-ADED14A8FD37}"/>
  <tableColumns count="4">
    <tableColumn id="1" xr3:uid="{6F975B5A-E51F-409C-8E41-77E7C274AEF4}" name="Month" dataDxfId="15"/>
    <tableColumn id="2" xr3:uid="{5945EDED-E22A-4941-845D-5A23D50A4AE0}" name="Year" dataDxfId="14"/>
    <tableColumn id="4" xr3:uid="{B8CA7D03-425E-4450-8EEA-4B57771112F0}" name="Month_Key" dataDxfId="13">
      <calculatedColumnFormula>DATE(Occupancy_table[[#This Row],[Year]],
      MATCH(Occupancy_table[[#This Row],[Month]],{"Jan","Feb","Mar","Apr","May","Jun","Jul","Aug","Sep","Oct","Nov","Dec"},0),1)</calculatedColumnFormula>
    </tableColumn>
    <tableColumn id="3" xr3:uid="{2262E6C9-4D72-4DD1-B0C7-510B9C64CA78}" name="Monthly_rooms_Occupied" dataDxfId="12">
      <calculatedColumnFormula>SUMIFS(Daily_Data[[#All],[Rooms_Occupied]],Daily_Data[[#All],[Month_key]],Occupancy_table[[#All],[Month_Key]])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60FDD8-91D3-47DA-B591-941B178C391C}" name="Monthly_Summary" displayName="Monthly_Summary" ref="A1:L25" totalsRowShown="0">
  <tableColumns count="12">
    <tableColumn id="1" xr3:uid="{8377AEC8-5B3F-4B5C-95A9-BC14CA38F890}" name="Month_Key" dataDxfId="11"/>
    <tableColumn id="10" xr3:uid="{595DEB0F-4A7C-442E-B3C9-EE8C1DF99EAE}" name="Month" dataDxfId="10">
      <calculatedColumnFormula>TEXT(Monthly_Summary[[#This Row],[Month_Key]], "MMMM")</calculatedColumnFormula>
    </tableColumn>
    <tableColumn id="9" xr3:uid="{7E428922-9D59-45DB-A751-F1DE6E23CBB2}" name="Year" dataDxfId="9">
      <calculatedColumnFormula>TEXT(Monthly_Summary[[#This Row],[Month_Key]],"YYYY")</calculatedColumnFormula>
    </tableColumn>
    <tableColumn id="13" xr3:uid="{53BABB47-27C6-4B0E-B4DF-545F7ABC4D18}" name="Days_in_Month" dataDxfId="8">
      <calculatedColumnFormula>DAY(EOMONTH(Monthly_Summary[[#This Row],[Month_Key]],0))</calculatedColumnFormula>
    </tableColumn>
    <tableColumn id="2" xr3:uid="{390E3B7C-8127-4BA9-BF5C-3B184C3494C8}" name="Total_Sales" dataDxfId="7">
      <calculatedColumnFormula>SUMIFS(Daily_Data[Total_Sales],Daily_Data[Month_key],Monthly_Summary!A2)</calculatedColumnFormula>
    </tableColumn>
    <tableColumn id="3" xr3:uid="{730A0634-4AA3-4416-B584-ADABEC7E36BB}" name="Total_Expense" dataDxfId="6">
      <calculatedColumnFormula>SUMIFS(Expense_master[Total_expense],Expense_master[Month_Key],Monthly_Summary[[#This Row],[Month_Key]])</calculatedColumnFormula>
    </tableColumn>
    <tableColumn id="4" xr3:uid="{E59B1B78-D219-4BCA-8AD2-32F987A86A6B}" name="Total_Profit" dataDxfId="5">
      <calculatedColumnFormula>SUMIFS(Daily_Data[Profit],Daily_Data[Month_key],Monthly_Summary[[#This Row],[Month_Key]])</calculatedColumnFormula>
    </tableColumn>
    <tableColumn id="5" xr3:uid="{39737194-BA0F-402E-8E74-E67BF196C4E3}" name="Total_rooms_sold" dataDxfId="4">
      <calculatedColumnFormula>SUMIFS(Occupancy_table[Monthly_rooms_Occupied],Occupancy_table[Month_Key],Monthly_Summary[[#This Row],[Month_Key]])</calculatedColumnFormula>
    </tableColumn>
    <tableColumn id="6" xr3:uid="{5C4DF12B-EA44-4EBC-8BE6-F7E64A0BD21E}" name="Max_Rooms" dataDxfId="3">
      <calculatedColumnFormula>MAX(Daily_Data[Max_rooms])</calculatedColumnFormula>
    </tableColumn>
    <tableColumn id="7" xr3:uid="{19D6ED5D-F5E0-4E0D-AB66-757D8C286ACE}" name="ADR (Average Daily Rate)" dataDxfId="2">
      <calculatedColumnFormula>Monthly_Summary[[#This Row],[Total_Sales]]/Monthly_Summary[[#This Row],[Total_rooms_sold]]</calculatedColumnFormula>
    </tableColumn>
    <tableColumn id="8" xr3:uid="{743AACDB-CB1D-4791-9C2D-13119DAE5736}" name="occupancy %" dataDxfId="1">
      <calculatedColumnFormula>(Monthly_Summary[[#This Row],[Total_rooms_sold]] / (Monthly_Summary[[#This Row],[Max_Rooms]] *Monthly_Summary[[#This Row],[Days_in_Month]]))</calculatedColumnFormula>
    </tableColumn>
    <tableColumn id="14" xr3:uid="{CDBABA56-C905-4177-AD07-3A395A12C711}" name="Monthly_RevPar" dataDxfId="0">
      <calculatedColumnFormula>Monthly_Summary[[#This Row],[Total_Sales]] / (Monthly_Summary[[#This Row],[Max_Rooms]] *Monthly_Summary[[#This Row],[Days_in_Month]])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FF34-95BA-4D9E-9994-131C2D2A8B3D}">
  <sheetPr codeName="Sheet6"/>
  <dimension ref="A4"/>
  <sheetViews>
    <sheetView showGridLines="0" zoomScale="68" zoomScaleNormal="68" workbookViewId="0">
      <selection activeCell="S6" sqref="S6"/>
    </sheetView>
  </sheetViews>
  <sheetFormatPr defaultRowHeight="15" x14ac:dyDescent="0.25"/>
  <cols>
    <col min="1" max="16384" width="9.140625" style="35"/>
  </cols>
  <sheetData>
    <row r="4" spans="1:1" x14ac:dyDescent="0.25">
      <c r="A4" s="35" t="s">
        <v>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043E-E08F-47D1-94AB-D6D4EA2ED5AF}">
  <dimension ref="A3:F220"/>
  <sheetViews>
    <sheetView tabSelected="1" topLeftCell="A196" workbookViewId="0">
      <selection activeCell="F207" sqref="F207"/>
    </sheetView>
  </sheetViews>
  <sheetFormatPr defaultRowHeight="15" x14ac:dyDescent="0.25"/>
  <cols>
    <col min="1" max="1" width="13.140625" bestFit="1" customWidth="1"/>
    <col min="2" max="2" width="26.42578125" bestFit="1" customWidth="1"/>
    <col min="3" max="3" width="12.5703125" bestFit="1" customWidth="1"/>
    <col min="4" max="5" width="23.28515625" bestFit="1" customWidth="1"/>
    <col min="6" max="6" width="24.5703125" bestFit="1" customWidth="1"/>
    <col min="7" max="32" width="5" bestFit="1" customWidth="1"/>
    <col min="33" max="670" width="6" bestFit="1" customWidth="1"/>
    <col min="671" max="671" width="11.28515625" bestFit="1" customWidth="1"/>
  </cols>
  <sheetData>
    <row r="3" spans="1:2" x14ac:dyDescent="0.25">
      <c r="A3" s="29" t="s">
        <v>65</v>
      </c>
      <c r="B3" t="s">
        <v>79</v>
      </c>
    </row>
    <row r="4" spans="1:2" x14ac:dyDescent="0.25">
      <c r="A4" s="30" t="s">
        <v>66</v>
      </c>
      <c r="B4">
        <v>1072821</v>
      </c>
    </row>
    <row r="5" spans="1:2" x14ac:dyDescent="0.25">
      <c r="A5" s="30" t="s">
        <v>67</v>
      </c>
      <c r="B5">
        <v>901743</v>
      </c>
    </row>
    <row r="6" spans="1:2" x14ac:dyDescent="0.25">
      <c r="A6" s="30" t="s">
        <v>68</v>
      </c>
      <c r="B6">
        <v>1001401</v>
      </c>
    </row>
    <row r="7" spans="1:2" x14ac:dyDescent="0.25">
      <c r="A7" s="30" t="s">
        <v>69</v>
      </c>
      <c r="B7">
        <v>991871</v>
      </c>
    </row>
    <row r="8" spans="1:2" x14ac:dyDescent="0.25">
      <c r="A8" s="30" t="s">
        <v>6</v>
      </c>
      <c r="B8">
        <v>1028459</v>
      </c>
    </row>
    <row r="9" spans="1:2" x14ac:dyDescent="0.25">
      <c r="A9" s="30" t="s">
        <v>70</v>
      </c>
      <c r="B9">
        <v>1016595</v>
      </c>
    </row>
    <row r="10" spans="1:2" x14ac:dyDescent="0.25">
      <c r="A10" s="30" t="s">
        <v>71</v>
      </c>
      <c r="B10">
        <v>1017551</v>
      </c>
    </row>
    <row r="11" spans="1:2" x14ac:dyDescent="0.25">
      <c r="A11" s="30" t="s">
        <v>72</v>
      </c>
      <c r="B11">
        <v>1011035</v>
      </c>
    </row>
    <row r="12" spans="1:2" x14ac:dyDescent="0.25">
      <c r="A12" s="30" t="s">
        <v>73</v>
      </c>
      <c r="B12">
        <v>991556</v>
      </c>
    </row>
    <row r="13" spans="1:2" x14ac:dyDescent="0.25">
      <c r="A13" s="30" t="s">
        <v>74</v>
      </c>
      <c r="B13">
        <v>1010560</v>
      </c>
    </row>
    <row r="14" spans="1:2" x14ac:dyDescent="0.25">
      <c r="A14" s="30" t="s">
        <v>75</v>
      </c>
      <c r="B14">
        <v>1006190</v>
      </c>
    </row>
    <row r="15" spans="1:2" x14ac:dyDescent="0.25">
      <c r="A15" s="30" t="s">
        <v>76</v>
      </c>
      <c r="B15">
        <v>986315</v>
      </c>
    </row>
    <row r="16" spans="1:2" x14ac:dyDescent="0.25">
      <c r="A16" s="30" t="s">
        <v>77</v>
      </c>
      <c r="B16">
        <v>12036097</v>
      </c>
    </row>
    <row r="22" spans="1:2" x14ac:dyDescent="0.25">
      <c r="A22" s="29" t="s">
        <v>65</v>
      </c>
      <c r="B22" t="s">
        <v>82</v>
      </c>
    </row>
    <row r="23" spans="1:2" x14ac:dyDescent="0.25">
      <c r="A23" s="30" t="s">
        <v>66</v>
      </c>
      <c r="B23" s="11">
        <v>1235.9688940092165</v>
      </c>
    </row>
    <row r="24" spans="1:2" x14ac:dyDescent="0.25">
      <c r="A24" s="30" t="s">
        <v>67</v>
      </c>
      <c r="B24" s="11">
        <v>1130.003759398496</v>
      </c>
    </row>
    <row r="25" spans="1:2" x14ac:dyDescent="0.25">
      <c r="A25" s="30" t="s">
        <v>68</v>
      </c>
      <c r="B25" s="11">
        <v>1153.6877880184334</v>
      </c>
    </row>
    <row r="26" spans="1:2" x14ac:dyDescent="0.25">
      <c r="A26" s="30" t="s">
        <v>69</v>
      </c>
      <c r="B26" s="11">
        <v>1180.7988095238097</v>
      </c>
    </row>
    <row r="27" spans="1:2" x14ac:dyDescent="0.25">
      <c r="A27" s="30" t="s">
        <v>6</v>
      </c>
      <c r="B27" s="11">
        <v>1184.8605990783408</v>
      </c>
    </row>
    <row r="28" spans="1:2" x14ac:dyDescent="0.25">
      <c r="A28" s="30" t="s">
        <v>70</v>
      </c>
      <c r="B28" s="11">
        <v>1210.2321428571429</v>
      </c>
    </row>
    <row r="29" spans="1:2" x14ac:dyDescent="0.25">
      <c r="A29" s="30" t="s">
        <v>71</v>
      </c>
      <c r="B29" s="11">
        <v>1172.2937788018435</v>
      </c>
    </row>
    <row r="30" spans="1:2" x14ac:dyDescent="0.25">
      <c r="A30" s="30" t="s">
        <v>72</v>
      </c>
      <c r="B30" s="11">
        <v>1164.7868663594472</v>
      </c>
    </row>
    <row r="31" spans="1:2" x14ac:dyDescent="0.25">
      <c r="A31" s="30" t="s">
        <v>73</v>
      </c>
      <c r="B31" s="11">
        <v>1180.4238095238093</v>
      </c>
    </row>
    <row r="32" spans="1:2" x14ac:dyDescent="0.25">
      <c r="A32" s="30" t="s">
        <v>74</v>
      </c>
      <c r="B32" s="11">
        <v>1164.2396313364059</v>
      </c>
    </row>
    <row r="33" spans="1:2" x14ac:dyDescent="0.25">
      <c r="A33" s="30" t="s">
        <v>75</v>
      </c>
      <c r="B33" s="11">
        <v>1197.8452380952383</v>
      </c>
    </row>
    <row r="34" spans="1:2" x14ac:dyDescent="0.25">
      <c r="A34" s="30" t="s">
        <v>76</v>
      </c>
      <c r="B34" s="11">
        <v>1136.3076036866362</v>
      </c>
    </row>
    <row r="39" spans="1:2" x14ac:dyDescent="0.25">
      <c r="A39" s="29" t="s">
        <v>65</v>
      </c>
      <c r="B39" t="s">
        <v>84</v>
      </c>
    </row>
    <row r="40" spans="1:2" x14ac:dyDescent="0.25">
      <c r="A40" s="30" t="s">
        <v>66</v>
      </c>
      <c r="B40" s="11">
        <v>1574.8225806451612</v>
      </c>
    </row>
    <row r="41" spans="1:2" x14ac:dyDescent="0.25">
      <c r="A41" s="30" t="s">
        <v>67</v>
      </c>
      <c r="B41" s="11">
        <v>1460.1754385964912</v>
      </c>
    </row>
    <row r="42" spans="1:2" x14ac:dyDescent="0.25">
      <c r="A42" s="30" t="s">
        <v>68</v>
      </c>
      <c r="B42" s="11">
        <v>1476.6612903225807</v>
      </c>
    </row>
    <row r="43" spans="1:2" x14ac:dyDescent="0.25">
      <c r="A43" s="30" t="s">
        <v>69</v>
      </c>
      <c r="B43" s="11">
        <v>1520.8833333333334</v>
      </c>
    </row>
    <row r="44" spans="1:2" x14ac:dyDescent="0.25">
      <c r="A44" s="30" t="s">
        <v>6</v>
      </c>
      <c r="B44" s="11">
        <v>1488.0967741935483</v>
      </c>
    </row>
    <row r="45" spans="1:2" x14ac:dyDescent="0.25">
      <c r="A45" s="30" t="s">
        <v>70</v>
      </c>
      <c r="B45" s="11">
        <v>1524.7666666666667</v>
      </c>
    </row>
    <row r="46" spans="1:2" x14ac:dyDescent="0.25">
      <c r="A46" s="30" t="s">
        <v>71</v>
      </c>
      <c r="B46" s="11">
        <v>1529.4032258064517</v>
      </c>
    </row>
    <row r="47" spans="1:2" x14ac:dyDescent="0.25">
      <c r="A47" s="30" t="s">
        <v>72</v>
      </c>
      <c r="B47" s="11">
        <v>1507.6774193548388</v>
      </c>
    </row>
    <row r="48" spans="1:2" x14ac:dyDescent="0.25">
      <c r="A48" s="30" t="s">
        <v>73</v>
      </c>
      <c r="B48" s="11">
        <v>1507.4333333333334</v>
      </c>
    </row>
    <row r="49" spans="1:2" x14ac:dyDescent="0.25">
      <c r="A49" s="30" t="s">
        <v>74</v>
      </c>
      <c r="B49" s="11">
        <v>1523.983870967742</v>
      </c>
    </row>
    <row r="50" spans="1:2" x14ac:dyDescent="0.25">
      <c r="A50" s="30" t="s">
        <v>75</v>
      </c>
      <c r="B50" s="11">
        <v>1476.7</v>
      </c>
    </row>
    <row r="51" spans="1:2" x14ac:dyDescent="0.25">
      <c r="A51" s="30" t="s">
        <v>76</v>
      </c>
      <c r="B51" s="11">
        <v>1486.1774193548388</v>
      </c>
    </row>
    <row r="57" spans="1:2" x14ac:dyDescent="0.25">
      <c r="A57" s="29" t="s">
        <v>65</v>
      </c>
      <c r="B57" t="s">
        <v>83</v>
      </c>
    </row>
    <row r="58" spans="1:2" x14ac:dyDescent="0.25">
      <c r="A58" s="30" t="s">
        <v>66</v>
      </c>
      <c r="B58" s="11">
        <v>943012.61999999988</v>
      </c>
    </row>
    <row r="59" spans="1:2" x14ac:dyDescent="0.25">
      <c r="A59" s="30" t="s">
        <v>67</v>
      </c>
      <c r="B59" s="11">
        <v>898882.46000000008</v>
      </c>
    </row>
    <row r="60" spans="1:2" x14ac:dyDescent="0.25">
      <c r="A60" s="30" t="s">
        <v>68</v>
      </c>
      <c r="B60" s="11">
        <v>922140.22</v>
      </c>
    </row>
    <row r="61" spans="1:2" x14ac:dyDescent="0.25">
      <c r="A61" s="30" t="s">
        <v>69</v>
      </c>
      <c r="B61" s="11">
        <v>979421.62000000011</v>
      </c>
    </row>
    <row r="62" spans="1:2" x14ac:dyDescent="0.25">
      <c r="A62" s="30" t="s">
        <v>6</v>
      </c>
      <c r="B62" s="11">
        <v>992550.98</v>
      </c>
    </row>
    <row r="63" spans="1:2" x14ac:dyDescent="0.25">
      <c r="A63" s="30" t="s">
        <v>70</v>
      </c>
      <c r="B63" s="11">
        <v>980563.89999999991</v>
      </c>
    </row>
    <row r="64" spans="1:2" x14ac:dyDescent="0.25">
      <c r="A64" s="30" t="s">
        <v>71</v>
      </c>
      <c r="B64" s="11">
        <v>987206.22</v>
      </c>
    </row>
    <row r="65" spans="1:3" x14ac:dyDescent="0.25">
      <c r="A65" s="30" t="s">
        <v>72</v>
      </c>
      <c r="B65" s="11">
        <v>984417.70000000019</v>
      </c>
    </row>
    <row r="66" spans="1:3" x14ac:dyDescent="0.25">
      <c r="A66" s="30" t="s">
        <v>73</v>
      </c>
      <c r="B66" s="11">
        <v>981629.32000000007</v>
      </c>
    </row>
    <row r="67" spans="1:3" x14ac:dyDescent="0.25">
      <c r="A67" s="30" t="s">
        <v>74</v>
      </c>
      <c r="B67" s="11">
        <v>984060.2</v>
      </c>
    </row>
    <row r="68" spans="1:3" x14ac:dyDescent="0.25">
      <c r="A68" s="30" t="s">
        <v>75</v>
      </c>
      <c r="B68" s="11">
        <v>983774.79999999993</v>
      </c>
    </row>
    <row r="69" spans="1:3" x14ac:dyDescent="0.25">
      <c r="A69" s="30" t="s">
        <v>76</v>
      </c>
      <c r="B69" s="11">
        <v>977615.30000000016</v>
      </c>
    </row>
    <row r="70" spans="1:3" x14ac:dyDescent="0.25">
      <c r="A70" s="30" t="s">
        <v>77</v>
      </c>
      <c r="B70" s="11">
        <v>11615275.340000002</v>
      </c>
    </row>
    <row r="76" spans="1:3" x14ac:dyDescent="0.25">
      <c r="A76" s="29" t="s">
        <v>65</v>
      </c>
      <c r="B76" t="s">
        <v>84</v>
      </c>
      <c r="C76" t="s">
        <v>94</v>
      </c>
    </row>
    <row r="77" spans="1:3" x14ac:dyDescent="0.25">
      <c r="A77" s="30" t="s">
        <v>66</v>
      </c>
      <c r="B77" s="11">
        <v>1574.8225806451612</v>
      </c>
      <c r="C77" s="31">
        <v>0.77995391705069117</v>
      </c>
    </row>
    <row r="78" spans="1:3" x14ac:dyDescent="0.25">
      <c r="A78" s="30" t="s">
        <v>67</v>
      </c>
      <c r="B78" s="11">
        <v>1460.1754385964912</v>
      </c>
      <c r="C78" s="31">
        <v>0.77318295739348364</v>
      </c>
    </row>
    <row r="79" spans="1:3" x14ac:dyDescent="0.25">
      <c r="A79" s="30" t="s">
        <v>68</v>
      </c>
      <c r="B79" s="11">
        <v>1476.6612903225807</v>
      </c>
      <c r="C79" s="31">
        <v>0.77995391705069128</v>
      </c>
    </row>
    <row r="80" spans="1:3" x14ac:dyDescent="0.25">
      <c r="A80" s="30" t="s">
        <v>69</v>
      </c>
      <c r="B80" s="11">
        <v>1520.8833333333334</v>
      </c>
      <c r="C80" s="31">
        <v>0.77619047619047643</v>
      </c>
    </row>
    <row r="81" spans="1:3" x14ac:dyDescent="0.25">
      <c r="A81" s="30" t="s">
        <v>6</v>
      </c>
      <c r="B81" s="11">
        <v>1488.0967741935483</v>
      </c>
      <c r="C81" s="31">
        <v>0.79493087557603703</v>
      </c>
    </row>
    <row r="82" spans="1:3" x14ac:dyDescent="0.25">
      <c r="A82" s="30" t="s">
        <v>70</v>
      </c>
      <c r="B82" s="11">
        <v>1524.7666666666667</v>
      </c>
      <c r="C82" s="31">
        <v>0.78809523809523807</v>
      </c>
    </row>
    <row r="83" spans="1:3" x14ac:dyDescent="0.25">
      <c r="A83" s="30" t="s">
        <v>71</v>
      </c>
      <c r="B83" s="11">
        <v>1529.4032258064517</v>
      </c>
      <c r="C83" s="31">
        <v>0.76497695852534542</v>
      </c>
    </row>
    <row r="84" spans="1:3" x14ac:dyDescent="0.25">
      <c r="A84" s="30" t="s">
        <v>72</v>
      </c>
      <c r="B84" s="11">
        <v>1507.6774193548388</v>
      </c>
      <c r="C84" s="31">
        <v>0.77188940092165914</v>
      </c>
    </row>
    <row r="85" spans="1:3" x14ac:dyDescent="0.25">
      <c r="A85" s="30" t="s">
        <v>73</v>
      </c>
      <c r="B85" s="11">
        <v>1507.4333333333334</v>
      </c>
      <c r="C85" s="31">
        <v>0.78809523809523818</v>
      </c>
    </row>
    <row r="86" spans="1:3" x14ac:dyDescent="0.25">
      <c r="A86" s="30" t="s">
        <v>74</v>
      </c>
      <c r="B86" s="11">
        <v>1523.983870967742</v>
      </c>
      <c r="C86" s="31">
        <v>0.76152073732718895</v>
      </c>
    </row>
    <row r="87" spans="1:3" x14ac:dyDescent="0.25">
      <c r="A87" s="30" t="s">
        <v>75</v>
      </c>
      <c r="B87" s="11">
        <v>1476.7</v>
      </c>
      <c r="C87" s="31">
        <v>0.80595238095238109</v>
      </c>
    </row>
    <row r="88" spans="1:3" x14ac:dyDescent="0.25">
      <c r="A88" s="30" t="s">
        <v>76</v>
      </c>
      <c r="B88" s="11">
        <v>1486.1774193548388</v>
      </c>
      <c r="C88" s="31">
        <v>0.76612903225806472</v>
      </c>
    </row>
    <row r="97" spans="1:2" x14ac:dyDescent="0.25">
      <c r="A97" s="29" t="s">
        <v>65</v>
      </c>
      <c r="B97" t="s">
        <v>85</v>
      </c>
    </row>
    <row r="98" spans="1:2" x14ac:dyDescent="0.25">
      <c r="A98" s="30" t="s">
        <v>66</v>
      </c>
      <c r="B98">
        <v>677</v>
      </c>
    </row>
    <row r="99" spans="1:2" x14ac:dyDescent="0.25">
      <c r="A99" s="30" t="s">
        <v>67</v>
      </c>
      <c r="B99">
        <v>617</v>
      </c>
    </row>
    <row r="100" spans="1:2" x14ac:dyDescent="0.25">
      <c r="A100" s="30" t="s">
        <v>68</v>
      </c>
      <c r="B100">
        <v>677</v>
      </c>
    </row>
    <row r="101" spans="1:2" x14ac:dyDescent="0.25">
      <c r="A101" s="30" t="s">
        <v>69</v>
      </c>
      <c r="B101">
        <v>652</v>
      </c>
    </row>
    <row r="102" spans="1:2" x14ac:dyDescent="0.25">
      <c r="A102" s="30" t="s">
        <v>6</v>
      </c>
      <c r="B102">
        <v>690</v>
      </c>
    </row>
    <row r="103" spans="1:2" x14ac:dyDescent="0.25">
      <c r="A103" s="30" t="s">
        <v>70</v>
      </c>
      <c r="B103">
        <v>662</v>
      </c>
    </row>
    <row r="104" spans="1:2" x14ac:dyDescent="0.25">
      <c r="A104" s="30" t="s">
        <v>71</v>
      </c>
      <c r="B104">
        <v>664</v>
      </c>
    </row>
    <row r="105" spans="1:2" x14ac:dyDescent="0.25">
      <c r="A105" s="30" t="s">
        <v>72</v>
      </c>
      <c r="B105">
        <v>670</v>
      </c>
    </row>
    <row r="106" spans="1:2" x14ac:dyDescent="0.25">
      <c r="A106" s="30" t="s">
        <v>73</v>
      </c>
      <c r="B106">
        <v>662</v>
      </c>
    </row>
    <row r="107" spans="1:2" x14ac:dyDescent="0.25">
      <c r="A107" s="30" t="s">
        <v>74</v>
      </c>
      <c r="B107">
        <v>661</v>
      </c>
    </row>
    <row r="108" spans="1:2" x14ac:dyDescent="0.25">
      <c r="A108" s="30" t="s">
        <v>75</v>
      </c>
      <c r="B108">
        <v>677</v>
      </c>
    </row>
    <row r="109" spans="1:2" x14ac:dyDescent="0.25">
      <c r="A109" s="30" t="s">
        <v>76</v>
      </c>
      <c r="B109">
        <v>665</v>
      </c>
    </row>
    <row r="110" spans="1:2" x14ac:dyDescent="0.25">
      <c r="A110" s="30" t="s">
        <v>77</v>
      </c>
      <c r="B110">
        <v>7974</v>
      </c>
    </row>
    <row r="114" spans="1:2" x14ac:dyDescent="0.25">
      <c r="A114" s="29" t="s">
        <v>1</v>
      </c>
      <c r="B114" t="s">
        <v>78</v>
      </c>
    </row>
    <row r="116" spans="1:2" x14ac:dyDescent="0.25">
      <c r="A116" s="29" t="s">
        <v>65</v>
      </c>
      <c r="B116" t="s">
        <v>87</v>
      </c>
    </row>
    <row r="117" spans="1:2" x14ac:dyDescent="0.25">
      <c r="A117" s="30" t="s">
        <v>66</v>
      </c>
      <c r="B117" s="11">
        <v>129808.37999999999</v>
      </c>
    </row>
    <row r="118" spans="1:2" x14ac:dyDescent="0.25">
      <c r="A118" s="30" t="s">
        <v>67</v>
      </c>
      <c r="B118" s="11">
        <v>2860.5400000000154</v>
      </c>
    </row>
    <row r="119" spans="1:2" x14ac:dyDescent="0.25">
      <c r="A119" s="30" t="s">
        <v>68</v>
      </c>
      <c r="B119" s="11">
        <v>79260.780000000013</v>
      </c>
    </row>
    <row r="120" spans="1:2" x14ac:dyDescent="0.25">
      <c r="A120" s="30" t="s">
        <v>69</v>
      </c>
      <c r="B120" s="11">
        <v>12449.379999999937</v>
      </c>
    </row>
    <row r="121" spans="1:2" x14ac:dyDescent="0.25">
      <c r="A121" s="30" t="s">
        <v>6</v>
      </c>
      <c r="B121" s="11">
        <v>35908.020000000011</v>
      </c>
    </row>
    <row r="122" spans="1:2" x14ac:dyDescent="0.25">
      <c r="A122" s="30" t="s">
        <v>70</v>
      </c>
      <c r="B122" s="11">
        <v>36031.099999999948</v>
      </c>
    </row>
    <row r="123" spans="1:2" x14ac:dyDescent="0.25">
      <c r="A123" s="30" t="s">
        <v>71</v>
      </c>
      <c r="B123" s="11">
        <v>30344.779999999988</v>
      </c>
    </row>
    <row r="124" spans="1:2" x14ac:dyDescent="0.25">
      <c r="A124" s="30" t="s">
        <v>72</v>
      </c>
      <c r="B124" s="11">
        <v>26617.299999999967</v>
      </c>
    </row>
    <row r="125" spans="1:2" x14ac:dyDescent="0.25">
      <c r="A125" s="30" t="s">
        <v>73</v>
      </c>
      <c r="B125" s="11">
        <v>9926.6799999999512</v>
      </c>
    </row>
    <row r="126" spans="1:2" x14ac:dyDescent="0.25">
      <c r="A126" s="30" t="s">
        <v>74</v>
      </c>
      <c r="B126" s="11">
        <v>26499.799999999985</v>
      </c>
    </row>
    <row r="127" spans="1:2" x14ac:dyDescent="0.25">
      <c r="A127" s="30" t="s">
        <v>75</v>
      </c>
      <c r="B127" s="11">
        <v>22415.19999999991</v>
      </c>
    </row>
    <row r="128" spans="1:2" x14ac:dyDescent="0.25">
      <c r="A128" s="30" t="s">
        <v>76</v>
      </c>
      <c r="B128" s="11">
        <v>8699.6999999999771</v>
      </c>
    </row>
    <row r="129" spans="1:6" x14ac:dyDescent="0.25">
      <c r="A129" s="30" t="s">
        <v>77</v>
      </c>
      <c r="B129" s="11">
        <v>420821.65999999968</v>
      </c>
    </row>
    <row r="142" spans="1:6" x14ac:dyDescent="0.25">
      <c r="A142" s="29" t="s">
        <v>65</v>
      </c>
      <c r="B142" t="s">
        <v>86</v>
      </c>
      <c r="C142" t="s">
        <v>89</v>
      </c>
      <c r="D142" t="s">
        <v>90</v>
      </c>
      <c r="E142" t="s">
        <v>91</v>
      </c>
      <c r="F142" t="s">
        <v>92</v>
      </c>
    </row>
    <row r="143" spans="1:6" x14ac:dyDescent="0.25">
      <c r="A143" s="30" t="s">
        <v>66</v>
      </c>
      <c r="B143" s="11">
        <v>399999.99999999983</v>
      </c>
      <c r="C143" s="11">
        <v>139999.99999999991</v>
      </c>
      <c r="D143" s="11">
        <v>19999.999999999989</v>
      </c>
      <c r="E143" s="11">
        <v>106992.00000000013</v>
      </c>
      <c r="F143" s="11">
        <v>40000.000000000015</v>
      </c>
    </row>
    <row r="144" spans="1:6" x14ac:dyDescent="0.25">
      <c r="A144" s="30" t="s">
        <v>67</v>
      </c>
      <c r="B144" s="11">
        <v>399999.99999999988</v>
      </c>
      <c r="C144" s="11">
        <v>140000.00000000003</v>
      </c>
      <c r="D144" s="11">
        <v>20000.000000000011</v>
      </c>
      <c r="E144" s="11">
        <v>100498.99999999997</v>
      </c>
      <c r="F144" s="11">
        <v>39999.999999999971</v>
      </c>
    </row>
    <row r="145" spans="1:6" x14ac:dyDescent="0.25">
      <c r="A145" s="30" t="s">
        <v>68</v>
      </c>
      <c r="B145" s="11">
        <v>399999.99999999983</v>
      </c>
      <c r="C145" s="11">
        <v>139999.99999999991</v>
      </c>
      <c r="D145" s="11">
        <v>20000</v>
      </c>
      <c r="E145" s="11">
        <v>101832.00000000001</v>
      </c>
      <c r="F145" s="11">
        <v>40000.000000000015</v>
      </c>
    </row>
    <row r="146" spans="1:6" x14ac:dyDescent="0.25">
      <c r="A146" s="30" t="s">
        <v>69</v>
      </c>
      <c r="B146" s="11">
        <v>459999.99999999959</v>
      </c>
      <c r="C146" s="11">
        <v>139999.99999999991</v>
      </c>
      <c r="D146" s="11">
        <v>20000.000000000004</v>
      </c>
      <c r="E146" s="11">
        <v>101210.00000000001</v>
      </c>
      <c r="F146" s="11">
        <v>40000</v>
      </c>
    </row>
    <row r="147" spans="1:6" x14ac:dyDescent="0.25">
      <c r="A147" s="30" t="s">
        <v>6</v>
      </c>
      <c r="B147" s="11">
        <v>459999.99999999959</v>
      </c>
      <c r="C147" s="11">
        <v>139999.99999999991</v>
      </c>
      <c r="D147" s="11">
        <v>19999.999999999985</v>
      </c>
      <c r="E147" s="11">
        <v>106289.99999999997</v>
      </c>
      <c r="F147" s="11">
        <v>40000.000000000015</v>
      </c>
    </row>
    <row r="148" spans="1:6" x14ac:dyDescent="0.25">
      <c r="A148" s="30" t="s">
        <v>70</v>
      </c>
      <c r="B148" s="11">
        <v>459999.99999999959</v>
      </c>
      <c r="C148" s="11">
        <v>139999.99999999991</v>
      </c>
      <c r="D148" s="11">
        <v>19999.999999999996</v>
      </c>
      <c r="E148" s="11">
        <v>96913.000000000044</v>
      </c>
      <c r="F148" s="11">
        <v>40000</v>
      </c>
    </row>
    <row r="149" spans="1:6" x14ac:dyDescent="0.25">
      <c r="A149" s="30" t="s">
        <v>71</v>
      </c>
      <c r="B149" s="11">
        <v>459999.99999999959</v>
      </c>
      <c r="C149" s="11">
        <v>139999.99999999991</v>
      </c>
      <c r="D149" s="11">
        <v>20000</v>
      </c>
      <c r="E149" s="11">
        <v>103345.00000000006</v>
      </c>
      <c r="F149" s="11">
        <v>40000.000000000015</v>
      </c>
    </row>
    <row r="150" spans="1:6" x14ac:dyDescent="0.25">
      <c r="A150" s="30" t="s">
        <v>72</v>
      </c>
      <c r="B150" s="11">
        <v>459999.99999999959</v>
      </c>
      <c r="C150" s="11">
        <v>139999.99999999991</v>
      </c>
      <c r="D150" s="11">
        <v>20000.000000000007</v>
      </c>
      <c r="E150" s="11">
        <v>101990.00000000003</v>
      </c>
      <c r="F150" s="11">
        <v>40000.000000000015</v>
      </c>
    </row>
    <row r="151" spans="1:6" x14ac:dyDescent="0.25">
      <c r="A151" s="30" t="s">
        <v>73</v>
      </c>
      <c r="B151" s="11">
        <v>459999.99999999959</v>
      </c>
      <c r="C151" s="11">
        <v>139999.99999999991</v>
      </c>
      <c r="D151" s="11">
        <v>20000.000000000007</v>
      </c>
      <c r="E151" s="11">
        <v>103487.00000000009</v>
      </c>
      <c r="F151" s="11">
        <v>40000</v>
      </c>
    </row>
    <row r="152" spans="1:6" x14ac:dyDescent="0.25">
      <c r="A152" s="30" t="s">
        <v>74</v>
      </c>
      <c r="B152" s="11">
        <v>459999.99999999959</v>
      </c>
      <c r="C152" s="11">
        <v>139999.99999999991</v>
      </c>
      <c r="D152" s="11">
        <v>20000.000000000007</v>
      </c>
      <c r="E152" s="11">
        <v>101737.00000000001</v>
      </c>
      <c r="F152" s="11">
        <v>40000.000000000015</v>
      </c>
    </row>
    <row r="153" spans="1:6" x14ac:dyDescent="0.25">
      <c r="A153" s="30" t="s">
        <v>75</v>
      </c>
      <c r="B153" s="11">
        <v>459999.99999999959</v>
      </c>
      <c r="C153" s="11">
        <v>139999.99999999991</v>
      </c>
      <c r="D153" s="11">
        <v>20000.000000000004</v>
      </c>
      <c r="E153" s="11">
        <v>102413</v>
      </c>
      <c r="F153" s="11">
        <v>40000</v>
      </c>
    </row>
    <row r="154" spans="1:6" x14ac:dyDescent="0.25">
      <c r="A154" s="30" t="s">
        <v>76</v>
      </c>
      <c r="B154" s="11">
        <v>459999.99999999959</v>
      </c>
      <c r="C154" s="11">
        <v>139999.99999999991</v>
      </c>
      <c r="D154" s="11">
        <v>20000.000000000004</v>
      </c>
      <c r="E154" s="11">
        <v>100625.99999999999</v>
      </c>
      <c r="F154" s="11">
        <v>40000.000000000015</v>
      </c>
    </row>
    <row r="186" spans="1:2" x14ac:dyDescent="0.25">
      <c r="A186" s="29" t="s">
        <v>65</v>
      </c>
      <c r="B186" t="s">
        <v>93</v>
      </c>
    </row>
    <row r="187" spans="1:2" x14ac:dyDescent="0.25">
      <c r="A187" s="30" t="s">
        <v>66</v>
      </c>
      <c r="B187" s="11">
        <v>236020.62</v>
      </c>
    </row>
    <row r="188" spans="1:2" x14ac:dyDescent="0.25">
      <c r="A188" s="30" t="s">
        <v>67</v>
      </c>
      <c r="B188" s="11">
        <v>198383.46000000008</v>
      </c>
    </row>
    <row r="189" spans="1:2" x14ac:dyDescent="0.25">
      <c r="A189" s="30" t="s">
        <v>68</v>
      </c>
      <c r="B189" s="11">
        <v>220308.21999999991</v>
      </c>
    </row>
    <row r="190" spans="1:2" x14ac:dyDescent="0.25">
      <c r="A190" s="30" t="s">
        <v>69</v>
      </c>
      <c r="B190" s="11">
        <v>218211.62000000008</v>
      </c>
    </row>
    <row r="191" spans="1:2" x14ac:dyDescent="0.25">
      <c r="A191" s="30" t="s">
        <v>6</v>
      </c>
      <c r="B191" s="11">
        <v>226260.97999999995</v>
      </c>
    </row>
    <row r="192" spans="1:2" x14ac:dyDescent="0.25">
      <c r="A192" s="30" t="s">
        <v>70</v>
      </c>
      <c r="B192" s="11">
        <v>223650.89999999997</v>
      </c>
    </row>
    <row r="193" spans="1:4" x14ac:dyDescent="0.25">
      <c r="A193" s="30" t="s">
        <v>71</v>
      </c>
      <c r="B193" s="11">
        <v>223861.22000000006</v>
      </c>
    </row>
    <row r="194" spans="1:4" x14ac:dyDescent="0.25">
      <c r="A194" s="30" t="s">
        <v>72</v>
      </c>
      <c r="B194" s="11">
        <v>222427.69999999998</v>
      </c>
    </row>
    <row r="195" spans="1:4" x14ac:dyDescent="0.25">
      <c r="A195" s="30" t="s">
        <v>73</v>
      </c>
      <c r="B195" s="11">
        <v>218142.31999999998</v>
      </c>
    </row>
    <row r="196" spans="1:4" x14ac:dyDescent="0.25">
      <c r="A196" s="30" t="s">
        <v>74</v>
      </c>
      <c r="B196" s="11">
        <v>222323.19999999998</v>
      </c>
    </row>
    <row r="197" spans="1:4" x14ac:dyDescent="0.25">
      <c r="A197" s="30" t="s">
        <v>75</v>
      </c>
      <c r="B197" s="11">
        <v>221361.80000000005</v>
      </c>
    </row>
    <row r="198" spans="1:4" x14ac:dyDescent="0.25">
      <c r="A198" s="30" t="s">
        <v>76</v>
      </c>
      <c r="B198" s="11">
        <v>216989.30000000005</v>
      </c>
    </row>
    <row r="199" spans="1:4" x14ac:dyDescent="0.25">
      <c r="A199" s="30" t="s">
        <v>77</v>
      </c>
      <c r="B199" s="11">
        <v>2647941.34</v>
      </c>
    </row>
    <row r="207" spans="1:4" x14ac:dyDescent="0.25">
      <c r="A207" s="29" t="s">
        <v>65</v>
      </c>
      <c r="B207" t="s">
        <v>83</v>
      </c>
      <c r="C207" t="s">
        <v>87</v>
      </c>
      <c r="D207" t="s">
        <v>85</v>
      </c>
    </row>
    <row r="208" spans="1:4" x14ac:dyDescent="0.25">
      <c r="A208" s="30" t="s">
        <v>66</v>
      </c>
      <c r="B208" s="11">
        <v>943012.61999999988</v>
      </c>
      <c r="C208" s="11">
        <v>129808.37999999999</v>
      </c>
      <c r="D208" s="36">
        <v>677</v>
      </c>
    </row>
    <row r="209" spans="1:4" x14ac:dyDescent="0.25">
      <c r="A209" s="30" t="s">
        <v>67</v>
      </c>
      <c r="B209" s="11">
        <v>898882.46000000008</v>
      </c>
      <c r="C209" s="11">
        <v>2860.5400000000154</v>
      </c>
      <c r="D209" s="36">
        <v>617</v>
      </c>
    </row>
    <row r="210" spans="1:4" x14ac:dyDescent="0.25">
      <c r="A210" s="30" t="s">
        <v>68</v>
      </c>
      <c r="B210" s="11">
        <v>922140.22</v>
      </c>
      <c r="C210" s="11">
        <v>79260.780000000013</v>
      </c>
      <c r="D210" s="36">
        <v>677</v>
      </c>
    </row>
    <row r="211" spans="1:4" x14ac:dyDescent="0.25">
      <c r="A211" s="30" t="s">
        <v>69</v>
      </c>
      <c r="B211" s="11">
        <v>979421.62000000011</v>
      </c>
      <c r="C211" s="11">
        <v>12449.379999999937</v>
      </c>
      <c r="D211" s="36">
        <v>652</v>
      </c>
    </row>
    <row r="212" spans="1:4" x14ac:dyDescent="0.25">
      <c r="A212" s="30" t="s">
        <v>6</v>
      </c>
      <c r="B212" s="11">
        <v>992550.98</v>
      </c>
      <c r="C212" s="11">
        <v>35908.020000000011</v>
      </c>
      <c r="D212" s="36">
        <v>690</v>
      </c>
    </row>
    <row r="213" spans="1:4" x14ac:dyDescent="0.25">
      <c r="A213" s="30" t="s">
        <v>70</v>
      </c>
      <c r="B213" s="11">
        <v>980563.89999999991</v>
      </c>
      <c r="C213" s="11">
        <v>36031.099999999948</v>
      </c>
      <c r="D213" s="36">
        <v>662</v>
      </c>
    </row>
    <row r="214" spans="1:4" x14ac:dyDescent="0.25">
      <c r="A214" s="30" t="s">
        <v>71</v>
      </c>
      <c r="B214" s="11">
        <v>987206.22</v>
      </c>
      <c r="C214" s="11">
        <v>30344.779999999988</v>
      </c>
      <c r="D214" s="36">
        <v>664</v>
      </c>
    </row>
    <row r="215" spans="1:4" x14ac:dyDescent="0.25">
      <c r="A215" s="30" t="s">
        <v>72</v>
      </c>
      <c r="B215" s="11">
        <v>984417.70000000019</v>
      </c>
      <c r="C215" s="11">
        <v>26617.299999999967</v>
      </c>
      <c r="D215" s="36">
        <v>670</v>
      </c>
    </row>
    <row r="216" spans="1:4" x14ac:dyDescent="0.25">
      <c r="A216" s="30" t="s">
        <v>73</v>
      </c>
      <c r="B216" s="11">
        <v>981629.32000000007</v>
      </c>
      <c r="C216" s="11">
        <v>9926.6799999999512</v>
      </c>
      <c r="D216" s="36">
        <v>662</v>
      </c>
    </row>
    <row r="217" spans="1:4" x14ac:dyDescent="0.25">
      <c r="A217" s="30" t="s">
        <v>74</v>
      </c>
      <c r="B217" s="11">
        <v>984060.2</v>
      </c>
      <c r="C217" s="11">
        <v>26499.799999999985</v>
      </c>
      <c r="D217" s="36">
        <v>661</v>
      </c>
    </row>
    <row r="218" spans="1:4" x14ac:dyDescent="0.25">
      <c r="A218" s="30" t="s">
        <v>75</v>
      </c>
      <c r="B218" s="11">
        <v>983774.79999999993</v>
      </c>
      <c r="C218" s="11">
        <v>22415.19999999991</v>
      </c>
      <c r="D218" s="36">
        <v>677</v>
      </c>
    </row>
    <row r="219" spans="1:4" x14ac:dyDescent="0.25">
      <c r="A219" s="30" t="s">
        <v>76</v>
      </c>
      <c r="B219" s="11">
        <v>977615.30000000016</v>
      </c>
      <c r="C219" s="11">
        <v>8699.6999999999771</v>
      </c>
      <c r="D219" s="36">
        <v>665</v>
      </c>
    </row>
    <row r="220" spans="1:4" x14ac:dyDescent="0.25">
      <c r="A220" s="30" t="s">
        <v>77</v>
      </c>
      <c r="B220" s="11">
        <v>11615275.340000002</v>
      </c>
      <c r="C220" s="11">
        <v>420821.65999999968</v>
      </c>
      <c r="D220" s="36">
        <v>7974</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18D9-38DF-4966-A6A2-95046DA7649C}">
  <sheetPr codeName="Sheet1"/>
  <dimension ref="A1:X732"/>
  <sheetViews>
    <sheetView topLeftCell="P1" workbookViewId="0">
      <selection activeCell="X20" sqref="X20"/>
    </sheetView>
  </sheetViews>
  <sheetFormatPr defaultRowHeight="15" x14ac:dyDescent="0.25"/>
  <cols>
    <col min="1" max="1" width="10.42578125" bestFit="1" customWidth="1"/>
    <col min="2" max="4" width="14.28515625" customWidth="1"/>
    <col min="5" max="5" width="13.42578125" customWidth="1"/>
    <col min="6" max="6" width="16.85546875" style="5" customWidth="1"/>
    <col min="7" max="7" width="12.42578125" customWidth="1"/>
    <col min="8" max="8" width="12.7109375" customWidth="1"/>
    <col min="9" max="9" width="13.85546875" customWidth="1"/>
    <col min="10" max="10" width="20.7109375" customWidth="1"/>
    <col min="11" max="11" width="15.42578125" customWidth="1"/>
    <col min="12" max="12" width="21.42578125" bestFit="1" customWidth="1"/>
    <col min="13" max="13" width="16.5703125" bestFit="1" customWidth="1"/>
    <col min="14" max="14" width="16.5703125" customWidth="1"/>
    <col min="15" max="15" width="21" bestFit="1" customWidth="1"/>
    <col min="16" max="16" width="20.140625" customWidth="1"/>
    <col min="18" max="18" width="11.85546875" customWidth="1"/>
    <col min="19" max="19" width="11.5703125" customWidth="1"/>
    <col min="23" max="23" width="23.7109375" bestFit="1" customWidth="1"/>
    <col min="24" max="24" width="15.85546875" bestFit="1" customWidth="1"/>
  </cols>
  <sheetData>
    <row r="1" spans="1:24" x14ac:dyDescent="0.25">
      <c r="A1" t="s">
        <v>15</v>
      </c>
      <c r="B1" t="s">
        <v>14</v>
      </c>
      <c r="C1" t="s">
        <v>0</v>
      </c>
      <c r="D1" t="s">
        <v>1</v>
      </c>
      <c r="E1" t="s">
        <v>16</v>
      </c>
      <c r="F1" t="s">
        <v>17</v>
      </c>
      <c r="G1" s="5" t="s">
        <v>18</v>
      </c>
      <c r="H1" t="s">
        <v>19</v>
      </c>
      <c r="I1" t="s">
        <v>20</v>
      </c>
      <c r="J1" t="s">
        <v>33</v>
      </c>
      <c r="K1" t="s">
        <v>21</v>
      </c>
      <c r="L1" t="s">
        <v>22</v>
      </c>
      <c r="M1" t="s">
        <v>23</v>
      </c>
      <c r="N1" t="s">
        <v>24</v>
      </c>
      <c r="O1" t="s">
        <v>35</v>
      </c>
      <c r="P1" t="s">
        <v>25</v>
      </c>
      <c r="Q1" t="s">
        <v>26</v>
      </c>
      <c r="R1" t="s">
        <v>80</v>
      </c>
      <c r="S1" t="s">
        <v>81</v>
      </c>
    </row>
    <row r="2" spans="1:24" x14ac:dyDescent="0.25">
      <c r="A2" s="6">
        <v>44927</v>
      </c>
      <c r="B2" s="20">
        <f>DATE(YEAR(Daily_Data[[#This Row],[Date]]), MONTH(Daily_Data[[#This Row],[Date]]), 1)</f>
        <v>44927</v>
      </c>
      <c r="C2" s="20" t="str">
        <f>TEXT(Daily_Data[[#This Row],[Month_key]],"mmmm")</f>
        <v>January</v>
      </c>
      <c r="D2" s="20" t="str">
        <f>TEXT(Daily_Data[[#This Row],[Month_key]],"yyyy")</f>
        <v>2023</v>
      </c>
      <c r="E2" s="7">
        <v>12</v>
      </c>
      <c r="F2" s="7">
        <v>14</v>
      </c>
      <c r="G2" s="8">
        <f>Daily_Data[[#This Row],[Rooms_Occupied]]/F2</f>
        <v>0.8571428571428571</v>
      </c>
      <c r="H2" s="7">
        <v>1687</v>
      </c>
      <c r="I2" s="7">
        <f>Daily_Data[[#This Row],[Room_rate]]*Daily_Data[[#This Row],[Rooms_Occupied]]</f>
        <v>20244</v>
      </c>
      <c r="J2" s="10">
        <f>Daily_Data[[#This Row],[Total_Sales]] * 0.22</f>
        <v>4453.68</v>
      </c>
      <c r="K2" s="10">
        <f>INDEX(Expense_master[Monthly_Rent],MATCH(Daily_Data[[#This Row],[Month_key]],Expense_master[Month_Key],0)) / INDEX(Expense_master[Days_in_Month],MATCH(Daily_Data[[#This Row],[Month_key]],Expense_master[Month_Key],0))</f>
        <v>6129.0322580645161</v>
      </c>
      <c r="L2" s="10">
        <f>SUMIFS(Expense_master[Staff_Salary],Expense_master[Month_Key],Daily_Data[[#This Row],[Month_key]]) / SUMIFS(Expense_master[Days_in_Month],Expense_master[Month_Key],Daily_Data[[#This Row],[Month_key]])</f>
        <v>2258.0645161290322</v>
      </c>
      <c r="M2" s="10">
        <f>Daily_Data[[#This Row],[Rooms_Occupied]] * (SUMIFS(Expense_master[Housekeeping_Laundy],Expense_master[Month_Key],Daily_Data[[#This Row],[Month_key]]) / SUMIFS(Occupancy_table[Monthly_rooms_Occupied],Occupancy_table[Month_Key],Daily_Data[[#This Row],[Month_key]]))</f>
        <v>335.19553072625695</v>
      </c>
      <c r="N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2" s="10">
        <f>SUMIFS(Expense_master[Monthly_Maintenance],Expense_master[Month_Key],Daily_Data[[#This Row],[Month_key]]) / SUMIFS(Expense_master[Days_in_Month],Expense_master[Month_Key], Daily_Data[[#This Row],[Month_key]])</f>
        <v>645.16129032258061</v>
      </c>
      <c r="P2" s="10">
        <f xml:space="preserve"> Daily_Data[[#This Row],[OTA Commision]] + Daily_Data[[#This Row],[Daily_Rent]]+Daily_Data[[#This Row],[Daily_Staff]]+Daily_Data[[#This Row],[Daily_HK]]+Daily_Data[[#This Row],[Daily_Electricity]] + Daily_Data[[#This Row],[Daily Maintenance]]</f>
        <v>15561.418042890609</v>
      </c>
      <c r="Q2" s="10">
        <f>Daily_Data[[#This Row],[Total_Sales]]-Daily_Data[[#This Row],[Total_Daily_Expense]]</f>
        <v>4682.5819571093907</v>
      </c>
      <c r="R2" s="18">
        <f>Daily_Data[[#This Row],[Total_Sales]]/Daily_Data[[#This Row],[Rooms_Occupied]]</f>
        <v>1687</v>
      </c>
      <c r="S2" s="18">
        <f>Daily_Data[[#This Row],[Total_Sales]] / Daily_Data[[#This Row],[Max_rooms]]</f>
        <v>1446</v>
      </c>
    </row>
    <row r="3" spans="1:24" x14ac:dyDescent="0.25">
      <c r="A3" s="6">
        <v>44928</v>
      </c>
      <c r="B3" s="20">
        <f>DATE(YEAR(Daily_Data[[#This Row],[Date]]), MONTH(Daily_Data[[#This Row],[Date]]), 1)</f>
        <v>44927</v>
      </c>
      <c r="C3" s="20" t="str">
        <f>TEXT(Daily_Data[[#This Row],[Month_key]],"mmmm")</f>
        <v>January</v>
      </c>
      <c r="D3" s="20" t="str">
        <f>TEXT(Daily_Data[[#This Row],[Month_key]],"yyyy")</f>
        <v>2023</v>
      </c>
      <c r="E3" s="7">
        <v>12</v>
      </c>
      <c r="F3" s="7">
        <v>14</v>
      </c>
      <c r="G3" s="8">
        <f>Daily_Data[[#This Row],[Rooms_Occupied]]/F3</f>
        <v>0.8571428571428571</v>
      </c>
      <c r="H3" s="7">
        <v>1458</v>
      </c>
      <c r="I3" s="7">
        <f>Daily_Data[[#This Row],[Room_rate]]*Daily_Data[[#This Row],[Rooms_Occupied]]</f>
        <v>17496</v>
      </c>
      <c r="J3" s="10">
        <f>Daily_Data[[#This Row],[Total_Sales]] * 0.22</f>
        <v>3849.12</v>
      </c>
      <c r="K3" s="10">
        <f>INDEX(Expense_master[Monthly_Rent],MATCH(Daily_Data[[#This Row],[Month_key]],Expense_master[Month_Key],0)) / INDEX(Expense_master[Days_in_Month],MATCH(Daily_Data[[#This Row],[Month_key]],Expense_master[Month_Key],0))</f>
        <v>6129.0322580645161</v>
      </c>
      <c r="L3" s="10">
        <f>SUMIFS(Expense_master[Staff_Salary],Expense_master[Month_Key],Daily_Data[[#This Row],[Month_key]]) / SUMIFS(Expense_master[Days_in_Month],Expense_master[Month_Key],Daily_Data[[#This Row],[Month_key]])</f>
        <v>2258.0645161290322</v>
      </c>
      <c r="M3" s="10">
        <f>Daily_Data[[#This Row],[Rooms_Occupied]] * (SUMIFS(Expense_master[Housekeeping_Laundy],Expense_master[Month_Key],Daily_Data[[#This Row],[Month_key]]) / SUMIFS(Occupancy_table[Monthly_rooms_Occupied],Occupancy_table[Month_Key],Daily_Data[[#This Row],[Month_key]]))</f>
        <v>335.19553072625695</v>
      </c>
      <c r="N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3" s="10">
        <f>SUMIFS(Expense_master[Monthly_Maintenance],Expense_master[Month_Key],Daily_Data[[#This Row],[Month_key]]) / SUMIFS(Expense_master[Days_in_Month],Expense_master[Month_Key], Daily_Data[[#This Row],[Month_key]])</f>
        <v>645.16129032258061</v>
      </c>
      <c r="P3" s="10">
        <f xml:space="preserve"> Daily_Data[[#This Row],[OTA Commision]] + Daily_Data[[#This Row],[Daily_Rent]]+Daily_Data[[#This Row],[Daily_Staff]]+Daily_Data[[#This Row],[Daily_HK]]+Daily_Data[[#This Row],[Daily_Electricity]] + Daily_Data[[#This Row],[Daily Maintenance]]</f>
        <v>14956.858042890612</v>
      </c>
      <c r="Q3" s="10">
        <f>Daily_Data[[#This Row],[Total_Sales]]-Daily_Data[[#This Row],[Total_Daily_Expense]]</f>
        <v>2539.1419571093884</v>
      </c>
      <c r="R3" s="10">
        <f>Daily_Data[[#This Row],[Total_Sales]]/Daily_Data[[#This Row],[Rooms_Occupied]]</f>
        <v>1458</v>
      </c>
      <c r="S3" s="10">
        <f>Daily_Data[[#This Row],[Total_Sales]] / Daily_Data[[#This Row],[Max_rooms]]</f>
        <v>1249.7142857142858</v>
      </c>
    </row>
    <row r="4" spans="1:24" x14ac:dyDescent="0.25">
      <c r="A4" s="6">
        <v>44929</v>
      </c>
      <c r="B4" s="20">
        <f>DATE(YEAR(Daily_Data[[#This Row],[Date]]), MONTH(Daily_Data[[#This Row],[Date]]), 1)</f>
        <v>44927</v>
      </c>
      <c r="C4" s="20" t="str">
        <f>TEXT(Daily_Data[[#This Row],[Month_key]],"mmmm")</f>
        <v>January</v>
      </c>
      <c r="D4" s="20" t="str">
        <f>TEXT(Daily_Data[[#This Row],[Month_key]],"yyyy")</f>
        <v>2023</v>
      </c>
      <c r="E4" s="7">
        <v>12</v>
      </c>
      <c r="F4" s="7">
        <v>14</v>
      </c>
      <c r="G4" s="8">
        <f>Daily_Data[[#This Row],[Rooms_Occupied]]/F4</f>
        <v>0.8571428571428571</v>
      </c>
      <c r="H4" s="7">
        <v>1561</v>
      </c>
      <c r="I4" s="7">
        <f>Daily_Data[[#This Row],[Room_rate]]*Daily_Data[[#This Row],[Rooms_Occupied]]</f>
        <v>18732</v>
      </c>
      <c r="J4" s="10">
        <f>Daily_Data[[#This Row],[Total_Sales]] * 0.22</f>
        <v>4121.04</v>
      </c>
      <c r="K4" s="10">
        <f>INDEX(Expense_master[Monthly_Rent],MATCH(Daily_Data[[#This Row],[Month_key]],Expense_master[Month_Key],0)) / INDEX(Expense_master[Days_in_Month],MATCH(Daily_Data[[#This Row],[Month_key]],Expense_master[Month_Key],0))</f>
        <v>6129.0322580645161</v>
      </c>
      <c r="L4" s="10">
        <f>SUMIFS(Expense_master[Staff_Salary],Expense_master[Month_Key],Daily_Data[[#This Row],[Month_key]]) / SUMIFS(Expense_master[Days_in_Month],Expense_master[Month_Key],Daily_Data[[#This Row],[Month_key]])</f>
        <v>2258.0645161290322</v>
      </c>
      <c r="M4" s="10">
        <f>Daily_Data[[#This Row],[Rooms_Occupied]] * (SUMIFS(Expense_master[Housekeeping_Laundy],Expense_master[Month_Key],Daily_Data[[#This Row],[Month_key]]) / SUMIFS(Occupancy_table[Monthly_rooms_Occupied],Occupancy_table[Month_Key],Daily_Data[[#This Row],[Month_key]]))</f>
        <v>335.19553072625695</v>
      </c>
      <c r="N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4" s="10">
        <f>SUMIFS(Expense_master[Monthly_Maintenance],Expense_master[Month_Key],Daily_Data[[#This Row],[Month_key]]) / SUMIFS(Expense_master[Days_in_Month],Expense_master[Month_Key], Daily_Data[[#This Row],[Month_key]])</f>
        <v>645.16129032258061</v>
      </c>
      <c r="P4" s="10">
        <f xml:space="preserve"> Daily_Data[[#This Row],[OTA Commision]] + Daily_Data[[#This Row],[Daily_Rent]]+Daily_Data[[#This Row],[Daily_Staff]]+Daily_Data[[#This Row],[Daily_HK]]+Daily_Data[[#This Row],[Daily_Electricity]] + Daily_Data[[#This Row],[Daily Maintenance]]</f>
        <v>15228.77804289061</v>
      </c>
      <c r="Q4" s="10">
        <f>Daily_Data[[#This Row],[Total_Sales]]-Daily_Data[[#This Row],[Total_Daily_Expense]]</f>
        <v>3503.2219571093901</v>
      </c>
      <c r="R4" s="10">
        <f>Daily_Data[[#This Row],[Total_Sales]]/Daily_Data[[#This Row],[Rooms_Occupied]]</f>
        <v>1561</v>
      </c>
      <c r="S4" s="10">
        <f>Daily_Data[[#This Row],[Total_Sales]] / Daily_Data[[#This Row],[Max_rooms]]</f>
        <v>1338</v>
      </c>
    </row>
    <row r="5" spans="1:24" x14ac:dyDescent="0.25">
      <c r="A5" s="6">
        <v>44930</v>
      </c>
      <c r="B5" s="20">
        <f>DATE(YEAR(Daily_Data[[#This Row],[Date]]), MONTH(Daily_Data[[#This Row],[Date]]), 1)</f>
        <v>44927</v>
      </c>
      <c r="C5" s="20" t="str">
        <f>TEXT(Daily_Data[[#This Row],[Month_key]],"mmmm")</f>
        <v>January</v>
      </c>
      <c r="D5" s="20" t="str">
        <f>TEXT(Daily_Data[[#This Row],[Month_key]],"yyyy")</f>
        <v>2023</v>
      </c>
      <c r="E5" s="7">
        <v>11</v>
      </c>
      <c r="F5" s="7">
        <v>14</v>
      </c>
      <c r="G5" s="8">
        <f>Daily_Data[[#This Row],[Rooms_Occupied]]/F5</f>
        <v>0.7857142857142857</v>
      </c>
      <c r="H5" s="7">
        <v>1970</v>
      </c>
      <c r="I5" s="7">
        <f>Daily_Data[[#This Row],[Room_rate]]*Daily_Data[[#This Row],[Rooms_Occupied]]</f>
        <v>21670</v>
      </c>
      <c r="J5" s="10">
        <f>Daily_Data[[#This Row],[Total_Sales]] * 0.22</f>
        <v>4767.3999999999996</v>
      </c>
      <c r="K5" s="10">
        <f>INDEX(Expense_master[Monthly_Rent],MATCH(Daily_Data[[#This Row],[Month_key]],Expense_master[Month_Key],0)) / INDEX(Expense_master[Days_in_Month],MATCH(Daily_Data[[#This Row],[Month_key]],Expense_master[Month_Key],0))</f>
        <v>6129.0322580645161</v>
      </c>
      <c r="L5" s="10">
        <f>SUMIFS(Expense_master[Staff_Salary],Expense_master[Month_Key],Daily_Data[[#This Row],[Month_key]]) / SUMIFS(Expense_master[Days_in_Month],Expense_master[Month_Key],Daily_Data[[#This Row],[Month_key]])</f>
        <v>2258.0645161290322</v>
      </c>
      <c r="M5" s="10">
        <f>Daily_Data[[#This Row],[Rooms_Occupied]] * (SUMIFS(Expense_master[Housekeeping_Laundy],Expense_master[Month_Key],Daily_Data[[#This Row],[Month_key]]) / SUMIFS(Occupancy_table[Monthly_rooms_Occupied],Occupancy_table[Month_Key],Daily_Data[[#This Row],[Month_key]]))</f>
        <v>307.26256983240222</v>
      </c>
      <c r="N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1651.9403135700127</v>
      </c>
      <c r="O5" s="10">
        <f>SUMIFS(Expense_master[Monthly_Maintenance],Expense_master[Month_Key],Daily_Data[[#This Row],[Month_key]]) / SUMIFS(Expense_master[Days_in_Month],Expense_master[Month_Key], Daily_Data[[#This Row],[Month_key]])</f>
        <v>645.16129032258061</v>
      </c>
      <c r="P5" s="10">
        <f xml:space="preserve"> Daily_Data[[#This Row],[OTA Commision]] + Daily_Data[[#This Row],[Daily_Rent]]+Daily_Data[[#This Row],[Daily_Staff]]+Daily_Data[[#This Row],[Daily_HK]]+Daily_Data[[#This Row],[Daily_Electricity]] + Daily_Data[[#This Row],[Daily Maintenance]]</f>
        <v>15758.860947918545</v>
      </c>
      <c r="Q5" s="10">
        <f>Daily_Data[[#This Row],[Total_Sales]]-Daily_Data[[#This Row],[Total_Daily_Expense]]</f>
        <v>5911.1390520814548</v>
      </c>
      <c r="R5" s="10">
        <f>Daily_Data[[#This Row],[Total_Sales]]/Daily_Data[[#This Row],[Rooms_Occupied]]</f>
        <v>1970</v>
      </c>
      <c r="S5" s="10">
        <f>Daily_Data[[#This Row],[Total_Sales]] / Daily_Data[[#This Row],[Max_rooms]]</f>
        <v>1547.8571428571429</v>
      </c>
    </row>
    <row r="6" spans="1:24" x14ac:dyDescent="0.25">
      <c r="A6" s="6">
        <v>44931</v>
      </c>
      <c r="B6" s="20">
        <f>DATE(YEAR(Daily_Data[[#This Row],[Date]]), MONTH(Daily_Data[[#This Row],[Date]]), 1)</f>
        <v>44927</v>
      </c>
      <c r="C6" s="20" t="str">
        <f>TEXT(Daily_Data[[#This Row],[Month_key]],"mmmm")</f>
        <v>January</v>
      </c>
      <c r="D6" s="20" t="str">
        <f>TEXT(Daily_Data[[#This Row],[Month_key]],"yyyy")</f>
        <v>2023</v>
      </c>
      <c r="E6" s="7">
        <v>12</v>
      </c>
      <c r="F6" s="7">
        <v>14</v>
      </c>
      <c r="G6" s="8">
        <f>Daily_Data[[#This Row],[Rooms_Occupied]]/F6</f>
        <v>0.8571428571428571</v>
      </c>
      <c r="H6" s="7">
        <v>1556</v>
      </c>
      <c r="I6" s="7">
        <f>Daily_Data[[#This Row],[Room_rate]]*Daily_Data[[#This Row],[Rooms_Occupied]]</f>
        <v>18672</v>
      </c>
      <c r="J6" s="10">
        <f>Daily_Data[[#This Row],[Total_Sales]] * 0.22</f>
        <v>4107.84</v>
      </c>
      <c r="K6" s="10">
        <f>INDEX(Expense_master[Monthly_Rent],MATCH(Daily_Data[[#This Row],[Month_key]],Expense_master[Month_Key],0)) / INDEX(Expense_master[Days_in_Month],MATCH(Daily_Data[[#This Row],[Month_key]],Expense_master[Month_Key],0))</f>
        <v>6129.0322580645161</v>
      </c>
      <c r="L6" s="10">
        <f>SUMIFS(Expense_master[Staff_Salary],Expense_master[Month_Key],Daily_Data[[#This Row],[Month_key]]) / SUMIFS(Expense_master[Days_in_Month],Expense_master[Month_Key],Daily_Data[[#This Row],[Month_key]])</f>
        <v>2258.0645161290322</v>
      </c>
      <c r="M6" s="10">
        <f>Daily_Data[[#This Row],[Rooms_Occupied]] * (SUMIFS(Expense_master[Housekeeping_Laundy],Expense_master[Month_Key],Daily_Data[[#This Row],[Month_key]]) / SUMIFS(Occupancy_table[Monthly_rooms_Occupied],Occupancy_table[Month_Key],Daily_Data[[#This Row],[Month_key]]))</f>
        <v>335.19553072625695</v>
      </c>
      <c r="N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6" s="10">
        <f>SUMIFS(Expense_master[Monthly_Maintenance],Expense_master[Month_Key],Daily_Data[[#This Row],[Month_key]]) / SUMIFS(Expense_master[Days_in_Month],Expense_master[Month_Key], Daily_Data[[#This Row],[Month_key]])</f>
        <v>645.16129032258061</v>
      </c>
      <c r="P6" s="10">
        <f xml:space="preserve"> Daily_Data[[#This Row],[OTA Commision]] + Daily_Data[[#This Row],[Daily_Rent]]+Daily_Data[[#This Row],[Daily_Staff]]+Daily_Data[[#This Row],[Daily_HK]]+Daily_Data[[#This Row],[Daily_Electricity]] + Daily_Data[[#This Row],[Daily Maintenance]]</f>
        <v>15215.578042890609</v>
      </c>
      <c r="Q6" s="10">
        <f>Daily_Data[[#This Row],[Total_Sales]]-Daily_Data[[#This Row],[Total_Daily_Expense]]</f>
        <v>3456.4219571093909</v>
      </c>
      <c r="R6" s="10">
        <f>Daily_Data[[#This Row],[Total_Sales]]/Daily_Data[[#This Row],[Rooms_Occupied]]</f>
        <v>1556</v>
      </c>
      <c r="S6" s="10">
        <f>Daily_Data[[#This Row],[Total_Sales]] / Daily_Data[[#This Row],[Max_rooms]]</f>
        <v>1333.7142857142858</v>
      </c>
    </row>
    <row r="7" spans="1:24" x14ac:dyDescent="0.25">
      <c r="A7" s="6">
        <v>44932</v>
      </c>
      <c r="B7" s="20">
        <f>DATE(YEAR(Daily_Data[[#This Row],[Date]]), MONTH(Daily_Data[[#This Row],[Date]]), 1)</f>
        <v>44927</v>
      </c>
      <c r="C7" s="20" t="str">
        <f>TEXT(Daily_Data[[#This Row],[Month_key]],"mmmm")</f>
        <v>January</v>
      </c>
      <c r="D7" s="20" t="str">
        <f>TEXT(Daily_Data[[#This Row],[Month_key]],"yyyy")</f>
        <v>2023</v>
      </c>
      <c r="E7" s="7">
        <v>13</v>
      </c>
      <c r="F7" s="7">
        <v>14</v>
      </c>
      <c r="G7" s="8">
        <f>Daily_Data[[#This Row],[Rooms_Occupied]]/F7</f>
        <v>0.9285714285714286</v>
      </c>
      <c r="H7" s="7">
        <v>1572</v>
      </c>
      <c r="I7" s="7">
        <f>Daily_Data[[#This Row],[Room_rate]]*Daily_Data[[#This Row],[Rooms_Occupied]]</f>
        <v>20436</v>
      </c>
      <c r="J7" s="10">
        <f>Daily_Data[[#This Row],[Total_Sales]] * 0.22</f>
        <v>4495.92</v>
      </c>
      <c r="K7" s="10">
        <f>INDEX(Expense_master[Monthly_Rent],MATCH(Daily_Data[[#This Row],[Month_key]],Expense_master[Month_Key],0)) / INDEX(Expense_master[Days_in_Month],MATCH(Daily_Data[[#This Row],[Month_key]],Expense_master[Month_Key],0))</f>
        <v>6129.0322580645161</v>
      </c>
      <c r="L7" s="10">
        <f>SUMIFS(Expense_master[Staff_Salary],Expense_master[Month_Key],Daily_Data[[#This Row],[Month_key]]) / SUMIFS(Expense_master[Days_in_Month],Expense_master[Month_Key],Daily_Data[[#This Row],[Month_key]])</f>
        <v>2258.0645161290322</v>
      </c>
      <c r="M7" s="10">
        <f>Daily_Data[[#This Row],[Rooms_Occupied]] * (SUMIFS(Expense_master[Housekeeping_Laundy],Expense_master[Month_Key],Daily_Data[[#This Row],[Month_key]]) / SUMIFS(Occupancy_table[Monthly_rooms_Occupied],Occupancy_table[Month_Key],Daily_Data[[#This Row],[Month_key]]))</f>
        <v>363.12849162011173</v>
      </c>
      <c r="N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1828.6285817264372</v>
      </c>
      <c r="O7" s="10">
        <f>SUMIFS(Expense_master[Monthly_Maintenance],Expense_master[Month_Key],Daily_Data[[#This Row],[Month_key]]) / SUMIFS(Expense_master[Days_in_Month],Expense_master[Month_Key], Daily_Data[[#This Row],[Month_key]])</f>
        <v>645.16129032258061</v>
      </c>
      <c r="P7" s="10">
        <f xml:space="preserve"> Daily_Data[[#This Row],[OTA Commision]] + Daily_Data[[#This Row],[Daily_Rent]]+Daily_Data[[#This Row],[Daily_Staff]]+Daily_Data[[#This Row],[Daily_HK]]+Daily_Data[[#This Row],[Daily_Electricity]] + Daily_Data[[#This Row],[Daily Maintenance]]</f>
        <v>15719.93513786268</v>
      </c>
      <c r="Q7" s="10">
        <f>Daily_Data[[#This Row],[Total_Sales]]-Daily_Data[[#This Row],[Total_Daily_Expense]]</f>
        <v>4716.0648621373202</v>
      </c>
      <c r="R7" s="10">
        <f>Daily_Data[[#This Row],[Total_Sales]]/Daily_Data[[#This Row],[Rooms_Occupied]]</f>
        <v>1572</v>
      </c>
      <c r="S7" s="10">
        <f>Daily_Data[[#This Row],[Total_Sales]] / Daily_Data[[#This Row],[Max_rooms]]</f>
        <v>1459.7142857142858</v>
      </c>
    </row>
    <row r="8" spans="1:24" x14ac:dyDescent="0.25">
      <c r="A8" s="6">
        <v>44933</v>
      </c>
      <c r="B8" s="20">
        <f>DATE(YEAR(Daily_Data[[#This Row],[Date]]), MONTH(Daily_Data[[#This Row],[Date]]), 1)</f>
        <v>44927</v>
      </c>
      <c r="C8" s="20" t="str">
        <f>TEXT(Daily_Data[[#This Row],[Month_key]],"mmmm")</f>
        <v>January</v>
      </c>
      <c r="D8" s="20" t="str">
        <f>TEXT(Daily_Data[[#This Row],[Month_key]],"yyyy")</f>
        <v>2023</v>
      </c>
      <c r="E8" s="7">
        <v>14</v>
      </c>
      <c r="F8" s="7">
        <v>14</v>
      </c>
      <c r="G8" s="8">
        <f>Daily_Data[[#This Row],[Rooms_Occupied]]/F8</f>
        <v>1</v>
      </c>
      <c r="H8" s="7">
        <v>1922</v>
      </c>
      <c r="I8" s="7">
        <f>Daily_Data[[#This Row],[Room_rate]]*Daily_Data[[#This Row],[Rooms_Occupied]]</f>
        <v>26908</v>
      </c>
      <c r="J8" s="10">
        <f>Daily_Data[[#This Row],[Total_Sales]] * 0.22</f>
        <v>5919.76</v>
      </c>
      <c r="K8" s="10">
        <f>INDEX(Expense_master[Monthly_Rent],MATCH(Daily_Data[[#This Row],[Month_key]],Expense_master[Month_Key],0)) / INDEX(Expense_master[Days_in_Month],MATCH(Daily_Data[[#This Row],[Month_key]],Expense_master[Month_Key],0))</f>
        <v>6129.0322580645161</v>
      </c>
      <c r="L8" s="10">
        <f>SUMIFS(Expense_master[Staff_Salary],Expense_master[Month_Key],Daily_Data[[#This Row],[Month_key]]) / SUMIFS(Expense_master[Days_in_Month],Expense_master[Month_Key],Daily_Data[[#This Row],[Month_key]])</f>
        <v>2258.0645161290322</v>
      </c>
      <c r="M8" s="10">
        <f>Daily_Data[[#This Row],[Rooms_Occupied]] * (SUMIFS(Expense_master[Housekeeping_Laundy],Expense_master[Month_Key],Daily_Data[[#This Row],[Month_key]]) / SUMIFS(Occupancy_table[Monthly_rooms_Occupied],Occupancy_table[Month_Key],Daily_Data[[#This Row],[Month_key]]))</f>
        <v>391.06145251396646</v>
      </c>
      <c r="N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1916.9727158046494</v>
      </c>
      <c r="O8" s="10">
        <f>SUMIFS(Expense_master[Monthly_Maintenance],Expense_master[Month_Key],Daily_Data[[#This Row],[Month_key]]) / SUMIFS(Expense_master[Days_in_Month],Expense_master[Month_Key], Daily_Data[[#This Row],[Month_key]])</f>
        <v>645.16129032258061</v>
      </c>
      <c r="P8" s="10">
        <f xml:space="preserve"> Daily_Data[[#This Row],[OTA Commision]] + Daily_Data[[#This Row],[Daily_Rent]]+Daily_Data[[#This Row],[Daily_Staff]]+Daily_Data[[#This Row],[Daily_HK]]+Daily_Data[[#This Row],[Daily_Electricity]] + Daily_Data[[#This Row],[Daily Maintenance]]</f>
        <v>17260.052232834743</v>
      </c>
      <c r="Q8" s="10">
        <f>Daily_Data[[#This Row],[Total_Sales]]-Daily_Data[[#This Row],[Total_Daily_Expense]]</f>
        <v>9647.9477671652567</v>
      </c>
      <c r="R8" s="10">
        <f>Daily_Data[[#This Row],[Total_Sales]]/Daily_Data[[#This Row],[Rooms_Occupied]]</f>
        <v>1922</v>
      </c>
      <c r="S8" s="10">
        <f>Daily_Data[[#This Row],[Total_Sales]] / Daily_Data[[#This Row],[Max_rooms]]</f>
        <v>1922</v>
      </c>
    </row>
    <row r="9" spans="1:24" x14ac:dyDescent="0.25">
      <c r="A9" s="6">
        <v>44934</v>
      </c>
      <c r="B9" s="20">
        <f>DATE(YEAR(Daily_Data[[#This Row],[Date]]), MONTH(Daily_Data[[#This Row],[Date]]), 1)</f>
        <v>44927</v>
      </c>
      <c r="C9" s="20" t="str">
        <f>TEXT(Daily_Data[[#This Row],[Month_key]],"mmmm")</f>
        <v>January</v>
      </c>
      <c r="D9" s="20" t="str">
        <f>TEXT(Daily_Data[[#This Row],[Month_key]],"yyyy")</f>
        <v>2023</v>
      </c>
      <c r="E9" s="7">
        <v>13</v>
      </c>
      <c r="F9" s="7">
        <v>14</v>
      </c>
      <c r="G9" s="8">
        <f>Daily_Data[[#This Row],[Rooms_Occupied]]/F9</f>
        <v>0.9285714285714286</v>
      </c>
      <c r="H9" s="7">
        <v>1588</v>
      </c>
      <c r="I9" s="7">
        <f>Daily_Data[[#This Row],[Room_rate]]*Daily_Data[[#This Row],[Rooms_Occupied]]</f>
        <v>20644</v>
      </c>
      <c r="J9" s="10">
        <f>Daily_Data[[#This Row],[Total_Sales]] * 0.22</f>
        <v>4541.68</v>
      </c>
      <c r="K9" s="10">
        <f>INDEX(Expense_master[Monthly_Rent],MATCH(Daily_Data[[#This Row],[Month_key]],Expense_master[Month_Key],0)) / INDEX(Expense_master[Days_in_Month],MATCH(Daily_Data[[#This Row],[Month_key]],Expense_master[Month_Key],0))</f>
        <v>6129.0322580645161</v>
      </c>
      <c r="L9" s="10">
        <f>SUMIFS(Expense_master[Staff_Salary],Expense_master[Month_Key],Daily_Data[[#This Row],[Month_key]]) / SUMIFS(Expense_master[Days_in_Month],Expense_master[Month_Key],Daily_Data[[#This Row],[Month_key]])</f>
        <v>2258.0645161290322</v>
      </c>
      <c r="M9" s="10">
        <f>Daily_Data[[#This Row],[Rooms_Occupied]] * (SUMIFS(Expense_master[Housekeeping_Laundy],Expense_master[Month_Key],Daily_Data[[#This Row],[Month_key]]) / SUMIFS(Occupancy_table[Monthly_rooms_Occupied],Occupancy_table[Month_Key],Daily_Data[[#This Row],[Month_key]]))</f>
        <v>363.12849162011173</v>
      </c>
      <c r="N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1828.6285817264372</v>
      </c>
      <c r="O9" s="10">
        <f>SUMIFS(Expense_master[Monthly_Maintenance],Expense_master[Month_Key],Daily_Data[[#This Row],[Month_key]]) / SUMIFS(Expense_master[Days_in_Month],Expense_master[Month_Key], Daily_Data[[#This Row],[Month_key]])</f>
        <v>645.16129032258061</v>
      </c>
      <c r="P9" s="10">
        <f xml:space="preserve"> Daily_Data[[#This Row],[OTA Commision]] + Daily_Data[[#This Row],[Daily_Rent]]+Daily_Data[[#This Row],[Daily_Staff]]+Daily_Data[[#This Row],[Daily_HK]]+Daily_Data[[#This Row],[Daily_Electricity]] + Daily_Data[[#This Row],[Daily Maintenance]]</f>
        <v>15765.695137862678</v>
      </c>
      <c r="Q9" s="10">
        <f>Daily_Data[[#This Row],[Total_Sales]]-Daily_Data[[#This Row],[Total_Daily_Expense]]</f>
        <v>4878.3048621373218</v>
      </c>
      <c r="R9" s="10">
        <f>Daily_Data[[#This Row],[Total_Sales]]/Daily_Data[[#This Row],[Rooms_Occupied]]</f>
        <v>1588</v>
      </c>
      <c r="S9" s="10">
        <f>Daily_Data[[#This Row],[Total_Sales]] / Daily_Data[[#This Row],[Max_rooms]]</f>
        <v>1474.5714285714287</v>
      </c>
      <c r="W9" s="7" t="s">
        <v>57</v>
      </c>
      <c r="X9" s="32">
        <f>SUM(Daily_Data[Total_Sales])</f>
        <v>12036097</v>
      </c>
    </row>
    <row r="10" spans="1:24" x14ac:dyDescent="0.25">
      <c r="A10" s="6">
        <v>44935</v>
      </c>
      <c r="B10" s="20">
        <f>DATE(YEAR(Daily_Data[[#This Row],[Date]]), MONTH(Daily_Data[[#This Row],[Date]]), 1)</f>
        <v>44927</v>
      </c>
      <c r="C10" s="20" t="str">
        <f>TEXT(Daily_Data[[#This Row],[Month_key]],"mmmm")</f>
        <v>January</v>
      </c>
      <c r="D10" s="20" t="str">
        <f>TEXT(Daily_Data[[#This Row],[Month_key]],"yyyy")</f>
        <v>2023</v>
      </c>
      <c r="E10" s="7">
        <v>12</v>
      </c>
      <c r="F10" s="7">
        <v>14</v>
      </c>
      <c r="G10" s="8">
        <f>Daily_Data[[#This Row],[Rooms_Occupied]]/F10</f>
        <v>0.8571428571428571</v>
      </c>
      <c r="H10" s="7">
        <v>1540</v>
      </c>
      <c r="I10" s="7">
        <f>Daily_Data[[#This Row],[Room_rate]]*Daily_Data[[#This Row],[Rooms_Occupied]]</f>
        <v>18480</v>
      </c>
      <c r="J10" s="10">
        <f>Daily_Data[[#This Row],[Total_Sales]] * 0.22</f>
        <v>4065.6</v>
      </c>
      <c r="K10" s="10">
        <f>INDEX(Expense_master[Monthly_Rent],MATCH(Daily_Data[[#This Row],[Month_key]],Expense_master[Month_Key],0)) / INDEX(Expense_master[Days_in_Month],MATCH(Daily_Data[[#This Row],[Month_key]],Expense_master[Month_Key],0))</f>
        <v>6129.0322580645161</v>
      </c>
      <c r="L10" s="10">
        <f>SUMIFS(Expense_master[Staff_Salary],Expense_master[Month_Key],Daily_Data[[#This Row],[Month_key]]) / SUMIFS(Expense_master[Days_in_Month],Expense_master[Month_Key],Daily_Data[[#This Row],[Month_key]])</f>
        <v>2258.0645161290322</v>
      </c>
      <c r="M10" s="10">
        <f>Daily_Data[[#This Row],[Rooms_Occupied]] * (SUMIFS(Expense_master[Housekeeping_Laundy],Expense_master[Month_Key],Daily_Data[[#This Row],[Month_key]]) / SUMIFS(Occupancy_table[Monthly_rooms_Occupied],Occupancy_table[Month_Key],Daily_Data[[#This Row],[Month_key]]))</f>
        <v>335.19553072625695</v>
      </c>
      <c r="N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10" s="10">
        <f>SUMIFS(Expense_master[Monthly_Maintenance],Expense_master[Month_Key],Daily_Data[[#This Row],[Month_key]]) / SUMIFS(Expense_master[Days_in_Month],Expense_master[Month_Key], Daily_Data[[#This Row],[Month_key]])</f>
        <v>645.16129032258061</v>
      </c>
      <c r="P10" s="10">
        <f xml:space="preserve"> Daily_Data[[#This Row],[OTA Commision]] + Daily_Data[[#This Row],[Daily_Rent]]+Daily_Data[[#This Row],[Daily_Staff]]+Daily_Data[[#This Row],[Daily_HK]]+Daily_Data[[#This Row],[Daily_Electricity]] + Daily_Data[[#This Row],[Daily Maintenance]]</f>
        <v>15173.338042890611</v>
      </c>
      <c r="Q10" s="10">
        <f>Daily_Data[[#This Row],[Total_Sales]]-Daily_Data[[#This Row],[Total_Daily_Expense]]</f>
        <v>3306.6619571093888</v>
      </c>
      <c r="R10" s="10">
        <f>Daily_Data[[#This Row],[Total_Sales]]/Daily_Data[[#This Row],[Rooms_Occupied]]</f>
        <v>1540</v>
      </c>
      <c r="S10" s="10">
        <f>Daily_Data[[#This Row],[Total_Sales]] / Daily_Data[[#This Row],[Max_rooms]]</f>
        <v>1320</v>
      </c>
      <c r="W10" s="7" t="s">
        <v>53</v>
      </c>
      <c r="X10" s="33">
        <f>AVERAGE(Daily_Data[ADR])</f>
        <v>1506.703146374829</v>
      </c>
    </row>
    <row r="11" spans="1:24" x14ac:dyDescent="0.25">
      <c r="A11" s="6">
        <v>44936</v>
      </c>
      <c r="B11" s="20">
        <f>DATE(YEAR(Daily_Data[[#This Row],[Date]]), MONTH(Daily_Data[[#This Row],[Date]]), 1)</f>
        <v>44927</v>
      </c>
      <c r="C11" s="20" t="str">
        <f>TEXT(Daily_Data[[#This Row],[Month_key]],"mmmm")</f>
        <v>January</v>
      </c>
      <c r="D11" s="20" t="str">
        <f>TEXT(Daily_Data[[#This Row],[Month_key]],"yyyy")</f>
        <v>2023</v>
      </c>
      <c r="E11" s="7">
        <v>11</v>
      </c>
      <c r="F11" s="7">
        <v>14</v>
      </c>
      <c r="G11" s="8">
        <f>Daily_Data[[#This Row],[Rooms_Occupied]]/F11</f>
        <v>0.7857142857142857</v>
      </c>
      <c r="H11" s="7">
        <v>1777</v>
      </c>
      <c r="I11" s="7">
        <f>Daily_Data[[#This Row],[Room_rate]]*Daily_Data[[#This Row],[Rooms_Occupied]]</f>
        <v>19547</v>
      </c>
      <c r="J11" s="10">
        <f>Daily_Data[[#This Row],[Total_Sales]] * 0.22</f>
        <v>4300.34</v>
      </c>
      <c r="K11" s="10">
        <f>INDEX(Expense_master[Monthly_Rent],MATCH(Daily_Data[[#This Row],[Month_key]],Expense_master[Month_Key],0)) / INDEX(Expense_master[Days_in_Month],MATCH(Daily_Data[[#This Row],[Month_key]],Expense_master[Month_Key],0))</f>
        <v>6129.0322580645161</v>
      </c>
      <c r="L11" s="10">
        <f>SUMIFS(Expense_master[Staff_Salary],Expense_master[Month_Key],Daily_Data[[#This Row],[Month_key]]) / SUMIFS(Expense_master[Days_in_Month],Expense_master[Month_Key],Daily_Data[[#This Row],[Month_key]])</f>
        <v>2258.0645161290322</v>
      </c>
      <c r="M11" s="10">
        <f>Daily_Data[[#This Row],[Rooms_Occupied]] * (SUMIFS(Expense_master[Housekeeping_Laundy],Expense_master[Month_Key],Daily_Data[[#This Row],[Month_key]]) / SUMIFS(Occupancy_table[Monthly_rooms_Occupied],Occupancy_table[Month_Key],Daily_Data[[#This Row],[Month_key]]))</f>
        <v>307.26256983240222</v>
      </c>
      <c r="N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1651.9403135700127</v>
      </c>
      <c r="O11" s="10">
        <f>SUMIFS(Expense_master[Monthly_Maintenance],Expense_master[Month_Key],Daily_Data[[#This Row],[Month_key]]) / SUMIFS(Expense_master[Days_in_Month],Expense_master[Month_Key], Daily_Data[[#This Row],[Month_key]])</f>
        <v>645.16129032258061</v>
      </c>
      <c r="P11" s="10">
        <f xml:space="preserve"> Daily_Data[[#This Row],[OTA Commision]] + Daily_Data[[#This Row],[Daily_Rent]]+Daily_Data[[#This Row],[Daily_Staff]]+Daily_Data[[#This Row],[Daily_HK]]+Daily_Data[[#This Row],[Daily_Electricity]] + Daily_Data[[#This Row],[Daily Maintenance]]</f>
        <v>15291.800947918544</v>
      </c>
      <c r="Q11" s="10">
        <f>Daily_Data[[#This Row],[Total_Sales]]-Daily_Data[[#This Row],[Total_Daily_Expense]]</f>
        <v>4255.1990520814561</v>
      </c>
      <c r="R11" s="10">
        <f>Daily_Data[[#This Row],[Total_Sales]]/Daily_Data[[#This Row],[Rooms_Occupied]]</f>
        <v>1777</v>
      </c>
      <c r="S11" s="10">
        <f>Daily_Data[[#This Row],[Total_Sales]] / Daily_Data[[#This Row],[Max_rooms]]</f>
        <v>1396.2142857142858</v>
      </c>
      <c r="W11" s="7" t="s">
        <v>59</v>
      </c>
      <c r="X11" s="33">
        <f>SUM(Daily_Data[Profit])</f>
        <v>420821.65999999939</v>
      </c>
    </row>
    <row r="12" spans="1:24" x14ac:dyDescent="0.25">
      <c r="A12" s="6">
        <v>44937</v>
      </c>
      <c r="B12" s="20">
        <f>DATE(YEAR(Daily_Data[[#This Row],[Date]]), MONTH(Daily_Data[[#This Row],[Date]]), 1)</f>
        <v>44927</v>
      </c>
      <c r="C12" s="20" t="str">
        <f>TEXT(Daily_Data[[#This Row],[Month_key]],"mmmm")</f>
        <v>January</v>
      </c>
      <c r="D12" s="20" t="str">
        <f>TEXT(Daily_Data[[#This Row],[Month_key]],"yyyy")</f>
        <v>2023</v>
      </c>
      <c r="E12" s="7">
        <v>10</v>
      </c>
      <c r="F12" s="7">
        <v>14</v>
      </c>
      <c r="G12" s="8">
        <f>Daily_Data[[#This Row],[Rooms_Occupied]]/F12</f>
        <v>0.7142857142857143</v>
      </c>
      <c r="H12" s="7">
        <v>1141</v>
      </c>
      <c r="I12" s="7">
        <f>Daily_Data[[#This Row],[Room_rate]]*Daily_Data[[#This Row],[Rooms_Occupied]]</f>
        <v>11410</v>
      </c>
      <c r="J12" s="10">
        <f>Daily_Data[[#This Row],[Total_Sales]] * 0.22</f>
        <v>2510.1999999999998</v>
      </c>
      <c r="K12" s="10">
        <f>INDEX(Expense_master[Monthly_Rent],MATCH(Daily_Data[[#This Row],[Month_key]],Expense_master[Month_Key],0)) / INDEX(Expense_master[Days_in_Month],MATCH(Daily_Data[[#This Row],[Month_key]],Expense_master[Month_Key],0))</f>
        <v>6129.0322580645161</v>
      </c>
      <c r="L12" s="10">
        <f>SUMIFS(Expense_master[Staff_Salary],Expense_master[Month_Key],Daily_Data[[#This Row],[Month_key]]) / SUMIFS(Expense_master[Days_in_Month],Expense_master[Month_Key],Daily_Data[[#This Row],[Month_key]])</f>
        <v>2258.0645161290322</v>
      </c>
      <c r="M12" s="10">
        <f>Daily_Data[[#This Row],[Rooms_Occupied]] * (SUMIFS(Expense_master[Housekeeping_Laundy],Expense_master[Month_Key],Daily_Data[[#This Row],[Month_key]]) / SUMIFS(Occupancy_table[Monthly_rooms_Occupied],Occupancy_table[Month_Key],Daily_Data[[#This Row],[Month_key]]))</f>
        <v>279.32960893854749</v>
      </c>
      <c r="N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1563.5961794918003</v>
      </c>
      <c r="O12" s="10">
        <f>SUMIFS(Expense_master[Monthly_Maintenance],Expense_master[Month_Key],Daily_Data[[#This Row],[Month_key]]) / SUMIFS(Expense_master[Days_in_Month],Expense_master[Month_Key], Daily_Data[[#This Row],[Month_key]])</f>
        <v>645.16129032258061</v>
      </c>
      <c r="P12" s="10">
        <f xml:space="preserve"> Daily_Data[[#This Row],[OTA Commision]] + Daily_Data[[#This Row],[Daily_Rent]]+Daily_Data[[#This Row],[Daily_Staff]]+Daily_Data[[#This Row],[Daily_HK]]+Daily_Data[[#This Row],[Daily_Electricity]] + Daily_Data[[#This Row],[Daily Maintenance]]</f>
        <v>13385.383852946477</v>
      </c>
      <c r="Q12" s="10">
        <f>Daily_Data[[#This Row],[Total_Sales]]-Daily_Data[[#This Row],[Total_Daily_Expense]]</f>
        <v>-1975.3838529464774</v>
      </c>
      <c r="R12" s="10">
        <f>Daily_Data[[#This Row],[Total_Sales]]/Daily_Data[[#This Row],[Rooms_Occupied]]</f>
        <v>1141</v>
      </c>
      <c r="S12" s="10">
        <f>Daily_Data[[#This Row],[Total_Sales]] / Daily_Data[[#This Row],[Max_rooms]]</f>
        <v>815</v>
      </c>
      <c r="W12" s="7" t="s">
        <v>54</v>
      </c>
      <c r="X12">
        <f>SUM(Daily_Data[Rooms_Occupied])</f>
        <v>7974</v>
      </c>
    </row>
    <row r="13" spans="1:24" x14ac:dyDescent="0.25">
      <c r="A13" s="6">
        <v>44938</v>
      </c>
      <c r="B13" s="20">
        <f>DATE(YEAR(Daily_Data[[#This Row],[Date]]), MONTH(Daily_Data[[#This Row],[Date]]), 1)</f>
        <v>44927</v>
      </c>
      <c r="C13" s="20" t="str">
        <f>TEXT(Daily_Data[[#This Row],[Month_key]],"mmmm")</f>
        <v>January</v>
      </c>
      <c r="D13" s="20" t="str">
        <f>TEXT(Daily_Data[[#This Row],[Month_key]],"yyyy")</f>
        <v>2023</v>
      </c>
      <c r="E13" s="7">
        <v>9</v>
      </c>
      <c r="F13" s="7">
        <v>14</v>
      </c>
      <c r="G13" s="8">
        <f>Daily_Data[[#This Row],[Rooms_Occupied]]/F13</f>
        <v>0.6428571428571429</v>
      </c>
      <c r="H13" s="7">
        <v>1316</v>
      </c>
      <c r="I13" s="7">
        <f>Daily_Data[[#This Row],[Room_rate]]*Daily_Data[[#This Row],[Rooms_Occupied]]</f>
        <v>11844</v>
      </c>
      <c r="J13" s="10">
        <f>Daily_Data[[#This Row],[Total_Sales]] * 0.22</f>
        <v>2605.6799999999998</v>
      </c>
      <c r="K13" s="10">
        <f>INDEX(Expense_master[Monthly_Rent],MATCH(Daily_Data[[#This Row],[Month_key]],Expense_master[Month_Key],0)) / INDEX(Expense_master[Days_in_Month],MATCH(Daily_Data[[#This Row],[Month_key]],Expense_master[Month_Key],0))</f>
        <v>6129.0322580645161</v>
      </c>
      <c r="L13" s="10">
        <f>SUMIFS(Expense_master[Staff_Salary],Expense_master[Month_Key],Daily_Data[[#This Row],[Month_key]]) / SUMIFS(Expense_master[Days_in_Month],Expense_master[Month_Key],Daily_Data[[#This Row],[Month_key]])</f>
        <v>2258.0645161290322</v>
      </c>
      <c r="M13" s="10">
        <f>Daily_Data[[#This Row],[Rooms_Occupied]] * (SUMIFS(Expense_master[Housekeeping_Laundy],Expense_master[Month_Key],Daily_Data[[#This Row],[Month_key]]) / SUMIFS(Occupancy_table[Monthly_rooms_Occupied],Occupancy_table[Month_Key],Daily_Data[[#This Row],[Month_key]]))</f>
        <v>251.39664804469274</v>
      </c>
      <c r="N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1475.2520454135879</v>
      </c>
      <c r="O13" s="10">
        <f>SUMIFS(Expense_master[Monthly_Maintenance],Expense_master[Month_Key],Daily_Data[[#This Row],[Month_key]]) / SUMIFS(Expense_master[Days_in_Month],Expense_master[Month_Key], Daily_Data[[#This Row],[Month_key]])</f>
        <v>645.16129032258061</v>
      </c>
      <c r="P13" s="10">
        <f xml:space="preserve"> Daily_Data[[#This Row],[OTA Commision]] + Daily_Data[[#This Row],[Daily_Rent]]+Daily_Data[[#This Row],[Daily_Staff]]+Daily_Data[[#This Row],[Daily_HK]]+Daily_Data[[#This Row],[Daily_Electricity]] + Daily_Data[[#This Row],[Daily Maintenance]]</f>
        <v>13364.58675797441</v>
      </c>
      <c r="Q13" s="10">
        <f>Daily_Data[[#This Row],[Total_Sales]]-Daily_Data[[#This Row],[Total_Daily_Expense]]</f>
        <v>-1520.5867579744099</v>
      </c>
      <c r="R13" s="10">
        <f>Daily_Data[[#This Row],[Total_Sales]]/Daily_Data[[#This Row],[Rooms_Occupied]]</f>
        <v>1316</v>
      </c>
      <c r="S13" s="10">
        <f>Daily_Data[[#This Row],[Total_Sales]] / Daily_Data[[#This Row],[Max_rooms]]</f>
        <v>846</v>
      </c>
      <c r="W13" s="7" t="s">
        <v>55</v>
      </c>
      <c r="X13" s="5">
        <f>AVERAGE(Daily_Data[Occupancy_rate])</f>
        <v>0.77916748094586652</v>
      </c>
    </row>
    <row r="14" spans="1:24" x14ac:dyDescent="0.25">
      <c r="A14" s="6">
        <v>44939</v>
      </c>
      <c r="B14" s="20">
        <f>DATE(YEAR(Daily_Data[[#This Row],[Date]]), MONTH(Daily_Data[[#This Row],[Date]]), 1)</f>
        <v>44927</v>
      </c>
      <c r="C14" s="20" t="str">
        <f>TEXT(Daily_Data[[#This Row],[Month_key]],"mmmm")</f>
        <v>January</v>
      </c>
      <c r="D14" s="20" t="str">
        <f>TEXT(Daily_Data[[#This Row],[Month_key]],"yyyy")</f>
        <v>2023</v>
      </c>
      <c r="E14" s="7">
        <v>14</v>
      </c>
      <c r="F14" s="7">
        <v>14</v>
      </c>
      <c r="G14" s="8">
        <f>Daily_Data[[#This Row],[Rooms_Occupied]]/F14</f>
        <v>1</v>
      </c>
      <c r="H14" s="7">
        <v>1538</v>
      </c>
      <c r="I14" s="7">
        <f>Daily_Data[[#This Row],[Room_rate]]*Daily_Data[[#This Row],[Rooms_Occupied]]</f>
        <v>21532</v>
      </c>
      <c r="J14" s="10">
        <f>Daily_Data[[#This Row],[Total_Sales]] * 0.22</f>
        <v>4737.04</v>
      </c>
      <c r="K14" s="10">
        <f>INDEX(Expense_master[Monthly_Rent],MATCH(Daily_Data[[#This Row],[Month_key]],Expense_master[Month_Key],0)) / INDEX(Expense_master[Days_in_Month],MATCH(Daily_Data[[#This Row],[Month_key]],Expense_master[Month_Key],0))</f>
        <v>6129.0322580645161</v>
      </c>
      <c r="L14" s="10">
        <f>SUMIFS(Expense_master[Staff_Salary],Expense_master[Month_Key],Daily_Data[[#This Row],[Month_key]]) / SUMIFS(Expense_master[Days_in_Month],Expense_master[Month_Key],Daily_Data[[#This Row],[Month_key]])</f>
        <v>2258.0645161290322</v>
      </c>
      <c r="M14" s="10">
        <f>Daily_Data[[#This Row],[Rooms_Occupied]] * (SUMIFS(Expense_master[Housekeeping_Laundy],Expense_master[Month_Key],Daily_Data[[#This Row],[Month_key]]) / SUMIFS(Occupancy_table[Monthly_rooms_Occupied],Occupancy_table[Month_Key],Daily_Data[[#This Row],[Month_key]]))</f>
        <v>391.06145251396646</v>
      </c>
      <c r="N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1916.9727158046494</v>
      </c>
      <c r="O14" s="10">
        <f>SUMIFS(Expense_master[Monthly_Maintenance],Expense_master[Month_Key],Daily_Data[[#This Row],[Month_key]]) / SUMIFS(Expense_master[Days_in_Month],Expense_master[Month_Key], Daily_Data[[#This Row],[Month_key]])</f>
        <v>645.16129032258061</v>
      </c>
      <c r="P14" s="10">
        <f xml:space="preserve"> Daily_Data[[#This Row],[OTA Commision]] + Daily_Data[[#This Row],[Daily_Rent]]+Daily_Data[[#This Row],[Daily_Staff]]+Daily_Data[[#This Row],[Daily_HK]]+Daily_Data[[#This Row],[Daily_Electricity]] + Daily_Data[[#This Row],[Daily Maintenance]]</f>
        <v>16077.332232834746</v>
      </c>
      <c r="Q14" s="10">
        <f>Daily_Data[[#This Row],[Total_Sales]]-Daily_Data[[#This Row],[Total_Daily_Expense]]</f>
        <v>5454.6677671652542</v>
      </c>
      <c r="R14" s="10">
        <f>Daily_Data[[#This Row],[Total_Sales]]/Daily_Data[[#This Row],[Rooms_Occupied]]</f>
        <v>1538</v>
      </c>
      <c r="S14" s="10">
        <f>Daily_Data[[#This Row],[Total_Sales]] / Daily_Data[[#This Row],[Max_rooms]]</f>
        <v>1538</v>
      </c>
      <c r="W14" s="7" t="s">
        <v>56</v>
      </c>
      <c r="X14" s="34">
        <f>AVERAGE(Daily_Data[RevPar])</f>
        <v>1176.0892124291565</v>
      </c>
    </row>
    <row r="15" spans="1:24" x14ac:dyDescent="0.25">
      <c r="A15" s="6">
        <v>44940</v>
      </c>
      <c r="B15" s="20">
        <f>DATE(YEAR(Daily_Data[[#This Row],[Date]]), MONTH(Daily_Data[[#This Row],[Date]]), 1)</f>
        <v>44927</v>
      </c>
      <c r="C15" s="20" t="str">
        <f>TEXT(Daily_Data[[#This Row],[Month_key]],"mmmm")</f>
        <v>January</v>
      </c>
      <c r="D15" s="20" t="str">
        <f>TEXT(Daily_Data[[#This Row],[Month_key]],"yyyy")</f>
        <v>2023</v>
      </c>
      <c r="E15" s="7">
        <v>11</v>
      </c>
      <c r="F15" s="7">
        <v>14</v>
      </c>
      <c r="G15" s="8">
        <f>Daily_Data[[#This Row],[Rooms_Occupied]]/F15</f>
        <v>0.7857142857142857</v>
      </c>
      <c r="H15" s="7">
        <v>1191</v>
      </c>
      <c r="I15" s="7">
        <f>Daily_Data[[#This Row],[Room_rate]]*Daily_Data[[#This Row],[Rooms_Occupied]]</f>
        <v>13101</v>
      </c>
      <c r="J15" s="10">
        <f>Daily_Data[[#This Row],[Total_Sales]] * 0.22</f>
        <v>2882.22</v>
      </c>
      <c r="K15" s="10">
        <f>INDEX(Expense_master[Monthly_Rent],MATCH(Daily_Data[[#This Row],[Month_key]],Expense_master[Month_Key],0)) / INDEX(Expense_master[Days_in_Month],MATCH(Daily_Data[[#This Row],[Month_key]],Expense_master[Month_Key],0))</f>
        <v>6129.0322580645161</v>
      </c>
      <c r="L15" s="10">
        <f>SUMIFS(Expense_master[Staff_Salary],Expense_master[Month_Key],Daily_Data[[#This Row],[Month_key]]) / SUMIFS(Expense_master[Days_in_Month],Expense_master[Month_Key],Daily_Data[[#This Row],[Month_key]])</f>
        <v>2258.0645161290322</v>
      </c>
      <c r="M15" s="10">
        <f>Daily_Data[[#This Row],[Rooms_Occupied]] * (SUMIFS(Expense_master[Housekeeping_Laundy],Expense_master[Month_Key],Daily_Data[[#This Row],[Month_key]]) / SUMIFS(Occupancy_table[Monthly_rooms_Occupied],Occupancy_table[Month_Key],Daily_Data[[#This Row],[Month_key]]))</f>
        <v>307.26256983240222</v>
      </c>
      <c r="N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1651.9403135700127</v>
      </c>
      <c r="O15" s="10">
        <f>SUMIFS(Expense_master[Monthly_Maintenance],Expense_master[Month_Key],Daily_Data[[#This Row],[Month_key]]) / SUMIFS(Expense_master[Days_in_Month],Expense_master[Month_Key], Daily_Data[[#This Row],[Month_key]])</f>
        <v>645.16129032258061</v>
      </c>
      <c r="P15" s="10">
        <f xml:space="preserve"> Daily_Data[[#This Row],[OTA Commision]] + Daily_Data[[#This Row],[Daily_Rent]]+Daily_Data[[#This Row],[Daily_Staff]]+Daily_Data[[#This Row],[Daily_HK]]+Daily_Data[[#This Row],[Daily_Electricity]] + Daily_Data[[#This Row],[Daily Maintenance]]</f>
        <v>13873.680947918545</v>
      </c>
      <c r="Q15" s="10">
        <f>Daily_Data[[#This Row],[Total_Sales]]-Daily_Data[[#This Row],[Total_Daily_Expense]]</f>
        <v>-772.68094791854492</v>
      </c>
      <c r="R15" s="10">
        <f>Daily_Data[[#This Row],[Total_Sales]]/Daily_Data[[#This Row],[Rooms_Occupied]]</f>
        <v>1191</v>
      </c>
      <c r="S15" s="10">
        <f>Daily_Data[[#This Row],[Total_Sales]] / Daily_Data[[#This Row],[Max_rooms]]</f>
        <v>935.78571428571433</v>
      </c>
      <c r="W15" s="7" t="s">
        <v>58</v>
      </c>
      <c r="X15" s="34">
        <f>SUM(Daily_Data[Total_Daily_Expense])</f>
        <v>11615275.34</v>
      </c>
    </row>
    <row r="16" spans="1:24" x14ac:dyDescent="0.25">
      <c r="A16" s="6">
        <v>44941</v>
      </c>
      <c r="B16" s="20">
        <f>DATE(YEAR(Daily_Data[[#This Row],[Date]]), MONTH(Daily_Data[[#This Row],[Date]]), 1)</f>
        <v>44927</v>
      </c>
      <c r="C16" s="20" t="str">
        <f>TEXT(Daily_Data[[#This Row],[Month_key]],"mmmm")</f>
        <v>January</v>
      </c>
      <c r="D16" s="20" t="str">
        <f>TEXT(Daily_Data[[#This Row],[Month_key]],"yyyy")</f>
        <v>2023</v>
      </c>
      <c r="E16" s="7">
        <v>8</v>
      </c>
      <c r="F16" s="7">
        <v>14</v>
      </c>
      <c r="G16" s="8">
        <f>Daily_Data[[#This Row],[Rooms_Occupied]]/F16</f>
        <v>0.5714285714285714</v>
      </c>
      <c r="H16" s="7">
        <v>1864</v>
      </c>
      <c r="I16" s="7">
        <f>Daily_Data[[#This Row],[Room_rate]]*Daily_Data[[#This Row],[Rooms_Occupied]]</f>
        <v>14912</v>
      </c>
      <c r="J16" s="10">
        <f>Daily_Data[[#This Row],[Total_Sales]] * 0.22</f>
        <v>3280.64</v>
      </c>
      <c r="K16" s="10">
        <f>INDEX(Expense_master[Monthly_Rent],MATCH(Daily_Data[[#This Row],[Month_key]],Expense_master[Month_Key],0)) / INDEX(Expense_master[Days_in_Month],MATCH(Daily_Data[[#This Row],[Month_key]],Expense_master[Month_Key],0))</f>
        <v>6129.0322580645161</v>
      </c>
      <c r="L16" s="10">
        <f>SUMIFS(Expense_master[Staff_Salary],Expense_master[Month_Key],Daily_Data[[#This Row],[Month_key]]) / SUMIFS(Expense_master[Days_in_Month],Expense_master[Month_Key],Daily_Data[[#This Row],[Month_key]])</f>
        <v>2258.0645161290322</v>
      </c>
      <c r="M16" s="10">
        <f>Daily_Data[[#This Row],[Rooms_Occupied]] * (SUMIFS(Expense_master[Housekeeping_Laundy],Expense_master[Month_Key],Daily_Data[[#This Row],[Month_key]]) / SUMIFS(Occupancy_table[Monthly_rooms_Occupied],Occupancy_table[Month_Key],Daily_Data[[#This Row],[Month_key]]))</f>
        <v>223.46368715083798</v>
      </c>
      <c r="N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1386.9079113353757</v>
      </c>
      <c r="O16" s="10">
        <f>SUMIFS(Expense_master[Monthly_Maintenance],Expense_master[Month_Key],Daily_Data[[#This Row],[Month_key]]) / SUMIFS(Expense_master[Days_in_Month],Expense_master[Month_Key], Daily_Data[[#This Row],[Month_key]])</f>
        <v>645.16129032258061</v>
      </c>
      <c r="P16" s="10">
        <f xml:space="preserve"> Daily_Data[[#This Row],[OTA Commision]] + Daily_Data[[#This Row],[Daily_Rent]]+Daily_Data[[#This Row],[Daily_Staff]]+Daily_Data[[#This Row],[Daily_HK]]+Daily_Data[[#This Row],[Daily_Electricity]] + Daily_Data[[#This Row],[Daily Maintenance]]</f>
        <v>13923.269663002344</v>
      </c>
      <c r="Q16" s="10">
        <f>Daily_Data[[#This Row],[Total_Sales]]-Daily_Data[[#This Row],[Total_Daily_Expense]]</f>
        <v>988.7303369976562</v>
      </c>
      <c r="R16" s="10">
        <f>Daily_Data[[#This Row],[Total_Sales]]/Daily_Data[[#This Row],[Rooms_Occupied]]</f>
        <v>1864</v>
      </c>
      <c r="S16" s="10">
        <f>Daily_Data[[#This Row],[Total_Sales]] / Daily_Data[[#This Row],[Max_rooms]]</f>
        <v>1065.1428571428571</v>
      </c>
      <c r="W16" s="7" t="s">
        <v>60</v>
      </c>
      <c r="X16" s="5">
        <f>Daily_Data[OTA Commision] / Daily_Data[Total_Sales]</f>
        <v>0.22</v>
      </c>
    </row>
    <row r="17" spans="1:24" x14ac:dyDescent="0.25">
      <c r="A17" s="6">
        <v>44942</v>
      </c>
      <c r="B17" s="20">
        <f>DATE(YEAR(Daily_Data[[#This Row],[Date]]), MONTH(Daily_Data[[#This Row],[Date]]), 1)</f>
        <v>44927</v>
      </c>
      <c r="C17" s="20" t="str">
        <f>TEXT(Daily_Data[[#This Row],[Month_key]],"mmmm")</f>
        <v>January</v>
      </c>
      <c r="D17" s="20" t="str">
        <f>TEXT(Daily_Data[[#This Row],[Month_key]],"yyyy")</f>
        <v>2023</v>
      </c>
      <c r="E17" s="7">
        <v>13</v>
      </c>
      <c r="F17" s="7">
        <v>14</v>
      </c>
      <c r="G17" s="8">
        <f>Daily_Data[[#This Row],[Rooms_Occupied]]/F17</f>
        <v>0.9285714285714286</v>
      </c>
      <c r="H17" s="7">
        <v>1479</v>
      </c>
      <c r="I17" s="7">
        <f>Daily_Data[[#This Row],[Room_rate]]*Daily_Data[[#This Row],[Rooms_Occupied]]</f>
        <v>19227</v>
      </c>
      <c r="J17" s="10">
        <f>Daily_Data[[#This Row],[Total_Sales]] * 0.22</f>
        <v>4229.9399999999996</v>
      </c>
      <c r="K17" s="10">
        <f>INDEX(Expense_master[Monthly_Rent],MATCH(Daily_Data[[#This Row],[Month_key]],Expense_master[Month_Key],0)) / INDEX(Expense_master[Days_in_Month],MATCH(Daily_Data[[#This Row],[Month_key]],Expense_master[Month_Key],0))</f>
        <v>6129.0322580645161</v>
      </c>
      <c r="L17" s="10">
        <f>SUMIFS(Expense_master[Staff_Salary],Expense_master[Month_Key],Daily_Data[[#This Row],[Month_key]]) / SUMIFS(Expense_master[Days_in_Month],Expense_master[Month_Key],Daily_Data[[#This Row],[Month_key]])</f>
        <v>2258.0645161290322</v>
      </c>
      <c r="M17" s="10">
        <f>Daily_Data[[#This Row],[Rooms_Occupied]] * (SUMIFS(Expense_master[Housekeeping_Laundy],Expense_master[Month_Key],Daily_Data[[#This Row],[Month_key]]) / SUMIFS(Occupancy_table[Monthly_rooms_Occupied],Occupancy_table[Month_Key],Daily_Data[[#This Row],[Month_key]]))</f>
        <v>363.12849162011173</v>
      </c>
      <c r="N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1828.6285817264372</v>
      </c>
      <c r="O17" s="10">
        <f>SUMIFS(Expense_master[Monthly_Maintenance],Expense_master[Month_Key],Daily_Data[[#This Row],[Month_key]]) / SUMIFS(Expense_master[Days_in_Month],Expense_master[Month_Key], Daily_Data[[#This Row],[Month_key]])</f>
        <v>645.16129032258061</v>
      </c>
      <c r="P17" s="10">
        <f xml:space="preserve"> Daily_Data[[#This Row],[OTA Commision]] + Daily_Data[[#This Row],[Daily_Rent]]+Daily_Data[[#This Row],[Daily_Staff]]+Daily_Data[[#This Row],[Daily_HK]]+Daily_Data[[#This Row],[Daily_Electricity]] + Daily_Data[[#This Row],[Daily Maintenance]]</f>
        <v>15453.955137862678</v>
      </c>
      <c r="Q17" s="10">
        <f>Daily_Data[[#This Row],[Total_Sales]]-Daily_Data[[#This Row],[Total_Daily_Expense]]</f>
        <v>3773.0448621373216</v>
      </c>
      <c r="R17" s="10">
        <f>Daily_Data[[#This Row],[Total_Sales]]/Daily_Data[[#This Row],[Rooms_Occupied]]</f>
        <v>1479</v>
      </c>
      <c r="S17" s="10">
        <f>Daily_Data[[#This Row],[Total_Sales]] / Daily_Data[[#This Row],[Max_rooms]]</f>
        <v>1373.3571428571429</v>
      </c>
      <c r="W17" s="7" t="s">
        <v>61</v>
      </c>
    </row>
    <row r="18" spans="1:24" x14ac:dyDescent="0.25">
      <c r="A18" s="6">
        <v>44943</v>
      </c>
      <c r="B18" s="20">
        <f>DATE(YEAR(Daily_Data[[#This Row],[Date]]), MONTH(Daily_Data[[#This Row],[Date]]), 1)</f>
        <v>44927</v>
      </c>
      <c r="C18" s="20" t="str">
        <f>TEXT(Daily_Data[[#This Row],[Month_key]],"mmmm")</f>
        <v>January</v>
      </c>
      <c r="D18" s="20" t="str">
        <f>TEXT(Daily_Data[[#This Row],[Month_key]],"yyyy")</f>
        <v>2023</v>
      </c>
      <c r="E18" s="7">
        <v>10</v>
      </c>
      <c r="F18" s="7">
        <v>14</v>
      </c>
      <c r="G18" s="8">
        <f>Daily_Data[[#This Row],[Rooms_Occupied]]/F18</f>
        <v>0.7142857142857143</v>
      </c>
      <c r="H18" s="7">
        <v>1513</v>
      </c>
      <c r="I18" s="7">
        <f>Daily_Data[[#This Row],[Room_rate]]*Daily_Data[[#This Row],[Rooms_Occupied]]</f>
        <v>15130</v>
      </c>
      <c r="J18" s="10">
        <f>Daily_Data[[#This Row],[Total_Sales]] * 0.22</f>
        <v>3328.6</v>
      </c>
      <c r="K18" s="10">
        <f>INDEX(Expense_master[Monthly_Rent],MATCH(Daily_Data[[#This Row],[Month_key]],Expense_master[Month_Key],0)) / INDEX(Expense_master[Days_in_Month],MATCH(Daily_Data[[#This Row],[Month_key]],Expense_master[Month_Key],0))</f>
        <v>6129.0322580645161</v>
      </c>
      <c r="L18" s="10">
        <f>SUMIFS(Expense_master[Staff_Salary],Expense_master[Month_Key],Daily_Data[[#This Row],[Month_key]]) / SUMIFS(Expense_master[Days_in_Month],Expense_master[Month_Key],Daily_Data[[#This Row],[Month_key]])</f>
        <v>2258.0645161290322</v>
      </c>
      <c r="M18" s="10">
        <f>Daily_Data[[#This Row],[Rooms_Occupied]] * (SUMIFS(Expense_master[Housekeeping_Laundy],Expense_master[Month_Key],Daily_Data[[#This Row],[Month_key]]) / SUMIFS(Occupancy_table[Monthly_rooms_Occupied],Occupancy_table[Month_Key],Daily_Data[[#This Row],[Month_key]]))</f>
        <v>279.32960893854749</v>
      </c>
      <c r="N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1563.5961794918003</v>
      </c>
      <c r="O18" s="10">
        <f>SUMIFS(Expense_master[Monthly_Maintenance],Expense_master[Month_Key],Daily_Data[[#This Row],[Month_key]]) / SUMIFS(Expense_master[Days_in_Month],Expense_master[Month_Key], Daily_Data[[#This Row],[Month_key]])</f>
        <v>645.16129032258061</v>
      </c>
      <c r="P18" s="10">
        <f xml:space="preserve"> Daily_Data[[#This Row],[OTA Commision]] + Daily_Data[[#This Row],[Daily_Rent]]+Daily_Data[[#This Row],[Daily_Staff]]+Daily_Data[[#This Row],[Daily_HK]]+Daily_Data[[#This Row],[Daily_Electricity]] + Daily_Data[[#This Row],[Daily Maintenance]]</f>
        <v>14203.783852946477</v>
      </c>
      <c r="Q18" s="10">
        <f>Daily_Data[[#This Row],[Total_Sales]]-Daily_Data[[#This Row],[Total_Daily_Expense]]</f>
        <v>926.21614705352295</v>
      </c>
      <c r="R18" s="10">
        <f>Daily_Data[[#This Row],[Total_Sales]]/Daily_Data[[#This Row],[Rooms_Occupied]]</f>
        <v>1513</v>
      </c>
      <c r="S18" s="10">
        <f>Daily_Data[[#This Row],[Total_Sales]] / Daily_Data[[#This Row],[Max_rooms]]</f>
        <v>1080.7142857142858</v>
      </c>
      <c r="W18" s="7" t="s">
        <v>62</v>
      </c>
    </row>
    <row r="19" spans="1:24" x14ac:dyDescent="0.25">
      <c r="A19" s="6">
        <v>44944</v>
      </c>
      <c r="B19" s="20">
        <f>DATE(YEAR(Daily_Data[[#This Row],[Date]]), MONTH(Daily_Data[[#This Row],[Date]]), 1)</f>
        <v>44927</v>
      </c>
      <c r="C19" s="20" t="str">
        <f>TEXT(Daily_Data[[#This Row],[Month_key]],"mmmm")</f>
        <v>January</v>
      </c>
      <c r="D19" s="20" t="str">
        <f>TEXT(Daily_Data[[#This Row],[Month_key]],"yyyy")</f>
        <v>2023</v>
      </c>
      <c r="E19" s="7">
        <v>10</v>
      </c>
      <c r="F19" s="7">
        <v>14</v>
      </c>
      <c r="G19" s="8">
        <f>Daily_Data[[#This Row],[Rooms_Occupied]]/F19</f>
        <v>0.7142857142857143</v>
      </c>
      <c r="H19" s="7">
        <v>1577</v>
      </c>
      <c r="I19" s="7">
        <f>Daily_Data[[#This Row],[Room_rate]]*Daily_Data[[#This Row],[Rooms_Occupied]]</f>
        <v>15770</v>
      </c>
      <c r="J19" s="10">
        <f>Daily_Data[[#This Row],[Total_Sales]] * 0.22</f>
        <v>3469.4</v>
      </c>
      <c r="K19" s="10">
        <f>INDEX(Expense_master[Monthly_Rent],MATCH(Daily_Data[[#This Row],[Month_key]],Expense_master[Month_Key],0)) / INDEX(Expense_master[Days_in_Month],MATCH(Daily_Data[[#This Row],[Month_key]],Expense_master[Month_Key],0))</f>
        <v>6129.0322580645161</v>
      </c>
      <c r="L19" s="10">
        <f>SUMIFS(Expense_master[Staff_Salary],Expense_master[Month_Key],Daily_Data[[#This Row],[Month_key]]) / SUMIFS(Expense_master[Days_in_Month],Expense_master[Month_Key],Daily_Data[[#This Row],[Month_key]])</f>
        <v>2258.0645161290322</v>
      </c>
      <c r="M19" s="10">
        <f>Daily_Data[[#This Row],[Rooms_Occupied]] * (SUMIFS(Expense_master[Housekeeping_Laundy],Expense_master[Month_Key],Daily_Data[[#This Row],[Month_key]]) / SUMIFS(Occupancy_table[Monthly_rooms_Occupied],Occupancy_table[Month_Key],Daily_Data[[#This Row],[Month_key]]))</f>
        <v>279.32960893854749</v>
      </c>
      <c r="N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1563.5961794918003</v>
      </c>
      <c r="O19" s="10">
        <f>SUMIFS(Expense_master[Monthly_Maintenance],Expense_master[Month_Key],Daily_Data[[#This Row],[Month_key]]) / SUMIFS(Expense_master[Days_in_Month],Expense_master[Month_Key], Daily_Data[[#This Row],[Month_key]])</f>
        <v>645.16129032258061</v>
      </c>
      <c r="P19" s="10">
        <f xml:space="preserve"> Daily_Data[[#This Row],[OTA Commision]] + Daily_Data[[#This Row],[Daily_Rent]]+Daily_Data[[#This Row],[Daily_Staff]]+Daily_Data[[#This Row],[Daily_HK]]+Daily_Data[[#This Row],[Daily_Electricity]] + Daily_Data[[#This Row],[Daily Maintenance]]</f>
        <v>14344.583852946478</v>
      </c>
      <c r="Q19" s="10">
        <f>Daily_Data[[#This Row],[Total_Sales]]-Daily_Data[[#This Row],[Total_Daily_Expense]]</f>
        <v>1425.4161470535219</v>
      </c>
      <c r="R19" s="10">
        <f>Daily_Data[[#This Row],[Total_Sales]]/Daily_Data[[#This Row],[Rooms_Occupied]]</f>
        <v>1577</v>
      </c>
      <c r="S19" s="10">
        <f>Daily_Data[[#This Row],[Total_Sales]] / Daily_Data[[#This Row],[Max_rooms]]</f>
        <v>1126.4285714285713</v>
      </c>
      <c r="W19" s="7" t="s">
        <v>63</v>
      </c>
    </row>
    <row r="20" spans="1:24" x14ac:dyDescent="0.25">
      <c r="A20" s="6">
        <v>44945</v>
      </c>
      <c r="B20" s="20">
        <f>DATE(YEAR(Daily_Data[[#This Row],[Date]]), MONTH(Daily_Data[[#This Row],[Date]]), 1)</f>
        <v>44927</v>
      </c>
      <c r="C20" s="20" t="str">
        <f>TEXT(Daily_Data[[#This Row],[Month_key]],"mmmm")</f>
        <v>January</v>
      </c>
      <c r="D20" s="20" t="str">
        <f>TEXT(Daily_Data[[#This Row],[Month_key]],"yyyy")</f>
        <v>2023</v>
      </c>
      <c r="E20" s="7">
        <v>10</v>
      </c>
      <c r="F20" s="7">
        <v>14</v>
      </c>
      <c r="G20" s="8">
        <f>Daily_Data[[#This Row],[Rooms_Occupied]]/F20</f>
        <v>0.7142857142857143</v>
      </c>
      <c r="H20" s="7">
        <v>1282</v>
      </c>
      <c r="I20" s="7">
        <f>Daily_Data[[#This Row],[Room_rate]]*Daily_Data[[#This Row],[Rooms_Occupied]]</f>
        <v>12820</v>
      </c>
      <c r="J20" s="10">
        <f>Daily_Data[[#This Row],[Total_Sales]] * 0.22</f>
        <v>2820.4</v>
      </c>
      <c r="K20" s="10">
        <f>INDEX(Expense_master[Monthly_Rent],MATCH(Daily_Data[[#This Row],[Month_key]],Expense_master[Month_Key],0)) / INDEX(Expense_master[Days_in_Month],MATCH(Daily_Data[[#This Row],[Month_key]],Expense_master[Month_Key],0))</f>
        <v>6129.0322580645161</v>
      </c>
      <c r="L20" s="10">
        <f>SUMIFS(Expense_master[Staff_Salary],Expense_master[Month_Key],Daily_Data[[#This Row],[Month_key]]) / SUMIFS(Expense_master[Days_in_Month],Expense_master[Month_Key],Daily_Data[[#This Row],[Month_key]])</f>
        <v>2258.0645161290322</v>
      </c>
      <c r="M20" s="10">
        <f>Daily_Data[[#This Row],[Rooms_Occupied]] * (SUMIFS(Expense_master[Housekeeping_Laundy],Expense_master[Month_Key],Daily_Data[[#This Row],[Month_key]]) / SUMIFS(Occupancy_table[Monthly_rooms_Occupied],Occupancy_table[Month_Key],Daily_Data[[#This Row],[Month_key]]))</f>
        <v>279.32960893854749</v>
      </c>
      <c r="N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1563.5961794918003</v>
      </c>
      <c r="O20" s="10">
        <f>SUMIFS(Expense_master[Monthly_Maintenance],Expense_master[Month_Key],Daily_Data[[#This Row],[Month_key]]) / SUMIFS(Expense_master[Days_in_Month],Expense_master[Month_Key], Daily_Data[[#This Row],[Month_key]])</f>
        <v>645.16129032258061</v>
      </c>
      <c r="P20" s="10">
        <f xml:space="preserve"> Daily_Data[[#This Row],[OTA Commision]] + Daily_Data[[#This Row],[Daily_Rent]]+Daily_Data[[#This Row],[Daily_Staff]]+Daily_Data[[#This Row],[Daily_HK]]+Daily_Data[[#This Row],[Daily_Electricity]] + Daily_Data[[#This Row],[Daily Maintenance]]</f>
        <v>13695.583852946478</v>
      </c>
      <c r="Q20" s="10">
        <f>Daily_Data[[#This Row],[Total_Sales]]-Daily_Data[[#This Row],[Total_Daily_Expense]]</f>
        <v>-875.58385294647815</v>
      </c>
      <c r="R20" s="10">
        <f>Daily_Data[[#This Row],[Total_Sales]]/Daily_Data[[#This Row],[Rooms_Occupied]]</f>
        <v>1282</v>
      </c>
      <c r="S20" s="10">
        <f>Daily_Data[[#This Row],[Total_Sales]] / Daily_Data[[#This Row],[Max_rooms]]</f>
        <v>915.71428571428567</v>
      </c>
      <c r="W20" t="s">
        <v>88</v>
      </c>
      <c r="X20" s="34">
        <f>Daily_Data[Total_Daily_Expense] / Daily_Data[Rooms_Occupied]</f>
        <v>1369.5583852946479</v>
      </c>
    </row>
    <row r="21" spans="1:24" x14ac:dyDescent="0.25">
      <c r="A21" s="6">
        <v>44946</v>
      </c>
      <c r="B21" s="20">
        <f>DATE(YEAR(Daily_Data[[#This Row],[Date]]), MONTH(Daily_Data[[#This Row],[Date]]), 1)</f>
        <v>44927</v>
      </c>
      <c r="C21" s="20" t="str">
        <f>TEXT(Daily_Data[[#This Row],[Month_key]],"mmmm")</f>
        <v>January</v>
      </c>
      <c r="D21" s="20" t="str">
        <f>TEXT(Daily_Data[[#This Row],[Month_key]],"yyyy")</f>
        <v>2023</v>
      </c>
      <c r="E21" s="7">
        <v>9</v>
      </c>
      <c r="F21" s="7">
        <v>14</v>
      </c>
      <c r="G21" s="8">
        <f>Daily_Data[[#This Row],[Rooms_Occupied]]/F21</f>
        <v>0.6428571428571429</v>
      </c>
      <c r="H21" s="7">
        <v>1339</v>
      </c>
      <c r="I21" s="7">
        <f>Daily_Data[[#This Row],[Room_rate]]*Daily_Data[[#This Row],[Rooms_Occupied]]</f>
        <v>12051</v>
      </c>
      <c r="J21" s="10">
        <f>Daily_Data[[#This Row],[Total_Sales]] * 0.22</f>
        <v>2651.22</v>
      </c>
      <c r="K21" s="10">
        <f>INDEX(Expense_master[Monthly_Rent],MATCH(Daily_Data[[#This Row],[Month_key]],Expense_master[Month_Key],0)) / INDEX(Expense_master[Days_in_Month],MATCH(Daily_Data[[#This Row],[Month_key]],Expense_master[Month_Key],0))</f>
        <v>6129.0322580645161</v>
      </c>
      <c r="L21" s="10">
        <f>SUMIFS(Expense_master[Staff_Salary],Expense_master[Month_Key],Daily_Data[[#This Row],[Month_key]]) / SUMIFS(Expense_master[Days_in_Month],Expense_master[Month_Key],Daily_Data[[#This Row],[Month_key]])</f>
        <v>2258.0645161290322</v>
      </c>
      <c r="M21" s="10">
        <f>Daily_Data[[#This Row],[Rooms_Occupied]] * (SUMIFS(Expense_master[Housekeeping_Laundy],Expense_master[Month_Key],Daily_Data[[#This Row],[Month_key]]) / SUMIFS(Occupancy_table[Monthly_rooms_Occupied],Occupancy_table[Month_Key],Daily_Data[[#This Row],[Month_key]]))</f>
        <v>251.39664804469274</v>
      </c>
      <c r="N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1475.2520454135879</v>
      </c>
      <c r="O21" s="10">
        <f>SUMIFS(Expense_master[Monthly_Maintenance],Expense_master[Month_Key],Daily_Data[[#This Row],[Month_key]]) / SUMIFS(Expense_master[Days_in_Month],Expense_master[Month_Key], Daily_Data[[#This Row],[Month_key]])</f>
        <v>645.16129032258061</v>
      </c>
      <c r="P21" s="10">
        <f xml:space="preserve"> Daily_Data[[#This Row],[OTA Commision]] + Daily_Data[[#This Row],[Daily_Rent]]+Daily_Data[[#This Row],[Daily_Staff]]+Daily_Data[[#This Row],[Daily_HK]]+Daily_Data[[#This Row],[Daily_Electricity]] + Daily_Data[[#This Row],[Daily Maintenance]]</f>
        <v>13410.126757974411</v>
      </c>
      <c r="Q21" s="10">
        <f>Daily_Data[[#This Row],[Total_Sales]]-Daily_Data[[#This Row],[Total_Daily_Expense]]</f>
        <v>-1359.1267579744108</v>
      </c>
      <c r="R21" s="10">
        <f>Daily_Data[[#This Row],[Total_Sales]]/Daily_Data[[#This Row],[Rooms_Occupied]]</f>
        <v>1339</v>
      </c>
      <c r="S21" s="10">
        <f>Daily_Data[[#This Row],[Total_Sales]] / Daily_Data[[#This Row],[Max_rooms]]</f>
        <v>860.78571428571433</v>
      </c>
    </row>
    <row r="22" spans="1:24" x14ac:dyDescent="0.25">
      <c r="A22" s="6">
        <v>44947</v>
      </c>
      <c r="B22" s="20">
        <f>DATE(YEAR(Daily_Data[[#This Row],[Date]]), MONTH(Daily_Data[[#This Row],[Date]]), 1)</f>
        <v>44927</v>
      </c>
      <c r="C22" s="20" t="str">
        <f>TEXT(Daily_Data[[#This Row],[Month_key]],"mmmm")</f>
        <v>January</v>
      </c>
      <c r="D22" s="20" t="str">
        <f>TEXT(Daily_Data[[#This Row],[Month_key]],"yyyy")</f>
        <v>2023</v>
      </c>
      <c r="E22" s="7">
        <v>14</v>
      </c>
      <c r="F22" s="7">
        <v>14</v>
      </c>
      <c r="G22" s="8">
        <f>Daily_Data[[#This Row],[Rooms_Occupied]]/F22</f>
        <v>1</v>
      </c>
      <c r="H22" s="7">
        <v>1405</v>
      </c>
      <c r="I22" s="7">
        <f>Daily_Data[[#This Row],[Room_rate]]*Daily_Data[[#This Row],[Rooms_Occupied]]</f>
        <v>19670</v>
      </c>
      <c r="J22" s="10">
        <f>Daily_Data[[#This Row],[Total_Sales]] * 0.22</f>
        <v>4327.3999999999996</v>
      </c>
      <c r="K22" s="10">
        <f>INDEX(Expense_master[Monthly_Rent],MATCH(Daily_Data[[#This Row],[Month_key]],Expense_master[Month_Key],0)) / INDEX(Expense_master[Days_in_Month],MATCH(Daily_Data[[#This Row],[Month_key]],Expense_master[Month_Key],0))</f>
        <v>6129.0322580645161</v>
      </c>
      <c r="L22" s="10">
        <f>SUMIFS(Expense_master[Staff_Salary],Expense_master[Month_Key],Daily_Data[[#This Row],[Month_key]]) / SUMIFS(Expense_master[Days_in_Month],Expense_master[Month_Key],Daily_Data[[#This Row],[Month_key]])</f>
        <v>2258.0645161290322</v>
      </c>
      <c r="M22" s="10">
        <f>Daily_Data[[#This Row],[Rooms_Occupied]] * (SUMIFS(Expense_master[Housekeeping_Laundy],Expense_master[Month_Key],Daily_Data[[#This Row],[Month_key]]) / SUMIFS(Occupancy_table[Monthly_rooms_Occupied],Occupancy_table[Month_Key],Daily_Data[[#This Row],[Month_key]]))</f>
        <v>391.06145251396646</v>
      </c>
      <c r="N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1916.9727158046494</v>
      </c>
      <c r="O22" s="10">
        <f>SUMIFS(Expense_master[Monthly_Maintenance],Expense_master[Month_Key],Daily_Data[[#This Row],[Month_key]]) / SUMIFS(Expense_master[Days_in_Month],Expense_master[Month_Key], Daily_Data[[#This Row],[Month_key]])</f>
        <v>645.16129032258061</v>
      </c>
      <c r="P22" s="10">
        <f xml:space="preserve"> Daily_Data[[#This Row],[OTA Commision]] + Daily_Data[[#This Row],[Daily_Rent]]+Daily_Data[[#This Row],[Daily_Staff]]+Daily_Data[[#This Row],[Daily_HK]]+Daily_Data[[#This Row],[Daily_Electricity]] + Daily_Data[[#This Row],[Daily Maintenance]]</f>
        <v>15667.692232834746</v>
      </c>
      <c r="Q22" s="10">
        <f>Daily_Data[[#This Row],[Total_Sales]]-Daily_Data[[#This Row],[Total_Daily_Expense]]</f>
        <v>4002.3077671652536</v>
      </c>
      <c r="R22" s="10">
        <f>Daily_Data[[#This Row],[Total_Sales]]/Daily_Data[[#This Row],[Rooms_Occupied]]</f>
        <v>1405</v>
      </c>
      <c r="S22" s="10">
        <f>Daily_Data[[#This Row],[Total_Sales]] / Daily_Data[[#This Row],[Max_rooms]]</f>
        <v>1405</v>
      </c>
    </row>
    <row r="23" spans="1:24" x14ac:dyDescent="0.25">
      <c r="A23" s="6">
        <v>44948</v>
      </c>
      <c r="B23" s="20">
        <f>DATE(YEAR(Daily_Data[[#This Row],[Date]]), MONTH(Daily_Data[[#This Row],[Date]]), 1)</f>
        <v>44927</v>
      </c>
      <c r="C23" s="20" t="str">
        <f>TEXT(Daily_Data[[#This Row],[Month_key]],"mmmm")</f>
        <v>January</v>
      </c>
      <c r="D23" s="20" t="str">
        <f>TEXT(Daily_Data[[#This Row],[Month_key]],"yyyy")</f>
        <v>2023</v>
      </c>
      <c r="E23" s="7">
        <v>14</v>
      </c>
      <c r="F23" s="7">
        <v>14</v>
      </c>
      <c r="G23" s="8">
        <f>Daily_Data[[#This Row],[Rooms_Occupied]]/F23</f>
        <v>1</v>
      </c>
      <c r="H23" s="7">
        <v>1513</v>
      </c>
      <c r="I23" s="7">
        <f>Daily_Data[[#This Row],[Room_rate]]*Daily_Data[[#This Row],[Rooms_Occupied]]</f>
        <v>21182</v>
      </c>
      <c r="J23" s="10">
        <f>Daily_Data[[#This Row],[Total_Sales]] * 0.22</f>
        <v>4660.04</v>
      </c>
      <c r="K23" s="10">
        <f>INDEX(Expense_master[Monthly_Rent],MATCH(Daily_Data[[#This Row],[Month_key]],Expense_master[Month_Key],0)) / INDEX(Expense_master[Days_in_Month],MATCH(Daily_Data[[#This Row],[Month_key]],Expense_master[Month_Key],0))</f>
        <v>6129.0322580645161</v>
      </c>
      <c r="L23" s="10">
        <f>SUMIFS(Expense_master[Staff_Salary],Expense_master[Month_Key],Daily_Data[[#This Row],[Month_key]]) / SUMIFS(Expense_master[Days_in_Month],Expense_master[Month_Key],Daily_Data[[#This Row],[Month_key]])</f>
        <v>2258.0645161290322</v>
      </c>
      <c r="M23" s="10">
        <f>Daily_Data[[#This Row],[Rooms_Occupied]] * (SUMIFS(Expense_master[Housekeeping_Laundy],Expense_master[Month_Key],Daily_Data[[#This Row],[Month_key]]) / SUMIFS(Occupancy_table[Monthly_rooms_Occupied],Occupancy_table[Month_Key],Daily_Data[[#This Row],[Month_key]]))</f>
        <v>391.06145251396646</v>
      </c>
      <c r="N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1916.9727158046494</v>
      </c>
      <c r="O23" s="10">
        <f>SUMIFS(Expense_master[Monthly_Maintenance],Expense_master[Month_Key],Daily_Data[[#This Row],[Month_key]]) / SUMIFS(Expense_master[Days_in_Month],Expense_master[Month_Key], Daily_Data[[#This Row],[Month_key]])</f>
        <v>645.16129032258061</v>
      </c>
      <c r="P23" s="10">
        <f xml:space="preserve"> Daily_Data[[#This Row],[OTA Commision]] + Daily_Data[[#This Row],[Daily_Rent]]+Daily_Data[[#This Row],[Daily_Staff]]+Daily_Data[[#This Row],[Daily_HK]]+Daily_Data[[#This Row],[Daily_Electricity]] + Daily_Data[[#This Row],[Daily Maintenance]]</f>
        <v>16000.332232834746</v>
      </c>
      <c r="Q23" s="10">
        <f>Daily_Data[[#This Row],[Total_Sales]]-Daily_Data[[#This Row],[Total_Daily_Expense]]</f>
        <v>5181.6677671652542</v>
      </c>
      <c r="R23" s="10">
        <f>Daily_Data[[#This Row],[Total_Sales]]/Daily_Data[[#This Row],[Rooms_Occupied]]</f>
        <v>1513</v>
      </c>
      <c r="S23" s="10">
        <f>Daily_Data[[#This Row],[Total_Sales]] / Daily_Data[[#This Row],[Max_rooms]]</f>
        <v>1513</v>
      </c>
    </row>
    <row r="24" spans="1:24" x14ac:dyDescent="0.25">
      <c r="A24" s="6">
        <v>44949</v>
      </c>
      <c r="B24" s="20">
        <f>DATE(YEAR(Daily_Data[[#This Row],[Date]]), MONTH(Daily_Data[[#This Row],[Date]]), 1)</f>
        <v>44927</v>
      </c>
      <c r="C24" s="20" t="str">
        <f>TEXT(Daily_Data[[#This Row],[Month_key]],"mmmm")</f>
        <v>January</v>
      </c>
      <c r="D24" s="20" t="str">
        <f>TEXT(Daily_Data[[#This Row],[Month_key]],"yyyy")</f>
        <v>2023</v>
      </c>
      <c r="E24" s="7">
        <v>12</v>
      </c>
      <c r="F24" s="7">
        <v>14</v>
      </c>
      <c r="G24" s="8">
        <f>Daily_Data[[#This Row],[Rooms_Occupied]]/F24</f>
        <v>0.8571428571428571</v>
      </c>
      <c r="H24" s="7">
        <v>1563</v>
      </c>
      <c r="I24" s="7">
        <f>Daily_Data[[#This Row],[Room_rate]]*Daily_Data[[#This Row],[Rooms_Occupied]]</f>
        <v>18756</v>
      </c>
      <c r="J24" s="10">
        <f>Daily_Data[[#This Row],[Total_Sales]] * 0.22</f>
        <v>4126.32</v>
      </c>
      <c r="K24" s="10">
        <f>INDEX(Expense_master[Monthly_Rent],MATCH(Daily_Data[[#This Row],[Month_key]],Expense_master[Month_Key],0)) / INDEX(Expense_master[Days_in_Month],MATCH(Daily_Data[[#This Row],[Month_key]],Expense_master[Month_Key],0))</f>
        <v>6129.0322580645161</v>
      </c>
      <c r="L24" s="10">
        <f>SUMIFS(Expense_master[Staff_Salary],Expense_master[Month_Key],Daily_Data[[#This Row],[Month_key]]) / SUMIFS(Expense_master[Days_in_Month],Expense_master[Month_Key],Daily_Data[[#This Row],[Month_key]])</f>
        <v>2258.0645161290322</v>
      </c>
      <c r="M24" s="10">
        <f>Daily_Data[[#This Row],[Rooms_Occupied]] * (SUMIFS(Expense_master[Housekeeping_Laundy],Expense_master[Month_Key],Daily_Data[[#This Row],[Month_key]]) / SUMIFS(Occupancy_table[Monthly_rooms_Occupied],Occupancy_table[Month_Key],Daily_Data[[#This Row],[Month_key]]))</f>
        <v>335.19553072625695</v>
      </c>
      <c r="N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24" s="10">
        <f>SUMIFS(Expense_master[Monthly_Maintenance],Expense_master[Month_Key],Daily_Data[[#This Row],[Month_key]]) / SUMIFS(Expense_master[Days_in_Month],Expense_master[Month_Key], Daily_Data[[#This Row],[Month_key]])</f>
        <v>645.16129032258061</v>
      </c>
      <c r="P24" s="10">
        <f xml:space="preserve"> Daily_Data[[#This Row],[OTA Commision]] + Daily_Data[[#This Row],[Daily_Rent]]+Daily_Data[[#This Row],[Daily_Staff]]+Daily_Data[[#This Row],[Daily_HK]]+Daily_Data[[#This Row],[Daily_Electricity]] + Daily_Data[[#This Row],[Daily Maintenance]]</f>
        <v>15234.058042890609</v>
      </c>
      <c r="Q24" s="10">
        <f>Daily_Data[[#This Row],[Total_Sales]]-Daily_Data[[#This Row],[Total_Daily_Expense]]</f>
        <v>3521.9419571093913</v>
      </c>
      <c r="R24" s="10">
        <f>Daily_Data[[#This Row],[Total_Sales]]/Daily_Data[[#This Row],[Rooms_Occupied]]</f>
        <v>1563</v>
      </c>
      <c r="S24" s="10">
        <f>Daily_Data[[#This Row],[Total_Sales]] / Daily_Data[[#This Row],[Max_rooms]]</f>
        <v>1339.7142857142858</v>
      </c>
    </row>
    <row r="25" spans="1:24" x14ac:dyDescent="0.25">
      <c r="A25" s="6">
        <v>44950</v>
      </c>
      <c r="B25" s="20">
        <f>DATE(YEAR(Daily_Data[[#This Row],[Date]]), MONTH(Daily_Data[[#This Row],[Date]]), 1)</f>
        <v>44927</v>
      </c>
      <c r="C25" s="20" t="str">
        <f>TEXT(Daily_Data[[#This Row],[Month_key]],"mmmm")</f>
        <v>January</v>
      </c>
      <c r="D25" s="20" t="str">
        <f>TEXT(Daily_Data[[#This Row],[Month_key]],"yyyy")</f>
        <v>2023</v>
      </c>
      <c r="E25" s="7">
        <v>12</v>
      </c>
      <c r="F25" s="7">
        <v>14</v>
      </c>
      <c r="G25" s="8">
        <f>Daily_Data[[#This Row],[Rooms_Occupied]]/F25</f>
        <v>0.8571428571428571</v>
      </c>
      <c r="H25" s="7">
        <v>1949</v>
      </c>
      <c r="I25" s="7">
        <f>Daily_Data[[#This Row],[Room_rate]]*Daily_Data[[#This Row],[Rooms_Occupied]]</f>
        <v>23388</v>
      </c>
      <c r="J25" s="10">
        <f>Daily_Data[[#This Row],[Total_Sales]] * 0.22</f>
        <v>5145.3599999999997</v>
      </c>
      <c r="K25" s="10">
        <f>INDEX(Expense_master[Monthly_Rent],MATCH(Daily_Data[[#This Row],[Month_key]],Expense_master[Month_Key],0)) / INDEX(Expense_master[Days_in_Month],MATCH(Daily_Data[[#This Row],[Month_key]],Expense_master[Month_Key],0))</f>
        <v>6129.0322580645161</v>
      </c>
      <c r="L25" s="10">
        <f>SUMIFS(Expense_master[Staff_Salary],Expense_master[Month_Key],Daily_Data[[#This Row],[Month_key]]) / SUMIFS(Expense_master[Days_in_Month],Expense_master[Month_Key],Daily_Data[[#This Row],[Month_key]])</f>
        <v>2258.0645161290322</v>
      </c>
      <c r="M25" s="10">
        <f>Daily_Data[[#This Row],[Rooms_Occupied]] * (SUMIFS(Expense_master[Housekeeping_Laundy],Expense_master[Month_Key],Daily_Data[[#This Row],[Month_key]]) / SUMIFS(Occupancy_table[Monthly_rooms_Occupied],Occupancy_table[Month_Key],Daily_Data[[#This Row],[Month_key]]))</f>
        <v>335.19553072625695</v>
      </c>
      <c r="N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25" s="10">
        <f>SUMIFS(Expense_master[Monthly_Maintenance],Expense_master[Month_Key],Daily_Data[[#This Row],[Month_key]]) / SUMIFS(Expense_master[Days_in_Month],Expense_master[Month_Key], Daily_Data[[#This Row],[Month_key]])</f>
        <v>645.16129032258061</v>
      </c>
      <c r="P25" s="10">
        <f xml:space="preserve"> Daily_Data[[#This Row],[OTA Commision]] + Daily_Data[[#This Row],[Daily_Rent]]+Daily_Data[[#This Row],[Daily_Staff]]+Daily_Data[[#This Row],[Daily_HK]]+Daily_Data[[#This Row],[Daily_Electricity]] + Daily_Data[[#This Row],[Daily Maintenance]]</f>
        <v>16253.09804289061</v>
      </c>
      <c r="Q25" s="10">
        <f>Daily_Data[[#This Row],[Total_Sales]]-Daily_Data[[#This Row],[Total_Daily_Expense]]</f>
        <v>7134.9019571093904</v>
      </c>
      <c r="R25" s="10">
        <f>Daily_Data[[#This Row],[Total_Sales]]/Daily_Data[[#This Row],[Rooms_Occupied]]</f>
        <v>1949</v>
      </c>
      <c r="S25" s="10">
        <f>Daily_Data[[#This Row],[Total_Sales]] / Daily_Data[[#This Row],[Max_rooms]]</f>
        <v>1670.5714285714287</v>
      </c>
    </row>
    <row r="26" spans="1:24" x14ac:dyDescent="0.25">
      <c r="A26" s="6">
        <v>44951</v>
      </c>
      <c r="B26" s="20">
        <f>DATE(YEAR(Daily_Data[[#This Row],[Date]]), MONTH(Daily_Data[[#This Row],[Date]]), 1)</f>
        <v>44927</v>
      </c>
      <c r="C26" s="20" t="str">
        <f>TEXT(Daily_Data[[#This Row],[Month_key]],"mmmm")</f>
        <v>January</v>
      </c>
      <c r="D26" s="20" t="str">
        <f>TEXT(Daily_Data[[#This Row],[Month_key]],"yyyy")</f>
        <v>2023</v>
      </c>
      <c r="E26" s="7">
        <v>9</v>
      </c>
      <c r="F26" s="7">
        <v>14</v>
      </c>
      <c r="G26" s="8">
        <f>Daily_Data[[#This Row],[Rooms_Occupied]]/F26</f>
        <v>0.6428571428571429</v>
      </c>
      <c r="H26" s="7">
        <v>1231</v>
      </c>
      <c r="I26" s="7">
        <f>Daily_Data[[#This Row],[Room_rate]]*Daily_Data[[#This Row],[Rooms_Occupied]]</f>
        <v>11079</v>
      </c>
      <c r="J26" s="10">
        <f>Daily_Data[[#This Row],[Total_Sales]] * 0.22</f>
        <v>2437.38</v>
      </c>
      <c r="K26" s="10">
        <f>INDEX(Expense_master[Monthly_Rent],MATCH(Daily_Data[[#This Row],[Month_key]],Expense_master[Month_Key],0)) / INDEX(Expense_master[Days_in_Month],MATCH(Daily_Data[[#This Row],[Month_key]],Expense_master[Month_Key],0))</f>
        <v>6129.0322580645161</v>
      </c>
      <c r="L26" s="10">
        <f>SUMIFS(Expense_master[Staff_Salary],Expense_master[Month_Key],Daily_Data[[#This Row],[Month_key]]) / SUMIFS(Expense_master[Days_in_Month],Expense_master[Month_Key],Daily_Data[[#This Row],[Month_key]])</f>
        <v>2258.0645161290322</v>
      </c>
      <c r="M26" s="10">
        <f>Daily_Data[[#This Row],[Rooms_Occupied]] * (SUMIFS(Expense_master[Housekeeping_Laundy],Expense_master[Month_Key],Daily_Data[[#This Row],[Month_key]]) / SUMIFS(Occupancy_table[Monthly_rooms_Occupied],Occupancy_table[Month_Key],Daily_Data[[#This Row],[Month_key]]))</f>
        <v>251.39664804469274</v>
      </c>
      <c r="N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1475.2520454135879</v>
      </c>
      <c r="O26" s="10">
        <f>SUMIFS(Expense_master[Monthly_Maintenance],Expense_master[Month_Key],Daily_Data[[#This Row],[Month_key]]) / SUMIFS(Expense_master[Days_in_Month],Expense_master[Month_Key], Daily_Data[[#This Row],[Month_key]])</f>
        <v>645.16129032258061</v>
      </c>
      <c r="P26" s="10">
        <f xml:space="preserve"> Daily_Data[[#This Row],[OTA Commision]] + Daily_Data[[#This Row],[Daily_Rent]]+Daily_Data[[#This Row],[Daily_Staff]]+Daily_Data[[#This Row],[Daily_HK]]+Daily_Data[[#This Row],[Daily_Electricity]] + Daily_Data[[#This Row],[Daily Maintenance]]</f>
        <v>13196.286757974411</v>
      </c>
      <c r="Q26" s="10">
        <f>Daily_Data[[#This Row],[Total_Sales]]-Daily_Data[[#This Row],[Total_Daily_Expense]]</f>
        <v>-2117.2867579744106</v>
      </c>
      <c r="R26" s="10">
        <f>Daily_Data[[#This Row],[Total_Sales]]/Daily_Data[[#This Row],[Rooms_Occupied]]</f>
        <v>1231</v>
      </c>
      <c r="S26" s="10">
        <f>Daily_Data[[#This Row],[Total_Sales]] / Daily_Data[[#This Row],[Max_rooms]]</f>
        <v>791.35714285714289</v>
      </c>
      <c r="X26" s="5"/>
    </row>
    <row r="27" spans="1:24" x14ac:dyDescent="0.25">
      <c r="A27" s="6">
        <v>44952</v>
      </c>
      <c r="B27" s="20">
        <f>DATE(YEAR(Daily_Data[[#This Row],[Date]]), MONTH(Daily_Data[[#This Row],[Date]]), 1)</f>
        <v>44927</v>
      </c>
      <c r="C27" s="20" t="str">
        <f>TEXT(Daily_Data[[#This Row],[Month_key]],"mmmm")</f>
        <v>January</v>
      </c>
      <c r="D27" s="20" t="str">
        <f>TEXT(Daily_Data[[#This Row],[Month_key]],"yyyy")</f>
        <v>2023</v>
      </c>
      <c r="E27" s="7">
        <v>14</v>
      </c>
      <c r="F27" s="7">
        <v>14</v>
      </c>
      <c r="G27" s="8">
        <f>Daily_Data[[#This Row],[Rooms_Occupied]]/F27</f>
        <v>1</v>
      </c>
      <c r="H27" s="7">
        <v>1917</v>
      </c>
      <c r="I27" s="7">
        <f>Daily_Data[[#This Row],[Room_rate]]*Daily_Data[[#This Row],[Rooms_Occupied]]</f>
        <v>26838</v>
      </c>
      <c r="J27" s="10">
        <f>Daily_Data[[#This Row],[Total_Sales]] * 0.22</f>
        <v>5904.36</v>
      </c>
      <c r="K27" s="10">
        <f>INDEX(Expense_master[Monthly_Rent],MATCH(Daily_Data[[#This Row],[Month_key]],Expense_master[Month_Key],0)) / INDEX(Expense_master[Days_in_Month],MATCH(Daily_Data[[#This Row],[Month_key]],Expense_master[Month_Key],0))</f>
        <v>6129.0322580645161</v>
      </c>
      <c r="L27" s="10">
        <f>SUMIFS(Expense_master[Staff_Salary],Expense_master[Month_Key],Daily_Data[[#This Row],[Month_key]]) / SUMIFS(Expense_master[Days_in_Month],Expense_master[Month_Key],Daily_Data[[#This Row],[Month_key]])</f>
        <v>2258.0645161290322</v>
      </c>
      <c r="M27" s="10">
        <f>Daily_Data[[#This Row],[Rooms_Occupied]] * (SUMIFS(Expense_master[Housekeeping_Laundy],Expense_master[Month_Key],Daily_Data[[#This Row],[Month_key]]) / SUMIFS(Occupancy_table[Monthly_rooms_Occupied],Occupancy_table[Month_Key],Daily_Data[[#This Row],[Month_key]]))</f>
        <v>391.06145251396646</v>
      </c>
      <c r="N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1916.9727158046494</v>
      </c>
      <c r="O27" s="10">
        <f>SUMIFS(Expense_master[Monthly_Maintenance],Expense_master[Month_Key],Daily_Data[[#This Row],[Month_key]]) / SUMIFS(Expense_master[Days_in_Month],Expense_master[Month_Key], Daily_Data[[#This Row],[Month_key]])</f>
        <v>645.16129032258061</v>
      </c>
      <c r="P27" s="10">
        <f xml:space="preserve"> Daily_Data[[#This Row],[OTA Commision]] + Daily_Data[[#This Row],[Daily_Rent]]+Daily_Data[[#This Row],[Daily_Staff]]+Daily_Data[[#This Row],[Daily_HK]]+Daily_Data[[#This Row],[Daily_Electricity]] + Daily_Data[[#This Row],[Daily Maintenance]]</f>
        <v>17244.652232834742</v>
      </c>
      <c r="Q27" s="10">
        <f>Daily_Data[[#This Row],[Total_Sales]]-Daily_Data[[#This Row],[Total_Daily_Expense]]</f>
        <v>9593.3477671652581</v>
      </c>
      <c r="R27" s="10">
        <f>Daily_Data[[#This Row],[Total_Sales]]/Daily_Data[[#This Row],[Rooms_Occupied]]</f>
        <v>1917</v>
      </c>
      <c r="S27" s="10">
        <f>Daily_Data[[#This Row],[Total_Sales]] / Daily_Data[[#This Row],[Max_rooms]]</f>
        <v>1917</v>
      </c>
      <c r="X27" s="5"/>
    </row>
    <row r="28" spans="1:24" x14ac:dyDescent="0.25">
      <c r="A28" s="6">
        <v>44953</v>
      </c>
      <c r="B28" s="20">
        <f>DATE(YEAR(Daily_Data[[#This Row],[Date]]), MONTH(Daily_Data[[#This Row],[Date]]), 1)</f>
        <v>44927</v>
      </c>
      <c r="C28" s="20" t="str">
        <f>TEXT(Daily_Data[[#This Row],[Month_key]],"mmmm")</f>
        <v>January</v>
      </c>
      <c r="D28" s="20" t="str">
        <f>TEXT(Daily_Data[[#This Row],[Month_key]],"yyyy")</f>
        <v>2023</v>
      </c>
      <c r="E28" s="7">
        <v>11</v>
      </c>
      <c r="F28" s="7">
        <v>14</v>
      </c>
      <c r="G28" s="8">
        <f>Daily_Data[[#This Row],[Rooms_Occupied]]/F28</f>
        <v>0.7857142857142857</v>
      </c>
      <c r="H28" s="7">
        <v>1910</v>
      </c>
      <c r="I28" s="7">
        <f>Daily_Data[[#This Row],[Room_rate]]*Daily_Data[[#This Row],[Rooms_Occupied]]</f>
        <v>21010</v>
      </c>
      <c r="J28" s="10">
        <f>Daily_Data[[#This Row],[Total_Sales]] * 0.22</f>
        <v>4622.2</v>
      </c>
      <c r="K28" s="10">
        <f>INDEX(Expense_master[Monthly_Rent],MATCH(Daily_Data[[#This Row],[Month_key]],Expense_master[Month_Key],0)) / INDEX(Expense_master[Days_in_Month],MATCH(Daily_Data[[#This Row],[Month_key]],Expense_master[Month_Key],0))</f>
        <v>6129.0322580645161</v>
      </c>
      <c r="L28" s="10">
        <f>SUMIFS(Expense_master[Staff_Salary],Expense_master[Month_Key],Daily_Data[[#This Row],[Month_key]]) / SUMIFS(Expense_master[Days_in_Month],Expense_master[Month_Key],Daily_Data[[#This Row],[Month_key]])</f>
        <v>2258.0645161290322</v>
      </c>
      <c r="M28" s="10">
        <f>Daily_Data[[#This Row],[Rooms_Occupied]] * (SUMIFS(Expense_master[Housekeeping_Laundy],Expense_master[Month_Key],Daily_Data[[#This Row],[Month_key]]) / SUMIFS(Occupancy_table[Monthly_rooms_Occupied],Occupancy_table[Month_Key],Daily_Data[[#This Row],[Month_key]]))</f>
        <v>307.26256983240222</v>
      </c>
      <c r="N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1651.9403135700127</v>
      </c>
      <c r="O28" s="10">
        <f>SUMIFS(Expense_master[Monthly_Maintenance],Expense_master[Month_Key],Daily_Data[[#This Row],[Month_key]]) / SUMIFS(Expense_master[Days_in_Month],Expense_master[Month_Key], Daily_Data[[#This Row],[Month_key]])</f>
        <v>645.16129032258061</v>
      </c>
      <c r="P28" s="10">
        <f xml:space="preserve"> Daily_Data[[#This Row],[OTA Commision]] + Daily_Data[[#This Row],[Daily_Rent]]+Daily_Data[[#This Row],[Daily_Staff]]+Daily_Data[[#This Row],[Daily_HK]]+Daily_Data[[#This Row],[Daily_Electricity]] + Daily_Data[[#This Row],[Daily Maintenance]]</f>
        <v>15613.660947918544</v>
      </c>
      <c r="Q28" s="10">
        <f>Daily_Data[[#This Row],[Total_Sales]]-Daily_Data[[#This Row],[Total_Daily_Expense]]</f>
        <v>5396.3390520814555</v>
      </c>
      <c r="R28" s="10">
        <f>Daily_Data[[#This Row],[Total_Sales]]/Daily_Data[[#This Row],[Rooms_Occupied]]</f>
        <v>1910</v>
      </c>
      <c r="S28" s="10">
        <f>Daily_Data[[#This Row],[Total_Sales]] / Daily_Data[[#This Row],[Max_rooms]]</f>
        <v>1500.7142857142858</v>
      </c>
    </row>
    <row r="29" spans="1:24" x14ac:dyDescent="0.25">
      <c r="A29" s="6">
        <v>44954</v>
      </c>
      <c r="B29" s="20">
        <f>DATE(YEAR(Daily_Data[[#This Row],[Date]]), MONTH(Daily_Data[[#This Row],[Date]]), 1)</f>
        <v>44927</v>
      </c>
      <c r="C29" s="20" t="str">
        <f>TEXT(Daily_Data[[#This Row],[Month_key]],"mmmm")</f>
        <v>January</v>
      </c>
      <c r="D29" s="20" t="str">
        <f>TEXT(Daily_Data[[#This Row],[Month_key]],"yyyy")</f>
        <v>2023</v>
      </c>
      <c r="E29" s="7">
        <v>14</v>
      </c>
      <c r="F29" s="7">
        <v>14</v>
      </c>
      <c r="G29" s="8">
        <f>Daily_Data[[#This Row],[Rooms_Occupied]]/F29</f>
        <v>1</v>
      </c>
      <c r="H29" s="7">
        <v>1776</v>
      </c>
      <c r="I29" s="7">
        <f>Daily_Data[[#This Row],[Room_rate]]*Daily_Data[[#This Row],[Rooms_Occupied]]</f>
        <v>24864</v>
      </c>
      <c r="J29" s="10">
        <f>Daily_Data[[#This Row],[Total_Sales]] * 0.22</f>
        <v>5470.08</v>
      </c>
      <c r="K29" s="10">
        <f>INDEX(Expense_master[Monthly_Rent],MATCH(Daily_Data[[#This Row],[Month_key]],Expense_master[Month_Key],0)) / INDEX(Expense_master[Days_in_Month],MATCH(Daily_Data[[#This Row],[Month_key]],Expense_master[Month_Key],0))</f>
        <v>6129.0322580645161</v>
      </c>
      <c r="L29" s="10">
        <f>SUMIFS(Expense_master[Staff_Salary],Expense_master[Month_Key],Daily_Data[[#This Row],[Month_key]]) / SUMIFS(Expense_master[Days_in_Month],Expense_master[Month_Key],Daily_Data[[#This Row],[Month_key]])</f>
        <v>2258.0645161290322</v>
      </c>
      <c r="M29" s="10">
        <f>Daily_Data[[#This Row],[Rooms_Occupied]] * (SUMIFS(Expense_master[Housekeeping_Laundy],Expense_master[Month_Key],Daily_Data[[#This Row],[Month_key]]) / SUMIFS(Occupancy_table[Monthly_rooms_Occupied],Occupancy_table[Month_Key],Daily_Data[[#This Row],[Month_key]]))</f>
        <v>391.06145251396646</v>
      </c>
      <c r="N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1916.9727158046494</v>
      </c>
      <c r="O29" s="10">
        <f>SUMIFS(Expense_master[Monthly_Maintenance],Expense_master[Month_Key],Daily_Data[[#This Row],[Month_key]]) / SUMIFS(Expense_master[Days_in_Month],Expense_master[Month_Key], Daily_Data[[#This Row],[Month_key]])</f>
        <v>645.16129032258061</v>
      </c>
      <c r="P29" s="10">
        <f xml:space="preserve"> Daily_Data[[#This Row],[OTA Commision]] + Daily_Data[[#This Row],[Daily_Rent]]+Daily_Data[[#This Row],[Daily_Staff]]+Daily_Data[[#This Row],[Daily_HK]]+Daily_Data[[#This Row],[Daily_Electricity]] + Daily_Data[[#This Row],[Daily Maintenance]]</f>
        <v>16810.372232834747</v>
      </c>
      <c r="Q29" s="10">
        <f>Daily_Data[[#This Row],[Total_Sales]]-Daily_Data[[#This Row],[Total_Daily_Expense]]</f>
        <v>8053.6277671652533</v>
      </c>
      <c r="R29" s="10">
        <f>Daily_Data[[#This Row],[Total_Sales]]/Daily_Data[[#This Row],[Rooms_Occupied]]</f>
        <v>1776</v>
      </c>
      <c r="S29" s="10">
        <f>Daily_Data[[#This Row],[Total_Sales]] / Daily_Data[[#This Row],[Max_rooms]]</f>
        <v>1776</v>
      </c>
    </row>
    <row r="30" spans="1:24" x14ac:dyDescent="0.25">
      <c r="A30" s="6">
        <v>44955</v>
      </c>
      <c r="B30" s="20">
        <f>DATE(YEAR(Daily_Data[[#This Row],[Date]]), MONTH(Daily_Data[[#This Row],[Date]]), 1)</f>
        <v>44927</v>
      </c>
      <c r="C30" s="20" t="str">
        <f>TEXT(Daily_Data[[#This Row],[Month_key]],"mmmm")</f>
        <v>January</v>
      </c>
      <c r="D30" s="20" t="str">
        <f>TEXT(Daily_Data[[#This Row],[Month_key]],"yyyy")</f>
        <v>2023</v>
      </c>
      <c r="E30" s="7">
        <v>11</v>
      </c>
      <c r="F30" s="7">
        <v>14</v>
      </c>
      <c r="G30" s="8">
        <f>Daily_Data[[#This Row],[Rooms_Occupied]]/F30</f>
        <v>0.7857142857142857</v>
      </c>
      <c r="H30" s="7">
        <v>1547</v>
      </c>
      <c r="I30" s="7">
        <f>Daily_Data[[#This Row],[Room_rate]]*Daily_Data[[#This Row],[Rooms_Occupied]]</f>
        <v>17017</v>
      </c>
      <c r="J30" s="10">
        <f>Daily_Data[[#This Row],[Total_Sales]] * 0.22</f>
        <v>3743.7400000000002</v>
      </c>
      <c r="K30" s="10">
        <f>INDEX(Expense_master[Monthly_Rent],MATCH(Daily_Data[[#This Row],[Month_key]],Expense_master[Month_Key],0)) / INDEX(Expense_master[Days_in_Month],MATCH(Daily_Data[[#This Row],[Month_key]],Expense_master[Month_Key],0))</f>
        <v>6129.0322580645161</v>
      </c>
      <c r="L30" s="10">
        <f>SUMIFS(Expense_master[Staff_Salary],Expense_master[Month_Key],Daily_Data[[#This Row],[Month_key]]) / SUMIFS(Expense_master[Days_in_Month],Expense_master[Month_Key],Daily_Data[[#This Row],[Month_key]])</f>
        <v>2258.0645161290322</v>
      </c>
      <c r="M30" s="10">
        <f>Daily_Data[[#This Row],[Rooms_Occupied]] * (SUMIFS(Expense_master[Housekeeping_Laundy],Expense_master[Month_Key],Daily_Data[[#This Row],[Month_key]]) / SUMIFS(Occupancy_table[Monthly_rooms_Occupied],Occupancy_table[Month_Key],Daily_Data[[#This Row],[Month_key]]))</f>
        <v>307.26256983240222</v>
      </c>
      <c r="N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1651.9403135700127</v>
      </c>
      <c r="O30" s="10">
        <f>SUMIFS(Expense_master[Monthly_Maintenance],Expense_master[Month_Key],Daily_Data[[#This Row],[Month_key]]) / SUMIFS(Expense_master[Days_in_Month],Expense_master[Month_Key], Daily_Data[[#This Row],[Month_key]])</f>
        <v>645.16129032258061</v>
      </c>
      <c r="P30" s="10">
        <f xml:space="preserve"> Daily_Data[[#This Row],[OTA Commision]] + Daily_Data[[#This Row],[Daily_Rent]]+Daily_Data[[#This Row],[Daily_Staff]]+Daily_Data[[#This Row],[Daily_HK]]+Daily_Data[[#This Row],[Daily_Electricity]] + Daily_Data[[#This Row],[Daily Maintenance]]</f>
        <v>14735.200947918545</v>
      </c>
      <c r="Q30" s="10">
        <f>Daily_Data[[#This Row],[Total_Sales]]-Daily_Data[[#This Row],[Total_Daily_Expense]]</f>
        <v>2281.7990520814546</v>
      </c>
      <c r="R30" s="10">
        <f>Daily_Data[[#This Row],[Total_Sales]]/Daily_Data[[#This Row],[Rooms_Occupied]]</f>
        <v>1547</v>
      </c>
      <c r="S30" s="10">
        <f>Daily_Data[[#This Row],[Total_Sales]] / Daily_Data[[#This Row],[Max_rooms]]</f>
        <v>1215.5</v>
      </c>
    </row>
    <row r="31" spans="1:24" x14ac:dyDescent="0.25">
      <c r="A31" s="6">
        <v>44956</v>
      </c>
      <c r="B31" s="20">
        <f>DATE(YEAR(Daily_Data[[#This Row],[Date]]), MONTH(Daily_Data[[#This Row],[Date]]), 1)</f>
        <v>44927</v>
      </c>
      <c r="C31" s="20" t="str">
        <f>TEXT(Daily_Data[[#This Row],[Month_key]],"mmmm")</f>
        <v>January</v>
      </c>
      <c r="D31" s="20" t="str">
        <f>TEXT(Daily_Data[[#This Row],[Month_key]],"yyyy")</f>
        <v>2023</v>
      </c>
      <c r="E31" s="7">
        <v>9</v>
      </c>
      <c r="F31" s="7">
        <v>14</v>
      </c>
      <c r="G31" s="8">
        <f>Daily_Data[[#This Row],[Rooms_Occupied]]/F31</f>
        <v>0.6428571428571429</v>
      </c>
      <c r="H31" s="7">
        <v>1864</v>
      </c>
      <c r="I31" s="7">
        <f>Daily_Data[[#This Row],[Room_rate]]*Daily_Data[[#This Row],[Rooms_Occupied]]</f>
        <v>16776</v>
      </c>
      <c r="J31" s="10">
        <f>Daily_Data[[#This Row],[Total_Sales]] * 0.22</f>
        <v>3690.72</v>
      </c>
      <c r="K31" s="10">
        <f>INDEX(Expense_master[Monthly_Rent],MATCH(Daily_Data[[#This Row],[Month_key]],Expense_master[Month_Key],0)) / INDEX(Expense_master[Days_in_Month],MATCH(Daily_Data[[#This Row],[Month_key]],Expense_master[Month_Key],0))</f>
        <v>6129.0322580645161</v>
      </c>
      <c r="L31" s="10">
        <f>SUMIFS(Expense_master[Staff_Salary],Expense_master[Month_Key],Daily_Data[[#This Row],[Month_key]]) / SUMIFS(Expense_master[Days_in_Month],Expense_master[Month_Key],Daily_Data[[#This Row],[Month_key]])</f>
        <v>2258.0645161290322</v>
      </c>
      <c r="M31" s="10">
        <f>Daily_Data[[#This Row],[Rooms_Occupied]] * (SUMIFS(Expense_master[Housekeeping_Laundy],Expense_master[Month_Key],Daily_Data[[#This Row],[Month_key]]) / SUMIFS(Occupancy_table[Monthly_rooms_Occupied],Occupancy_table[Month_Key],Daily_Data[[#This Row],[Month_key]]))</f>
        <v>251.39664804469274</v>
      </c>
      <c r="N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1475.2520454135879</v>
      </c>
      <c r="O31" s="10">
        <f>SUMIFS(Expense_master[Monthly_Maintenance],Expense_master[Month_Key],Daily_Data[[#This Row],[Month_key]]) / SUMIFS(Expense_master[Days_in_Month],Expense_master[Month_Key], Daily_Data[[#This Row],[Month_key]])</f>
        <v>645.16129032258061</v>
      </c>
      <c r="P31" s="10">
        <f xml:space="preserve"> Daily_Data[[#This Row],[OTA Commision]] + Daily_Data[[#This Row],[Daily_Rent]]+Daily_Data[[#This Row],[Daily_Staff]]+Daily_Data[[#This Row],[Daily_HK]]+Daily_Data[[#This Row],[Daily_Electricity]] + Daily_Data[[#This Row],[Daily Maintenance]]</f>
        <v>14449.626757974411</v>
      </c>
      <c r="Q31" s="10">
        <f>Daily_Data[[#This Row],[Total_Sales]]-Daily_Data[[#This Row],[Total_Daily_Expense]]</f>
        <v>2326.3732420255892</v>
      </c>
      <c r="R31" s="10">
        <f>Daily_Data[[#This Row],[Total_Sales]]/Daily_Data[[#This Row],[Rooms_Occupied]]</f>
        <v>1864</v>
      </c>
      <c r="S31" s="10">
        <f>Daily_Data[[#This Row],[Total_Sales]] / Daily_Data[[#This Row],[Max_rooms]]</f>
        <v>1198.2857142857142</v>
      </c>
    </row>
    <row r="32" spans="1:24" x14ac:dyDescent="0.25">
      <c r="A32" s="6">
        <v>44957</v>
      </c>
      <c r="B32" s="20">
        <f>DATE(YEAR(Daily_Data[[#This Row],[Date]]), MONTH(Daily_Data[[#This Row],[Date]]), 1)</f>
        <v>44927</v>
      </c>
      <c r="C32" s="20" t="str">
        <f>TEXT(Daily_Data[[#This Row],[Month_key]],"mmmm")</f>
        <v>January</v>
      </c>
      <c r="D32" s="20" t="str">
        <f>TEXT(Daily_Data[[#This Row],[Month_key]],"yyyy")</f>
        <v>2023</v>
      </c>
      <c r="E32" s="7">
        <v>12</v>
      </c>
      <c r="F32" s="7">
        <v>14</v>
      </c>
      <c r="G32" s="8">
        <f>Daily_Data[[#This Row],[Rooms_Occupied]]/F32</f>
        <v>0.8571428571428571</v>
      </c>
      <c r="H32" s="7">
        <v>1937</v>
      </c>
      <c r="I32" s="7">
        <f>Daily_Data[[#This Row],[Room_rate]]*Daily_Data[[#This Row],[Rooms_Occupied]]</f>
        <v>23244</v>
      </c>
      <c r="J32" s="10">
        <f>Daily_Data[[#This Row],[Total_Sales]] * 0.22</f>
        <v>5113.68</v>
      </c>
      <c r="K32" s="10">
        <f>INDEX(Expense_master[Monthly_Rent],MATCH(Daily_Data[[#This Row],[Month_key]],Expense_master[Month_Key],0)) / INDEX(Expense_master[Days_in_Month],MATCH(Daily_Data[[#This Row],[Month_key]],Expense_master[Month_Key],0))</f>
        <v>6129.0322580645161</v>
      </c>
      <c r="L32" s="10">
        <f>SUMIFS(Expense_master[Staff_Salary],Expense_master[Month_Key],Daily_Data[[#This Row],[Month_key]]) / SUMIFS(Expense_master[Days_in_Month],Expense_master[Month_Key],Daily_Data[[#This Row],[Month_key]])</f>
        <v>2258.0645161290322</v>
      </c>
      <c r="M32" s="10">
        <f>Daily_Data[[#This Row],[Rooms_Occupied]] * (SUMIFS(Expense_master[Housekeeping_Laundy],Expense_master[Month_Key],Daily_Data[[#This Row],[Month_key]]) / SUMIFS(Occupancy_table[Monthly_rooms_Occupied],Occupancy_table[Month_Key],Daily_Data[[#This Row],[Month_key]]))</f>
        <v>335.19553072625695</v>
      </c>
      <c r="N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1740.2844476482248</v>
      </c>
      <c r="O32" s="10">
        <f>SUMIFS(Expense_master[Monthly_Maintenance],Expense_master[Month_Key],Daily_Data[[#This Row],[Month_key]]) / SUMIFS(Expense_master[Days_in_Month],Expense_master[Month_Key], Daily_Data[[#This Row],[Month_key]])</f>
        <v>645.16129032258061</v>
      </c>
      <c r="P32" s="10">
        <f xml:space="preserve"> Daily_Data[[#This Row],[OTA Commision]] + Daily_Data[[#This Row],[Daily_Rent]]+Daily_Data[[#This Row],[Daily_Staff]]+Daily_Data[[#This Row],[Daily_HK]]+Daily_Data[[#This Row],[Daily_Electricity]] + Daily_Data[[#This Row],[Daily Maintenance]]</f>
        <v>16221.418042890609</v>
      </c>
      <c r="Q32" s="10">
        <f>Daily_Data[[#This Row],[Total_Sales]]-Daily_Data[[#This Row],[Total_Daily_Expense]]</f>
        <v>7022.5819571093907</v>
      </c>
      <c r="R32" s="10">
        <f>Daily_Data[[#This Row],[Total_Sales]]/Daily_Data[[#This Row],[Rooms_Occupied]]</f>
        <v>1937</v>
      </c>
      <c r="S32" s="10">
        <f>Daily_Data[[#This Row],[Total_Sales]] / Daily_Data[[#This Row],[Max_rooms]]</f>
        <v>1660.2857142857142</v>
      </c>
    </row>
    <row r="33" spans="1:19" x14ac:dyDescent="0.25">
      <c r="A33" s="6">
        <v>44958</v>
      </c>
      <c r="B33" s="20">
        <f>DATE(YEAR(Daily_Data[[#This Row],[Date]]), MONTH(Daily_Data[[#This Row],[Date]]), 1)</f>
        <v>44958</v>
      </c>
      <c r="C33" s="20" t="str">
        <f>TEXT(Daily_Data[[#This Row],[Month_key]],"mmmm")</f>
        <v>February</v>
      </c>
      <c r="D33" s="20" t="str">
        <f>TEXT(Daily_Data[[#This Row],[Month_key]],"yyyy")</f>
        <v>2023</v>
      </c>
      <c r="E33" s="7">
        <v>12</v>
      </c>
      <c r="F33" s="7">
        <v>14</v>
      </c>
      <c r="G33" s="8">
        <f>Daily_Data[[#This Row],[Rooms_Occupied]]/F33</f>
        <v>0.8571428571428571</v>
      </c>
      <c r="H33" s="7">
        <v>1857</v>
      </c>
      <c r="I33" s="7">
        <f>Daily_Data[[#This Row],[Room_rate]]*Daily_Data[[#This Row],[Rooms_Occupied]]</f>
        <v>22284</v>
      </c>
      <c r="J33" s="10">
        <f>Daily_Data[[#This Row],[Total_Sales]] * 0.22</f>
        <v>4902.4800000000005</v>
      </c>
      <c r="K33" s="10">
        <f>INDEX(Expense_master[Monthly_Rent],MATCH(Daily_Data[[#This Row],[Month_key]],Expense_master[Month_Key],0)) / INDEX(Expense_master[Days_in_Month],MATCH(Daily_Data[[#This Row],[Month_key]],Expense_master[Month_Key],0))</f>
        <v>6785.7142857142853</v>
      </c>
      <c r="L33" s="10">
        <f>SUMIFS(Expense_master[Staff_Salary],Expense_master[Month_Key],Daily_Data[[#This Row],[Month_key]]) / SUMIFS(Expense_master[Days_in_Month],Expense_master[Month_Key],Daily_Data[[#This Row],[Month_key]])</f>
        <v>2500</v>
      </c>
      <c r="M33" s="10">
        <f>Daily_Data[[#This Row],[Rooms_Occupied]] * (SUMIFS(Expense_master[Housekeeping_Laundy],Expense_master[Month_Key],Daily_Data[[#This Row],[Month_key]]) / SUMIFS(Occupancy_table[Monthly_rooms_Occupied],Occupancy_table[Month_Key],Daily_Data[[#This Row],[Month_key]]))</f>
        <v>379.74683544303798</v>
      </c>
      <c r="N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33" s="10">
        <f>SUMIFS(Expense_master[Monthly_Maintenance],Expense_master[Month_Key],Daily_Data[[#This Row],[Month_key]]) / SUMIFS(Expense_master[Days_in_Month],Expense_master[Month_Key], Daily_Data[[#This Row],[Month_key]])</f>
        <v>714.28571428571433</v>
      </c>
      <c r="P33" s="10">
        <f xml:space="preserve"> Daily_Data[[#This Row],[OTA Commision]] + Daily_Data[[#This Row],[Daily_Rent]]+Daily_Data[[#This Row],[Daily_Staff]]+Daily_Data[[#This Row],[Daily_HK]]+Daily_Data[[#This Row],[Daily_Electricity]] + Daily_Data[[#This Row],[Daily Maintenance]]</f>
        <v>17146.244014466545</v>
      </c>
      <c r="Q33" s="10">
        <f>Daily_Data[[#This Row],[Total_Sales]]-Daily_Data[[#This Row],[Total_Daily_Expense]]</f>
        <v>5137.7559855334548</v>
      </c>
      <c r="R33" s="10">
        <f>Daily_Data[[#This Row],[Total_Sales]]/Daily_Data[[#This Row],[Rooms_Occupied]]</f>
        <v>1857</v>
      </c>
      <c r="S33" s="10">
        <f>Daily_Data[[#This Row],[Total_Sales]] / Daily_Data[[#This Row],[Max_rooms]]</f>
        <v>1591.7142857142858</v>
      </c>
    </row>
    <row r="34" spans="1:19" x14ac:dyDescent="0.25">
      <c r="A34" s="6">
        <v>44959</v>
      </c>
      <c r="B34" s="20">
        <f>DATE(YEAR(Daily_Data[[#This Row],[Date]]), MONTH(Daily_Data[[#This Row],[Date]]), 1)</f>
        <v>44958</v>
      </c>
      <c r="C34" s="20" t="str">
        <f>TEXT(Daily_Data[[#This Row],[Month_key]],"mmmm")</f>
        <v>February</v>
      </c>
      <c r="D34" s="20" t="str">
        <f>TEXT(Daily_Data[[#This Row],[Month_key]],"yyyy")</f>
        <v>2023</v>
      </c>
      <c r="E34" s="7">
        <v>8</v>
      </c>
      <c r="F34" s="7">
        <v>14</v>
      </c>
      <c r="G34" s="8">
        <f>Daily_Data[[#This Row],[Rooms_Occupied]]/F34</f>
        <v>0.5714285714285714</v>
      </c>
      <c r="H34" s="7">
        <v>1327</v>
      </c>
      <c r="I34" s="7">
        <f>Daily_Data[[#This Row],[Room_rate]]*Daily_Data[[#This Row],[Rooms_Occupied]]</f>
        <v>10616</v>
      </c>
      <c r="J34" s="10">
        <f>Daily_Data[[#This Row],[Total_Sales]] * 0.22</f>
        <v>2335.52</v>
      </c>
      <c r="K34" s="10">
        <f>INDEX(Expense_master[Monthly_Rent],MATCH(Daily_Data[[#This Row],[Month_key]],Expense_master[Month_Key],0)) / INDEX(Expense_master[Days_in_Month],MATCH(Daily_Data[[#This Row],[Month_key]],Expense_master[Month_Key],0))</f>
        <v>6785.7142857142853</v>
      </c>
      <c r="L34" s="10">
        <f>SUMIFS(Expense_master[Staff_Salary],Expense_master[Month_Key],Daily_Data[[#This Row],[Month_key]]) / SUMIFS(Expense_master[Days_in_Month],Expense_master[Month_Key],Daily_Data[[#This Row],[Month_key]])</f>
        <v>2500</v>
      </c>
      <c r="M34" s="10">
        <f>Daily_Data[[#This Row],[Rooms_Occupied]] * (SUMIFS(Expense_master[Housekeeping_Laundy],Expense_master[Month_Key],Daily_Data[[#This Row],[Month_key]]) / SUMIFS(Occupancy_table[Monthly_rooms_Occupied],Occupancy_table[Month_Key],Daily_Data[[#This Row],[Month_key]]))</f>
        <v>253.16455696202533</v>
      </c>
      <c r="N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1482.1209764918626</v>
      </c>
      <c r="O34" s="10">
        <f>SUMIFS(Expense_master[Monthly_Maintenance],Expense_master[Month_Key],Daily_Data[[#This Row],[Month_key]]) / SUMIFS(Expense_master[Days_in_Month],Expense_master[Month_Key], Daily_Data[[#This Row],[Month_key]])</f>
        <v>714.28571428571433</v>
      </c>
      <c r="P34" s="10">
        <f xml:space="preserve"> Daily_Data[[#This Row],[OTA Commision]] + Daily_Data[[#This Row],[Daily_Rent]]+Daily_Data[[#This Row],[Daily_Staff]]+Daily_Data[[#This Row],[Daily_HK]]+Daily_Data[[#This Row],[Daily_Electricity]] + Daily_Data[[#This Row],[Daily Maintenance]]</f>
        <v>14070.805533453886</v>
      </c>
      <c r="Q34" s="10">
        <f>Daily_Data[[#This Row],[Total_Sales]]-Daily_Data[[#This Row],[Total_Daily_Expense]]</f>
        <v>-3454.8055334538858</v>
      </c>
      <c r="R34" s="10">
        <f>Daily_Data[[#This Row],[Total_Sales]]/Daily_Data[[#This Row],[Rooms_Occupied]]</f>
        <v>1327</v>
      </c>
      <c r="S34" s="10">
        <f>Daily_Data[[#This Row],[Total_Sales]] / Daily_Data[[#This Row],[Max_rooms]]</f>
        <v>758.28571428571433</v>
      </c>
    </row>
    <row r="35" spans="1:19" x14ac:dyDescent="0.25">
      <c r="A35" s="6">
        <v>44960</v>
      </c>
      <c r="B35" s="20">
        <f>DATE(YEAR(Daily_Data[[#This Row],[Date]]), MONTH(Daily_Data[[#This Row],[Date]]), 1)</f>
        <v>44958</v>
      </c>
      <c r="C35" s="20" t="str">
        <f>TEXT(Daily_Data[[#This Row],[Month_key]],"mmmm")</f>
        <v>February</v>
      </c>
      <c r="D35" s="20" t="str">
        <f>TEXT(Daily_Data[[#This Row],[Month_key]],"yyyy")</f>
        <v>2023</v>
      </c>
      <c r="E35" s="7">
        <v>13</v>
      </c>
      <c r="F35" s="7">
        <v>14</v>
      </c>
      <c r="G35" s="8">
        <f>Daily_Data[[#This Row],[Rooms_Occupied]]/F35</f>
        <v>0.9285714285714286</v>
      </c>
      <c r="H35" s="7">
        <v>1643</v>
      </c>
      <c r="I35" s="7">
        <f>Daily_Data[[#This Row],[Room_rate]]*Daily_Data[[#This Row],[Rooms_Occupied]]</f>
        <v>21359</v>
      </c>
      <c r="J35" s="10">
        <f>Daily_Data[[#This Row],[Total_Sales]] * 0.22</f>
        <v>4698.9800000000005</v>
      </c>
      <c r="K35" s="10">
        <f>INDEX(Expense_master[Monthly_Rent],MATCH(Daily_Data[[#This Row],[Month_key]],Expense_master[Month_Key],0)) / INDEX(Expense_master[Days_in_Month],MATCH(Daily_Data[[#This Row],[Month_key]],Expense_master[Month_Key],0))</f>
        <v>6785.7142857142853</v>
      </c>
      <c r="L35" s="10">
        <f>SUMIFS(Expense_master[Staff_Salary],Expense_master[Month_Key],Daily_Data[[#This Row],[Month_key]]) / SUMIFS(Expense_master[Days_in_Month],Expense_master[Month_Key],Daily_Data[[#This Row],[Month_key]])</f>
        <v>2500</v>
      </c>
      <c r="M35" s="10">
        <f>Daily_Data[[#This Row],[Rooms_Occupied]] * (SUMIFS(Expense_master[Housekeeping_Laundy],Expense_master[Month_Key],Daily_Data[[#This Row],[Month_key]]) / SUMIFS(Occupancy_table[Monthly_rooms_Occupied],Occupancy_table[Month_Key],Daily_Data[[#This Row],[Month_key]]))</f>
        <v>411.39240506329116</v>
      </c>
      <c r="N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1959.4912296564194</v>
      </c>
      <c r="O35" s="10">
        <f>SUMIFS(Expense_master[Monthly_Maintenance],Expense_master[Month_Key],Daily_Data[[#This Row],[Month_key]]) / SUMIFS(Expense_master[Days_in_Month],Expense_master[Month_Key], Daily_Data[[#This Row],[Month_key]])</f>
        <v>714.28571428571433</v>
      </c>
      <c r="P35" s="10">
        <f xml:space="preserve"> Daily_Data[[#This Row],[OTA Commision]] + Daily_Data[[#This Row],[Daily_Rent]]+Daily_Data[[#This Row],[Daily_Staff]]+Daily_Data[[#This Row],[Daily_HK]]+Daily_Data[[#This Row],[Daily_Electricity]] + Daily_Data[[#This Row],[Daily Maintenance]]</f>
        <v>17069.86363471971</v>
      </c>
      <c r="Q35" s="10">
        <f>Daily_Data[[#This Row],[Total_Sales]]-Daily_Data[[#This Row],[Total_Daily_Expense]]</f>
        <v>4289.1363652802902</v>
      </c>
      <c r="R35" s="10">
        <f>Daily_Data[[#This Row],[Total_Sales]]/Daily_Data[[#This Row],[Rooms_Occupied]]</f>
        <v>1643</v>
      </c>
      <c r="S35" s="10">
        <f>Daily_Data[[#This Row],[Total_Sales]] / Daily_Data[[#This Row],[Max_rooms]]</f>
        <v>1525.6428571428571</v>
      </c>
    </row>
    <row r="36" spans="1:19" x14ac:dyDescent="0.25">
      <c r="A36" s="6">
        <v>44961</v>
      </c>
      <c r="B36" s="20">
        <f>DATE(YEAR(Daily_Data[[#This Row],[Date]]), MONTH(Daily_Data[[#This Row],[Date]]), 1)</f>
        <v>44958</v>
      </c>
      <c r="C36" s="20" t="str">
        <f>TEXT(Daily_Data[[#This Row],[Month_key]],"mmmm")</f>
        <v>February</v>
      </c>
      <c r="D36" s="20" t="str">
        <f>TEXT(Daily_Data[[#This Row],[Month_key]],"yyyy")</f>
        <v>2023</v>
      </c>
      <c r="E36" s="7">
        <v>12</v>
      </c>
      <c r="F36" s="7">
        <v>14</v>
      </c>
      <c r="G36" s="8">
        <f>Daily_Data[[#This Row],[Rooms_Occupied]]/F36</f>
        <v>0.8571428571428571</v>
      </c>
      <c r="H36" s="7">
        <v>1578</v>
      </c>
      <c r="I36" s="7">
        <f>Daily_Data[[#This Row],[Room_rate]]*Daily_Data[[#This Row],[Rooms_Occupied]]</f>
        <v>18936</v>
      </c>
      <c r="J36" s="10">
        <f>Daily_Data[[#This Row],[Total_Sales]] * 0.22</f>
        <v>4165.92</v>
      </c>
      <c r="K36" s="10">
        <f>INDEX(Expense_master[Monthly_Rent],MATCH(Daily_Data[[#This Row],[Month_key]],Expense_master[Month_Key],0)) / INDEX(Expense_master[Days_in_Month],MATCH(Daily_Data[[#This Row],[Month_key]],Expense_master[Month_Key],0))</f>
        <v>6785.7142857142853</v>
      </c>
      <c r="L36" s="10">
        <f>SUMIFS(Expense_master[Staff_Salary],Expense_master[Month_Key],Daily_Data[[#This Row],[Month_key]]) / SUMIFS(Expense_master[Days_in_Month],Expense_master[Month_Key],Daily_Data[[#This Row],[Month_key]])</f>
        <v>2500</v>
      </c>
      <c r="M36" s="10">
        <f>Daily_Data[[#This Row],[Rooms_Occupied]] * (SUMIFS(Expense_master[Housekeeping_Laundy],Expense_master[Month_Key],Daily_Data[[#This Row],[Month_key]]) / SUMIFS(Occupancy_table[Monthly_rooms_Occupied],Occupancy_table[Month_Key],Daily_Data[[#This Row],[Month_key]]))</f>
        <v>379.74683544303798</v>
      </c>
      <c r="N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36" s="10">
        <f>SUMIFS(Expense_master[Monthly_Maintenance],Expense_master[Month_Key],Daily_Data[[#This Row],[Month_key]]) / SUMIFS(Expense_master[Days_in_Month],Expense_master[Month_Key], Daily_Data[[#This Row],[Month_key]])</f>
        <v>714.28571428571433</v>
      </c>
      <c r="P36" s="10">
        <f xml:space="preserve"> Daily_Data[[#This Row],[OTA Commision]] + Daily_Data[[#This Row],[Daily_Rent]]+Daily_Data[[#This Row],[Daily_Staff]]+Daily_Data[[#This Row],[Daily_HK]]+Daily_Data[[#This Row],[Daily_Electricity]] + Daily_Data[[#This Row],[Daily Maintenance]]</f>
        <v>16409.684014466544</v>
      </c>
      <c r="Q36" s="10">
        <f>Daily_Data[[#This Row],[Total_Sales]]-Daily_Data[[#This Row],[Total_Daily_Expense]]</f>
        <v>2526.3159855334561</v>
      </c>
      <c r="R36" s="10">
        <f>Daily_Data[[#This Row],[Total_Sales]]/Daily_Data[[#This Row],[Rooms_Occupied]]</f>
        <v>1578</v>
      </c>
      <c r="S36" s="10">
        <f>Daily_Data[[#This Row],[Total_Sales]] / Daily_Data[[#This Row],[Max_rooms]]</f>
        <v>1352.5714285714287</v>
      </c>
    </row>
    <row r="37" spans="1:19" x14ac:dyDescent="0.25">
      <c r="A37" s="6">
        <v>44962</v>
      </c>
      <c r="B37" s="20">
        <f>DATE(YEAR(Daily_Data[[#This Row],[Date]]), MONTH(Daily_Data[[#This Row],[Date]]), 1)</f>
        <v>44958</v>
      </c>
      <c r="C37" s="20" t="str">
        <f>TEXT(Daily_Data[[#This Row],[Month_key]],"mmmm")</f>
        <v>February</v>
      </c>
      <c r="D37" s="20" t="str">
        <f>TEXT(Daily_Data[[#This Row],[Month_key]],"yyyy")</f>
        <v>2023</v>
      </c>
      <c r="E37" s="7">
        <v>9</v>
      </c>
      <c r="F37" s="7">
        <v>14</v>
      </c>
      <c r="G37" s="8">
        <f>Daily_Data[[#This Row],[Rooms_Occupied]]/F37</f>
        <v>0.6428571428571429</v>
      </c>
      <c r="H37" s="7">
        <v>1192</v>
      </c>
      <c r="I37" s="7">
        <f>Daily_Data[[#This Row],[Room_rate]]*Daily_Data[[#This Row],[Rooms_Occupied]]</f>
        <v>10728</v>
      </c>
      <c r="J37" s="10">
        <f>Daily_Data[[#This Row],[Total_Sales]] * 0.22</f>
        <v>2360.16</v>
      </c>
      <c r="K37" s="10">
        <f>INDEX(Expense_master[Monthly_Rent],MATCH(Daily_Data[[#This Row],[Month_key]],Expense_master[Month_Key],0)) / INDEX(Expense_master[Days_in_Month],MATCH(Daily_Data[[#This Row],[Month_key]],Expense_master[Month_Key],0))</f>
        <v>6785.7142857142853</v>
      </c>
      <c r="L37" s="10">
        <f>SUMIFS(Expense_master[Staff_Salary],Expense_master[Month_Key],Daily_Data[[#This Row],[Month_key]]) / SUMIFS(Expense_master[Days_in_Month],Expense_master[Month_Key],Daily_Data[[#This Row],[Month_key]])</f>
        <v>2500</v>
      </c>
      <c r="M37" s="10">
        <f>Daily_Data[[#This Row],[Rooms_Occupied]] * (SUMIFS(Expense_master[Housekeeping_Laundy],Expense_master[Month_Key],Daily_Data[[#This Row],[Month_key]]) / SUMIFS(Occupancy_table[Monthly_rooms_Occupied],Occupancy_table[Month_Key],Daily_Data[[#This Row],[Month_key]]))</f>
        <v>284.81012658227849</v>
      </c>
      <c r="N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1577.5950271247739</v>
      </c>
      <c r="O37" s="10">
        <f>SUMIFS(Expense_master[Monthly_Maintenance],Expense_master[Month_Key],Daily_Data[[#This Row],[Month_key]]) / SUMIFS(Expense_master[Days_in_Month],Expense_master[Month_Key], Daily_Data[[#This Row],[Month_key]])</f>
        <v>714.28571428571433</v>
      </c>
      <c r="P37" s="10">
        <f xml:space="preserve"> Daily_Data[[#This Row],[OTA Commision]] + Daily_Data[[#This Row],[Daily_Rent]]+Daily_Data[[#This Row],[Daily_Staff]]+Daily_Data[[#This Row],[Daily_HK]]+Daily_Data[[#This Row],[Daily_Electricity]] + Daily_Data[[#This Row],[Daily Maintenance]]</f>
        <v>14222.565153707052</v>
      </c>
      <c r="Q37" s="10">
        <f>Daily_Data[[#This Row],[Total_Sales]]-Daily_Data[[#This Row],[Total_Daily_Expense]]</f>
        <v>-3494.5651537070516</v>
      </c>
      <c r="R37" s="10">
        <f>Daily_Data[[#This Row],[Total_Sales]]/Daily_Data[[#This Row],[Rooms_Occupied]]</f>
        <v>1192</v>
      </c>
      <c r="S37" s="10">
        <f>Daily_Data[[#This Row],[Total_Sales]] / Daily_Data[[#This Row],[Max_rooms]]</f>
        <v>766.28571428571433</v>
      </c>
    </row>
    <row r="38" spans="1:19" x14ac:dyDescent="0.25">
      <c r="A38" s="6">
        <v>44963</v>
      </c>
      <c r="B38" s="20">
        <f>DATE(YEAR(Daily_Data[[#This Row],[Date]]), MONTH(Daily_Data[[#This Row],[Date]]), 1)</f>
        <v>44958</v>
      </c>
      <c r="C38" s="20" t="str">
        <f>TEXT(Daily_Data[[#This Row],[Month_key]],"mmmm")</f>
        <v>February</v>
      </c>
      <c r="D38" s="20" t="str">
        <f>TEXT(Daily_Data[[#This Row],[Month_key]],"yyyy")</f>
        <v>2023</v>
      </c>
      <c r="E38" s="7">
        <v>12</v>
      </c>
      <c r="F38" s="7">
        <v>14</v>
      </c>
      <c r="G38" s="8">
        <f>Daily_Data[[#This Row],[Rooms_Occupied]]/F38</f>
        <v>0.8571428571428571</v>
      </c>
      <c r="H38" s="7">
        <v>1121</v>
      </c>
      <c r="I38" s="7">
        <f>Daily_Data[[#This Row],[Room_rate]]*Daily_Data[[#This Row],[Rooms_Occupied]]</f>
        <v>13452</v>
      </c>
      <c r="J38" s="10">
        <f>Daily_Data[[#This Row],[Total_Sales]] * 0.22</f>
        <v>2959.44</v>
      </c>
      <c r="K38" s="10">
        <f>INDEX(Expense_master[Monthly_Rent],MATCH(Daily_Data[[#This Row],[Month_key]],Expense_master[Month_Key],0)) / INDEX(Expense_master[Days_in_Month],MATCH(Daily_Data[[#This Row],[Month_key]],Expense_master[Month_Key],0))</f>
        <v>6785.7142857142853</v>
      </c>
      <c r="L38" s="10">
        <f>SUMIFS(Expense_master[Staff_Salary],Expense_master[Month_Key],Daily_Data[[#This Row],[Month_key]]) / SUMIFS(Expense_master[Days_in_Month],Expense_master[Month_Key],Daily_Data[[#This Row],[Month_key]])</f>
        <v>2500</v>
      </c>
      <c r="M38" s="10">
        <f>Daily_Data[[#This Row],[Rooms_Occupied]] * (SUMIFS(Expense_master[Housekeeping_Laundy],Expense_master[Month_Key],Daily_Data[[#This Row],[Month_key]]) / SUMIFS(Occupancy_table[Monthly_rooms_Occupied],Occupancy_table[Month_Key],Daily_Data[[#This Row],[Month_key]]))</f>
        <v>379.74683544303798</v>
      </c>
      <c r="N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38" s="10">
        <f>SUMIFS(Expense_master[Monthly_Maintenance],Expense_master[Month_Key],Daily_Data[[#This Row],[Month_key]]) / SUMIFS(Expense_master[Days_in_Month],Expense_master[Month_Key], Daily_Data[[#This Row],[Month_key]])</f>
        <v>714.28571428571433</v>
      </c>
      <c r="P38" s="10">
        <f xml:space="preserve"> Daily_Data[[#This Row],[OTA Commision]] + Daily_Data[[#This Row],[Daily_Rent]]+Daily_Data[[#This Row],[Daily_Staff]]+Daily_Data[[#This Row],[Daily_HK]]+Daily_Data[[#This Row],[Daily_Electricity]] + Daily_Data[[#This Row],[Daily Maintenance]]</f>
        <v>15203.204014466544</v>
      </c>
      <c r="Q38" s="10">
        <f>Daily_Data[[#This Row],[Total_Sales]]-Daily_Data[[#This Row],[Total_Daily_Expense]]</f>
        <v>-1751.2040144665443</v>
      </c>
      <c r="R38" s="10">
        <f>Daily_Data[[#This Row],[Total_Sales]]/Daily_Data[[#This Row],[Rooms_Occupied]]</f>
        <v>1121</v>
      </c>
      <c r="S38" s="10">
        <f>Daily_Data[[#This Row],[Total_Sales]] / Daily_Data[[#This Row],[Max_rooms]]</f>
        <v>960.85714285714289</v>
      </c>
    </row>
    <row r="39" spans="1:19" x14ac:dyDescent="0.25">
      <c r="A39" s="6">
        <v>44964</v>
      </c>
      <c r="B39" s="20">
        <f>DATE(YEAR(Daily_Data[[#This Row],[Date]]), MONTH(Daily_Data[[#This Row],[Date]]), 1)</f>
        <v>44958</v>
      </c>
      <c r="C39" s="20" t="str">
        <f>TEXT(Daily_Data[[#This Row],[Month_key]],"mmmm")</f>
        <v>February</v>
      </c>
      <c r="D39" s="20" t="str">
        <f>TEXT(Daily_Data[[#This Row],[Month_key]],"yyyy")</f>
        <v>2023</v>
      </c>
      <c r="E39" s="7">
        <v>14</v>
      </c>
      <c r="F39" s="7">
        <v>14</v>
      </c>
      <c r="G39" s="8">
        <f>Daily_Data[[#This Row],[Rooms_Occupied]]/F39</f>
        <v>1</v>
      </c>
      <c r="H39" s="7">
        <v>1736</v>
      </c>
      <c r="I39" s="7">
        <f>Daily_Data[[#This Row],[Room_rate]]*Daily_Data[[#This Row],[Rooms_Occupied]]</f>
        <v>24304</v>
      </c>
      <c r="J39" s="10">
        <f>Daily_Data[[#This Row],[Total_Sales]] * 0.22</f>
        <v>5346.88</v>
      </c>
      <c r="K39" s="10">
        <f>INDEX(Expense_master[Monthly_Rent],MATCH(Daily_Data[[#This Row],[Month_key]],Expense_master[Month_Key],0)) / INDEX(Expense_master[Days_in_Month],MATCH(Daily_Data[[#This Row],[Month_key]],Expense_master[Month_Key],0))</f>
        <v>6785.7142857142853</v>
      </c>
      <c r="L39" s="10">
        <f>SUMIFS(Expense_master[Staff_Salary],Expense_master[Month_Key],Daily_Data[[#This Row],[Month_key]]) / SUMIFS(Expense_master[Days_in_Month],Expense_master[Month_Key],Daily_Data[[#This Row],[Month_key]])</f>
        <v>2500</v>
      </c>
      <c r="M39" s="10">
        <f>Daily_Data[[#This Row],[Rooms_Occupied]] * (SUMIFS(Expense_master[Housekeeping_Laundy],Expense_master[Month_Key],Daily_Data[[#This Row],[Month_key]]) / SUMIFS(Occupancy_table[Monthly_rooms_Occupied],Occupancy_table[Month_Key],Daily_Data[[#This Row],[Month_key]]))</f>
        <v>443.03797468354435</v>
      </c>
      <c r="N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2054.9652802893311</v>
      </c>
      <c r="O39" s="10">
        <f>SUMIFS(Expense_master[Monthly_Maintenance],Expense_master[Month_Key],Daily_Data[[#This Row],[Month_key]]) / SUMIFS(Expense_master[Days_in_Month],Expense_master[Month_Key], Daily_Data[[#This Row],[Month_key]])</f>
        <v>714.28571428571433</v>
      </c>
      <c r="P39" s="10">
        <f xml:space="preserve"> Daily_Data[[#This Row],[OTA Commision]] + Daily_Data[[#This Row],[Daily_Rent]]+Daily_Data[[#This Row],[Daily_Staff]]+Daily_Data[[#This Row],[Daily_HK]]+Daily_Data[[#This Row],[Daily_Electricity]] + Daily_Data[[#This Row],[Daily Maintenance]]</f>
        <v>17844.883254972876</v>
      </c>
      <c r="Q39" s="10">
        <f>Daily_Data[[#This Row],[Total_Sales]]-Daily_Data[[#This Row],[Total_Daily_Expense]]</f>
        <v>6459.1167450271241</v>
      </c>
      <c r="R39" s="10">
        <f>Daily_Data[[#This Row],[Total_Sales]]/Daily_Data[[#This Row],[Rooms_Occupied]]</f>
        <v>1736</v>
      </c>
      <c r="S39" s="10">
        <f>Daily_Data[[#This Row],[Total_Sales]] / Daily_Data[[#This Row],[Max_rooms]]</f>
        <v>1736</v>
      </c>
    </row>
    <row r="40" spans="1:19" x14ac:dyDescent="0.25">
      <c r="A40" s="6">
        <v>44965</v>
      </c>
      <c r="B40" s="20">
        <f>DATE(YEAR(Daily_Data[[#This Row],[Date]]), MONTH(Daily_Data[[#This Row],[Date]]), 1)</f>
        <v>44958</v>
      </c>
      <c r="C40" s="20" t="str">
        <f>TEXT(Daily_Data[[#This Row],[Month_key]],"mmmm")</f>
        <v>February</v>
      </c>
      <c r="D40" s="20" t="str">
        <f>TEXT(Daily_Data[[#This Row],[Month_key]],"yyyy")</f>
        <v>2023</v>
      </c>
      <c r="E40" s="7">
        <v>11</v>
      </c>
      <c r="F40" s="7">
        <v>14</v>
      </c>
      <c r="G40" s="8">
        <f>Daily_Data[[#This Row],[Rooms_Occupied]]/F40</f>
        <v>0.7857142857142857</v>
      </c>
      <c r="H40" s="7">
        <v>1391</v>
      </c>
      <c r="I40" s="7">
        <f>Daily_Data[[#This Row],[Room_rate]]*Daily_Data[[#This Row],[Rooms_Occupied]]</f>
        <v>15301</v>
      </c>
      <c r="J40" s="10">
        <f>Daily_Data[[#This Row],[Total_Sales]] * 0.22</f>
        <v>3366.22</v>
      </c>
      <c r="K40" s="10">
        <f>INDEX(Expense_master[Monthly_Rent],MATCH(Daily_Data[[#This Row],[Month_key]],Expense_master[Month_Key],0)) / INDEX(Expense_master[Days_in_Month],MATCH(Daily_Data[[#This Row],[Month_key]],Expense_master[Month_Key],0))</f>
        <v>6785.7142857142853</v>
      </c>
      <c r="L40" s="10">
        <f>SUMIFS(Expense_master[Staff_Salary],Expense_master[Month_Key],Daily_Data[[#This Row],[Month_key]]) / SUMIFS(Expense_master[Days_in_Month],Expense_master[Month_Key],Daily_Data[[#This Row],[Month_key]])</f>
        <v>2500</v>
      </c>
      <c r="M40" s="10">
        <f>Daily_Data[[#This Row],[Rooms_Occupied]] * (SUMIFS(Expense_master[Housekeeping_Laundy],Expense_master[Month_Key],Daily_Data[[#This Row],[Month_key]]) / SUMIFS(Occupancy_table[Monthly_rooms_Occupied],Occupancy_table[Month_Key],Daily_Data[[#This Row],[Month_key]]))</f>
        <v>348.10126582278485</v>
      </c>
      <c r="N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1768.5431283905968</v>
      </c>
      <c r="O40" s="10">
        <f>SUMIFS(Expense_master[Monthly_Maintenance],Expense_master[Month_Key],Daily_Data[[#This Row],[Month_key]]) / SUMIFS(Expense_master[Days_in_Month],Expense_master[Month_Key], Daily_Data[[#This Row],[Month_key]])</f>
        <v>714.28571428571433</v>
      </c>
      <c r="P40" s="10">
        <f xml:space="preserve"> Daily_Data[[#This Row],[OTA Commision]] + Daily_Data[[#This Row],[Daily_Rent]]+Daily_Data[[#This Row],[Daily_Staff]]+Daily_Data[[#This Row],[Daily_HK]]+Daily_Data[[#This Row],[Daily_Electricity]] + Daily_Data[[#This Row],[Daily Maintenance]]</f>
        <v>15482.86439421338</v>
      </c>
      <c r="Q40" s="10">
        <f>Daily_Data[[#This Row],[Total_Sales]]-Daily_Data[[#This Row],[Total_Daily_Expense]]</f>
        <v>-181.86439421338036</v>
      </c>
      <c r="R40" s="10">
        <f>Daily_Data[[#This Row],[Total_Sales]]/Daily_Data[[#This Row],[Rooms_Occupied]]</f>
        <v>1391</v>
      </c>
      <c r="S40" s="10">
        <f>Daily_Data[[#This Row],[Total_Sales]] / Daily_Data[[#This Row],[Max_rooms]]</f>
        <v>1092.9285714285713</v>
      </c>
    </row>
    <row r="41" spans="1:19" x14ac:dyDescent="0.25">
      <c r="A41" s="6">
        <v>44966</v>
      </c>
      <c r="B41" s="20">
        <f>DATE(YEAR(Daily_Data[[#This Row],[Date]]), MONTH(Daily_Data[[#This Row],[Date]]), 1)</f>
        <v>44958</v>
      </c>
      <c r="C41" s="20" t="str">
        <f>TEXT(Daily_Data[[#This Row],[Month_key]],"mmmm")</f>
        <v>February</v>
      </c>
      <c r="D41" s="20" t="str">
        <f>TEXT(Daily_Data[[#This Row],[Month_key]],"yyyy")</f>
        <v>2023</v>
      </c>
      <c r="E41" s="7">
        <v>9</v>
      </c>
      <c r="F41" s="7">
        <v>14</v>
      </c>
      <c r="G41" s="8">
        <f>Daily_Data[[#This Row],[Rooms_Occupied]]/F41</f>
        <v>0.6428571428571429</v>
      </c>
      <c r="H41" s="7">
        <v>1608</v>
      </c>
      <c r="I41" s="7">
        <f>Daily_Data[[#This Row],[Room_rate]]*Daily_Data[[#This Row],[Rooms_Occupied]]</f>
        <v>14472</v>
      </c>
      <c r="J41" s="10">
        <f>Daily_Data[[#This Row],[Total_Sales]] * 0.22</f>
        <v>3183.84</v>
      </c>
      <c r="K41" s="10">
        <f>INDEX(Expense_master[Monthly_Rent],MATCH(Daily_Data[[#This Row],[Month_key]],Expense_master[Month_Key],0)) / INDEX(Expense_master[Days_in_Month],MATCH(Daily_Data[[#This Row],[Month_key]],Expense_master[Month_Key],0))</f>
        <v>6785.7142857142853</v>
      </c>
      <c r="L41" s="10">
        <f>SUMIFS(Expense_master[Staff_Salary],Expense_master[Month_Key],Daily_Data[[#This Row],[Month_key]]) / SUMIFS(Expense_master[Days_in_Month],Expense_master[Month_Key],Daily_Data[[#This Row],[Month_key]])</f>
        <v>2500</v>
      </c>
      <c r="M41" s="10">
        <f>Daily_Data[[#This Row],[Rooms_Occupied]] * (SUMIFS(Expense_master[Housekeeping_Laundy],Expense_master[Month_Key],Daily_Data[[#This Row],[Month_key]]) / SUMIFS(Occupancy_table[Monthly_rooms_Occupied],Occupancy_table[Month_Key],Daily_Data[[#This Row],[Month_key]]))</f>
        <v>284.81012658227849</v>
      </c>
      <c r="N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1577.5950271247739</v>
      </c>
      <c r="O41" s="10">
        <f>SUMIFS(Expense_master[Monthly_Maintenance],Expense_master[Month_Key],Daily_Data[[#This Row],[Month_key]]) / SUMIFS(Expense_master[Days_in_Month],Expense_master[Month_Key], Daily_Data[[#This Row],[Month_key]])</f>
        <v>714.28571428571433</v>
      </c>
      <c r="P41" s="10">
        <f xml:space="preserve"> Daily_Data[[#This Row],[OTA Commision]] + Daily_Data[[#This Row],[Daily_Rent]]+Daily_Data[[#This Row],[Daily_Staff]]+Daily_Data[[#This Row],[Daily_HK]]+Daily_Data[[#This Row],[Daily_Electricity]] + Daily_Data[[#This Row],[Daily Maintenance]]</f>
        <v>15046.245153707052</v>
      </c>
      <c r="Q41" s="10">
        <f>Daily_Data[[#This Row],[Total_Sales]]-Daily_Data[[#This Row],[Total_Daily_Expense]]</f>
        <v>-574.24515370705194</v>
      </c>
      <c r="R41" s="10">
        <f>Daily_Data[[#This Row],[Total_Sales]]/Daily_Data[[#This Row],[Rooms_Occupied]]</f>
        <v>1608</v>
      </c>
      <c r="S41" s="10">
        <f>Daily_Data[[#This Row],[Total_Sales]] / Daily_Data[[#This Row],[Max_rooms]]</f>
        <v>1033.7142857142858</v>
      </c>
    </row>
    <row r="42" spans="1:19" x14ac:dyDescent="0.25">
      <c r="A42" s="6">
        <v>44967</v>
      </c>
      <c r="B42" s="20">
        <f>DATE(YEAR(Daily_Data[[#This Row],[Date]]), MONTH(Daily_Data[[#This Row],[Date]]), 1)</f>
        <v>44958</v>
      </c>
      <c r="C42" s="20" t="str">
        <f>TEXT(Daily_Data[[#This Row],[Month_key]],"mmmm")</f>
        <v>February</v>
      </c>
      <c r="D42" s="20" t="str">
        <f>TEXT(Daily_Data[[#This Row],[Month_key]],"yyyy")</f>
        <v>2023</v>
      </c>
      <c r="E42" s="7">
        <v>11</v>
      </c>
      <c r="F42" s="7">
        <v>14</v>
      </c>
      <c r="G42" s="8">
        <f>Daily_Data[[#This Row],[Rooms_Occupied]]/F42</f>
        <v>0.7857142857142857</v>
      </c>
      <c r="H42" s="7">
        <v>1415</v>
      </c>
      <c r="I42" s="7">
        <f>Daily_Data[[#This Row],[Room_rate]]*Daily_Data[[#This Row],[Rooms_Occupied]]</f>
        <v>15565</v>
      </c>
      <c r="J42" s="10">
        <f>Daily_Data[[#This Row],[Total_Sales]] * 0.22</f>
        <v>3424.3</v>
      </c>
      <c r="K42" s="10">
        <f>INDEX(Expense_master[Monthly_Rent],MATCH(Daily_Data[[#This Row],[Month_key]],Expense_master[Month_Key],0)) / INDEX(Expense_master[Days_in_Month],MATCH(Daily_Data[[#This Row],[Month_key]],Expense_master[Month_Key],0))</f>
        <v>6785.7142857142853</v>
      </c>
      <c r="L42" s="10">
        <f>SUMIFS(Expense_master[Staff_Salary],Expense_master[Month_Key],Daily_Data[[#This Row],[Month_key]]) / SUMIFS(Expense_master[Days_in_Month],Expense_master[Month_Key],Daily_Data[[#This Row],[Month_key]])</f>
        <v>2500</v>
      </c>
      <c r="M42" s="10">
        <f>Daily_Data[[#This Row],[Rooms_Occupied]] * (SUMIFS(Expense_master[Housekeeping_Laundy],Expense_master[Month_Key],Daily_Data[[#This Row],[Month_key]]) / SUMIFS(Occupancy_table[Monthly_rooms_Occupied],Occupancy_table[Month_Key],Daily_Data[[#This Row],[Month_key]]))</f>
        <v>348.10126582278485</v>
      </c>
      <c r="N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1768.5431283905968</v>
      </c>
      <c r="O42" s="10">
        <f>SUMIFS(Expense_master[Monthly_Maintenance],Expense_master[Month_Key],Daily_Data[[#This Row],[Month_key]]) / SUMIFS(Expense_master[Days_in_Month],Expense_master[Month_Key], Daily_Data[[#This Row],[Month_key]])</f>
        <v>714.28571428571433</v>
      </c>
      <c r="P42" s="10">
        <f xml:space="preserve"> Daily_Data[[#This Row],[OTA Commision]] + Daily_Data[[#This Row],[Daily_Rent]]+Daily_Data[[#This Row],[Daily_Staff]]+Daily_Data[[#This Row],[Daily_HK]]+Daily_Data[[#This Row],[Daily_Electricity]] + Daily_Data[[#This Row],[Daily Maintenance]]</f>
        <v>15540.94439421338</v>
      </c>
      <c r="Q42" s="10">
        <f>Daily_Data[[#This Row],[Total_Sales]]-Daily_Data[[#This Row],[Total_Daily_Expense]]</f>
        <v>24.055605786619708</v>
      </c>
      <c r="R42" s="10">
        <f>Daily_Data[[#This Row],[Total_Sales]]/Daily_Data[[#This Row],[Rooms_Occupied]]</f>
        <v>1415</v>
      </c>
      <c r="S42" s="10">
        <f>Daily_Data[[#This Row],[Total_Sales]] / Daily_Data[[#This Row],[Max_rooms]]</f>
        <v>1111.7857142857142</v>
      </c>
    </row>
    <row r="43" spans="1:19" x14ac:dyDescent="0.25">
      <c r="A43" s="6">
        <v>44968</v>
      </c>
      <c r="B43" s="20">
        <f>DATE(YEAR(Daily_Data[[#This Row],[Date]]), MONTH(Daily_Data[[#This Row],[Date]]), 1)</f>
        <v>44958</v>
      </c>
      <c r="C43" s="20" t="str">
        <f>TEXT(Daily_Data[[#This Row],[Month_key]],"mmmm")</f>
        <v>February</v>
      </c>
      <c r="D43" s="20" t="str">
        <f>TEXT(Daily_Data[[#This Row],[Month_key]],"yyyy")</f>
        <v>2023</v>
      </c>
      <c r="E43" s="7">
        <v>12</v>
      </c>
      <c r="F43" s="7">
        <v>14</v>
      </c>
      <c r="G43" s="8">
        <f>Daily_Data[[#This Row],[Rooms_Occupied]]/F43</f>
        <v>0.8571428571428571</v>
      </c>
      <c r="H43" s="7">
        <v>1540</v>
      </c>
      <c r="I43" s="7">
        <f>Daily_Data[[#This Row],[Room_rate]]*Daily_Data[[#This Row],[Rooms_Occupied]]</f>
        <v>18480</v>
      </c>
      <c r="J43" s="10">
        <f>Daily_Data[[#This Row],[Total_Sales]] * 0.22</f>
        <v>4065.6</v>
      </c>
      <c r="K43" s="10">
        <f>INDEX(Expense_master[Monthly_Rent],MATCH(Daily_Data[[#This Row],[Month_key]],Expense_master[Month_Key],0)) / INDEX(Expense_master[Days_in_Month],MATCH(Daily_Data[[#This Row],[Month_key]],Expense_master[Month_Key],0))</f>
        <v>6785.7142857142853</v>
      </c>
      <c r="L43" s="10">
        <f>SUMIFS(Expense_master[Staff_Salary],Expense_master[Month_Key],Daily_Data[[#This Row],[Month_key]]) / SUMIFS(Expense_master[Days_in_Month],Expense_master[Month_Key],Daily_Data[[#This Row],[Month_key]])</f>
        <v>2500</v>
      </c>
      <c r="M43" s="10">
        <f>Daily_Data[[#This Row],[Rooms_Occupied]] * (SUMIFS(Expense_master[Housekeeping_Laundy],Expense_master[Month_Key],Daily_Data[[#This Row],[Month_key]]) / SUMIFS(Occupancy_table[Monthly_rooms_Occupied],Occupancy_table[Month_Key],Daily_Data[[#This Row],[Month_key]]))</f>
        <v>379.74683544303798</v>
      </c>
      <c r="N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43" s="10">
        <f>SUMIFS(Expense_master[Monthly_Maintenance],Expense_master[Month_Key],Daily_Data[[#This Row],[Month_key]]) / SUMIFS(Expense_master[Days_in_Month],Expense_master[Month_Key], Daily_Data[[#This Row],[Month_key]])</f>
        <v>714.28571428571433</v>
      </c>
      <c r="P43" s="10">
        <f xml:space="preserve"> Daily_Data[[#This Row],[OTA Commision]] + Daily_Data[[#This Row],[Daily_Rent]]+Daily_Data[[#This Row],[Daily_Staff]]+Daily_Data[[#This Row],[Daily_HK]]+Daily_Data[[#This Row],[Daily_Electricity]] + Daily_Data[[#This Row],[Daily Maintenance]]</f>
        <v>16309.364014466544</v>
      </c>
      <c r="Q43" s="10">
        <f>Daily_Data[[#This Row],[Total_Sales]]-Daily_Data[[#This Row],[Total_Daily_Expense]]</f>
        <v>2170.6359855334558</v>
      </c>
      <c r="R43" s="10">
        <f>Daily_Data[[#This Row],[Total_Sales]]/Daily_Data[[#This Row],[Rooms_Occupied]]</f>
        <v>1540</v>
      </c>
      <c r="S43" s="10">
        <f>Daily_Data[[#This Row],[Total_Sales]] / Daily_Data[[#This Row],[Max_rooms]]</f>
        <v>1320</v>
      </c>
    </row>
    <row r="44" spans="1:19" x14ac:dyDescent="0.25">
      <c r="A44" s="6">
        <v>44969</v>
      </c>
      <c r="B44" s="20">
        <f>DATE(YEAR(Daily_Data[[#This Row],[Date]]), MONTH(Daily_Data[[#This Row],[Date]]), 1)</f>
        <v>44958</v>
      </c>
      <c r="C44" s="20" t="str">
        <f>TEXT(Daily_Data[[#This Row],[Month_key]],"mmmm")</f>
        <v>February</v>
      </c>
      <c r="D44" s="20" t="str">
        <f>TEXT(Daily_Data[[#This Row],[Month_key]],"yyyy")</f>
        <v>2023</v>
      </c>
      <c r="E44" s="7">
        <v>8</v>
      </c>
      <c r="F44" s="7">
        <v>14</v>
      </c>
      <c r="G44" s="8">
        <f>Daily_Data[[#This Row],[Rooms_Occupied]]/F44</f>
        <v>0.5714285714285714</v>
      </c>
      <c r="H44" s="7">
        <v>1879</v>
      </c>
      <c r="I44" s="7">
        <f>Daily_Data[[#This Row],[Room_rate]]*Daily_Data[[#This Row],[Rooms_Occupied]]</f>
        <v>15032</v>
      </c>
      <c r="J44" s="10">
        <f>Daily_Data[[#This Row],[Total_Sales]] * 0.22</f>
        <v>3307.04</v>
      </c>
      <c r="K44" s="10">
        <f>INDEX(Expense_master[Monthly_Rent],MATCH(Daily_Data[[#This Row],[Month_key]],Expense_master[Month_Key],0)) / INDEX(Expense_master[Days_in_Month],MATCH(Daily_Data[[#This Row],[Month_key]],Expense_master[Month_Key],0))</f>
        <v>6785.7142857142853</v>
      </c>
      <c r="L44" s="10">
        <f>SUMIFS(Expense_master[Staff_Salary],Expense_master[Month_Key],Daily_Data[[#This Row],[Month_key]]) / SUMIFS(Expense_master[Days_in_Month],Expense_master[Month_Key],Daily_Data[[#This Row],[Month_key]])</f>
        <v>2500</v>
      </c>
      <c r="M44" s="10">
        <f>Daily_Data[[#This Row],[Rooms_Occupied]] * (SUMIFS(Expense_master[Housekeeping_Laundy],Expense_master[Month_Key],Daily_Data[[#This Row],[Month_key]]) / SUMIFS(Occupancy_table[Monthly_rooms_Occupied],Occupancy_table[Month_Key],Daily_Data[[#This Row],[Month_key]]))</f>
        <v>253.16455696202533</v>
      </c>
      <c r="N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1482.1209764918626</v>
      </c>
      <c r="O44" s="10">
        <f>SUMIFS(Expense_master[Monthly_Maintenance],Expense_master[Month_Key],Daily_Data[[#This Row],[Month_key]]) / SUMIFS(Expense_master[Days_in_Month],Expense_master[Month_Key], Daily_Data[[#This Row],[Month_key]])</f>
        <v>714.28571428571433</v>
      </c>
      <c r="P44" s="10">
        <f xml:space="preserve"> Daily_Data[[#This Row],[OTA Commision]] + Daily_Data[[#This Row],[Daily_Rent]]+Daily_Data[[#This Row],[Daily_Staff]]+Daily_Data[[#This Row],[Daily_HK]]+Daily_Data[[#This Row],[Daily_Electricity]] + Daily_Data[[#This Row],[Daily Maintenance]]</f>
        <v>15042.325533453886</v>
      </c>
      <c r="Q44" s="10">
        <f>Daily_Data[[#This Row],[Total_Sales]]-Daily_Data[[#This Row],[Total_Daily_Expense]]</f>
        <v>-10.325533453886237</v>
      </c>
      <c r="R44" s="10">
        <f>Daily_Data[[#This Row],[Total_Sales]]/Daily_Data[[#This Row],[Rooms_Occupied]]</f>
        <v>1879</v>
      </c>
      <c r="S44" s="10">
        <f>Daily_Data[[#This Row],[Total_Sales]] / Daily_Data[[#This Row],[Max_rooms]]</f>
        <v>1073.7142857142858</v>
      </c>
    </row>
    <row r="45" spans="1:19" x14ac:dyDescent="0.25">
      <c r="A45" s="6">
        <v>44970</v>
      </c>
      <c r="B45" s="20">
        <f>DATE(YEAR(Daily_Data[[#This Row],[Date]]), MONTH(Daily_Data[[#This Row],[Date]]), 1)</f>
        <v>44958</v>
      </c>
      <c r="C45" s="20" t="str">
        <f>TEXT(Daily_Data[[#This Row],[Month_key]],"mmmm")</f>
        <v>February</v>
      </c>
      <c r="D45" s="20" t="str">
        <f>TEXT(Daily_Data[[#This Row],[Month_key]],"yyyy")</f>
        <v>2023</v>
      </c>
      <c r="E45" s="7">
        <v>12</v>
      </c>
      <c r="F45" s="7">
        <v>14</v>
      </c>
      <c r="G45" s="8">
        <f>Daily_Data[[#This Row],[Rooms_Occupied]]/F45</f>
        <v>0.8571428571428571</v>
      </c>
      <c r="H45" s="7">
        <v>1949</v>
      </c>
      <c r="I45" s="7">
        <f>Daily_Data[[#This Row],[Room_rate]]*Daily_Data[[#This Row],[Rooms_Occupied]]</f>
        <v>23388</v>
      </c>
      <c r="J45" s="10">
        <f>Daily_Data[[#This Row],[Total_Sales]] * 0.22</f>
        <v>5145.3599999999997</v>
      </c>
      <c r="K45" s="10">
        <f>INDEX(Expense_master[Monthly_Rent],MATCH(Daily_Data[[#This Row],[Month_key]],Expense_master[Month_Key],0)) / INDEX(Expense_master[Days_in_Month],MATCH(Daily_Data[[#This Row],[Month_key]],Expense_master[Month_Key],0))</f>
        <v>6785.7142857142853</v>
      </c>
      <c r="L45" s="10">
        <f>SUMIFS(Expense_master[Staff_Salary],Expense_master[Month_Key],Daily_Data[[#This Row],[Month_key]]) / SUMIFS(Expense_master[Days_in_Month],Expense_master[Month_Key],Daily_Data[[#This Row],[Month_key]])</f>
        <v>2500</v>
      </c>
      <c r="M45" s="10">
        <f>Daily_Data[[#This Row],[Rooms_Occupied]] * (SUMIFS(Expense_master[Housekeeping_Laundy],Expense_master[Month_Key],Daily_Data[[#This Row],[Month_key]]) / SUMIFS(Occupancy_table[Monthly_rooms_Occupied],Occupancy_table[Month_Key],Daily_Data[[#This Row],[Month_key]]))</f>
        <v>379.74683544303798</v>
      </c>
      <c r="N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45" s="10">
        <f>SUMIFS(Expense_master[Monthly_Maintenance],Expense_master[Month_Key],Daily_Data[[#This Row],[Month_key]]) / SUMIFS(Expense_master[Days_in_Month],Expense_master[Month_Key], Daily_Data[[#This Row],[Month_key]])</f>
        <v>714.28571428571433</v>
      </c>
      <c r="P45" s="10">
        <f xml:space="preserve"> Daily_Data[[#This Row],[OTA Commision]] + Daily_Data[[#This Row],[Daily_Rent]]+Daily_Data[[#This Row],[Daily_Staff]]+Daily_Data[[#This Row],[Daily_HK]]+Daily_Data[[#This Row],[Daily_Electricity]] + Daily_Data[[#This Row],[Daily Maintenance]]</f>
        <v>17389.124014466546</v>
      </c>
      <c r="Q45" s="10">
        <f>Daily_Data[[#This Row],[Total_Sales]]-Daily_Data[[#This Row],[Total_Daily_Expense]]</f>
        <v>5998.8759855334538</v>
      </c>
      <c r="R45" s="10">
        <f>Daily_Data[[#This Row],[Total_Sales]]/Daily_Data[[#This Row],[Rooms_Occupied]]</f>
        <v>1949</v>
      </c>
      <c r="S45" s="10">
        <f>Daily_Data[[#This Row],[Total_Sales]] / Daily_Data[[#This Row],[Max_rooms]]</f>
        <v>1670.5714285714287</v>
      </c>
    </row>
    <row r="46" spans="1:19" x14ac:dyDescent="0.25">
      <c r="A46" s="6">
        <v>44971</v>
      </c>
      <c r="B46" s="20">
        <f>DATE(YEAR(Daily_Data[[#This Row],[Date]]), MONTH(Daily_Data[[#This Row],[Date]]), 1)</f>
        <v>44958</v>
      </c>
      <c r="C46" s="20" t="str">
        <f>TEXT(Daily_Data[[#This Row],[Month_key]],"mmmm")</f>
        <v>February</v>
      </c>
      <c r="D46" s="20" t="str">
        <f>TEXT(Daily_Data[[#This Row],[Month_key]],"yyyy")</f>
        <v>2023</v>
      </c>
      <c r="E46" s="7">
        <v>9</v>
      </c>
      <c r="F46" s="7">
        <v>14</v>
      </c>
      <c r="G46" s="8">
        <f>Daily_Data[[#This Row],[Rooms_Occupied]]/F46</f>
        <v>0.6428571428571429</v>
      </c>
      <c r="H46" s="7">
        <v>1780</v>
      </c>
      <c r="I46" s="7">
        <f>Daily_Data[[#This Row],[Room_rate]]*Daily_Data[[#This Row],[Rooms_Occupied]]</f>
        <v>16020</v>
      </c>
      <c r="J46" s="10">
        <f>Daily_Data[[#This Row],[Total_Sales]] * 0.22</f>
        <v>3524.4</v>
      </c>
      <c r="K46" s="10">
        <f>INDEX(Expense_master[Monthly_Rent],MATCH(Daily_Data[[#This Row],[Month_key]],Expense_master[Month_Key],0)) / INDEX(Expense_master[Days_in_Month],MATCH(Daily_Data[[#This Row],[Month_key]],Expense_master[Month_Key],0))</f>
        <v>6785.7142857142853</v>
      </c>
      <c r="L46" s="10">
        <f>SUMIFS(Expense_master[Staff_Salary],Expense_master[Month_Key],Daily_Data[[#This Row],[Month_key]]) / SUMIFS(Expense_master[Days_in_Month],Expense_master[Month_Key],Daily_Data[[#This Row],[Month_key]])</f>
        <v>2500</v>
      </c>
      <c r="M46" s="10">
        <f>Daily_Data[[#This Row],[Rooms_Occupied]] * (SUMIFS(Expense_master[Housekeeping_Laundy],Expense_master[Month_Key],Daily_Data[[#This Row],[Month_key]]) / SUMIFS(Occupancy_table[Monthly_rooms_Occupied],Occupancy_table[Month_Key],Daily_Data[[#This Row],[Month_key]]))</f>
        <v>284.81012658227849</v>
      </c>
      <c r="N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1577.5950271247739</v>
      </c>
      <c r="O46" s="10">
        <f>SUMIFS(Expense_master[Monthly_Maintenance],Expense_master[Month_Key],Daily_Data[[#This Row],[Month_key]]) / SUMIFS(Expense_master[Days_in_Month],Expense_master[Month_Key], Daily_Data[[#This Row],[Month_key]])</f>
        <v>714.28571428571433</v>
      </c>
      <c r="P46" s="10">
        <f xml:space="preserve"> Daily_Data[[#This Row],[OTA Commision]] + Daily_Data[[#This Row],[Daily_Rent]]+Daily_Data[[#This Row],[Daily_Staff]]+Daily_Data[[#This Row],[Daily_HK]]+Daily_Data[[#This Row],[Daily_Electricity]] + Daily_Data[[#This Row],[Daily Maintenance]]</f>
        <v>15386.805153707053</v>
      </c>
      <c r="Q46" s="10">
        <f>Daily_Data[[#This Row],[Total_Sales]]-Daily_Data[[#This Row],[Total_Daily_Expense]]</f>
        <v>633.19484629294675</v>
      </c>
      <c r="R46" s="10">
        <f>Daily_Data[[#This Row],[Total_Sales]]/Daily_Data[[#This Row],[Rooms_Occupied]]</f>
        <v>1780</v>
      </c>
      <c r="S46" s="10">
        <f>Daily_Data[[#This Row],[Total_Sales]] / Daily_Data[[#This Row],[Max_rooms]]</f>
        <v>1144.2857142857142</v>
      </c>
    </row>
    <row r="47" spans="1:19" x14ac:dyDescent="0.25">
      <c r="A47" s="6">
        <v>44972</v>
      </c>
      <c r="B47" s="20">
        <f>DATE(YEAR(Daily_Data[[#This Row],[Date]]), MONTH(Daily_Data[[#This Row],[Date]]), 1)</f>
        <v>44958</v>
      </c>
      <c r="C47" s="20" t="str">
        <f>TEXT(Daily_Data[[#This Row],[Month_key]],"mmmm")</f>
        <v>February</v>
      </c>
      <c r="D47" s="20" t="str">
        <f>TEXT(Daily_Data[[#This Row],[Month_key]],"yyyy")</f>
        <v>2023</v>
      </c>
      <c r="E47" s="7">
        <v>14</v>
      </c>
      <c r="F47" s="7">
        <v>14</v>
      </c>
      <c r="G47" s="8">
        <f>Daily_Data[[#This Row],[Rooms_Occupied]]/F47</f>
        <v>1</v>
      </c>
      <c r="H47" s="7">
        <v>1876</v>
      </c>
      <c r="I47" s="7">
        <f>Daily_Data[[#This Row],[Room_rate]]*Daily_Data[[#This Row],[Rooms_Occupied]]</f>
        <v>26264</v>
      </c>
      <c r="J47" s="10">
        <f>Daily_Data[[#This Row],[Total_Sales]] * 0.22</f>
        <v>5778.08</v>
      </c>
      <c r="K47" s="10">
        <f>INDEX(Expense_master[Monthly_Rent],MATCH(Daily_Data[[#This Row],[Month_key]],Expense_master[Month_Key],0)) / INDEX(Expense_master[Days_in_Month],MATCH(Daily_Data[[#This Row],[Month_key]],Expense_master[Month_Key],0))</f>
        <v>6785.7142857142853</v>
      </c>
      <c r="L47" s="10">
        <f>SUMIFS(Expense_master[Staff_Salary],Expense_master[Month_Key],Daily_Data[[#This Row],[Month_key]]) / SUMIFS(Expense_master[Days_in_Month],Expense_master[Month_Key],Daily_Data[[#This Row],[Month_key]])</f>
        <v>2500</v>
      </c>
      <c r="M47" s="10">
        <f>Daily_Data[[#This Row],[Rooms_Occupied]] * (SUMIFS(Expense_master[Housekeeping_Laundy],Expense_master[Month_Key],Daily_Data[[#This Row],[Month_key]]) / SUMIFS(Occupancy_table[Monthly_rooms_Occupied],Occupancy_table[Month_Key],Daily_Data[[#This Row],[Month_key]]))</f>
        <v>443.03797468354435</v>
      </c>
      <c r="N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2054.9652802893311</v>
      </c>
      <c r="O47" s="10">
        <f>SUMIFS(Expense_master[Monthly_Maintenance],Expense_master[Month_Key],Daily_Data[[#This Row],[Month_key]]) / SUMIFS(Expense_master[Days_in_Month],Expense_master[Month_Key], Daily_Data[[#This Row],[Month_key]])</f>
        <v>714.28571428571433</v>
      </c>
      <c r="P47" s="10">
        <f xml:space="preserve"> Daily_Data[[#This Row],[OTA Commision]] + Daily_Data[[#This Row],[Daily_Rent]]+Daily_Data[[#This Row],[Daily_Staff]]+Daily_Data[[#This Row],[Daily_HK]]+Daily_Data[[#This Row],[Daily_Electricity]] + Daily_Data[[#This Row],[Daily Maintenance]]</f>
        <v>18276.083254972873</v>
      </c>
      <c r="Q47" s="10">
        <f>Daily_Data[[#This Row],[Total_Sales]]-Daily_Data[[#This Row],[Total_Daily_Expense]]</f>
        <v>7987.916745027127</v>
      </c>
      <c r="R47" s="10">
        <f>Daily_Data[[#This Row],[Total_Sales]]/Daily_Data[[#This Row],[Rooms_Occupied]]</f>
        <v>1876</v>
      </c>
      <c r="S47" s="10">
        <f>Daily_Data[[#This Row],[Total_Sales]] / Daily_Data[[#This Row],[Max_rooms]]</f>
        <v>1876</v>
      </c>
    </row>
    <row r="48" spans="1:19" x14ac:dyDescent="0.25">
      <c r="A48" s="6">
        <v>44973</v>
      </c>
      <c r="B48" s="20">
        <f>DATE(YEAR(Daily_Data[[#This Row],[Date]]), MONTH(Daily_Data[[#This Row],[Date]]), 1)</f>
        <v>44958</v>
      </c>
      <c r="C48" s="20" t="str">
        <f>TEXT(Daily_Data[[#This Row],[Month_key]],"mmmm")</f>
        <v>February</v>
      </c>
      <c r="D48" s="20" t="str">
        <f>TEXT(Daily_Data[[#This Row],[Month_key]],"yyyy")</f>
        <v>2023</v>
      </c>
      <c r="E48" s="7">
        <v>13</v>
      </c>
      <c r="F48" s="7">
        <v>14</v>
      </c>
      <c r="G48" s="8">
        <f>Daily_Data[[#This Row],[Rooms_Occupied]]/F48</f>
        <v>0.9285714285714286</v>
      </c>
      <c r="H48" s="7">
        <v>1914</v>
      </c>
      <c r="I48" s="7">
        <f>Daily_Data[[#This Row],[Room_rate]]*Daily_Data[[#This Row],[Rooms_Occupied]]</f>
        <v>24882</v>
      </c>
      <c r="J48" s="10">
        <f>Daily_Data[[#This Row],[Total_Sales]] * 0.22</f>
        <v>5474.04</v>
      </c>
      <c r="K48" s="10">
        <f>INDEX(Expense_master[Monthly_Rent],MATCH(Daily_Data[[#This Row],[Month_key]],Expense_master[Month_Key],0)) / INDEX(Expense_master[Days_in_Month],MATCH(Daily_Data[[#This Row],[Month_key]],Expense_master[Month_Key],0))</f>
        <v>6785.7142857142853</v>
      </c>
      <c r="L48" s="10">
        <f>SUMIFS(Expense_master[Staff_Salary],Expense_master[Month_Key],Daily_Data[[#This Row],[Month_key]]) / SUMIFS(Expense_master[Days_in_Month],Expense_master[Month_Key],Daily_Data[[#This Row],[Month_key]])</f>
        <v>2500</v>
      </c>
      <c r="M48" s="10">
        <f>Daily_Data[[#This Row],[Rooms_Occupied]] * (SUMIFS(Expense_master[Housekeeping_Laundy],Expense_master[Month_Key],Daily_Data[[#This Row],[Month_key]]) / SUMIFS(Occupancy_table[Monthly_rooms_Occupied],Occupancy_table[Month_Key],Daily_Data[[#This Row],[Month_key]]))</f>
        <v>411.39240506329116</v>
      </c>
      <c r="N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1959.4912296564194</v>
      </c>
      <c r="O48" s="10">
        <f>SUMIFS(Expense_master[Monthly_Maintenance],Expense_master[Month_Key],Daily_Data[[#This Row],[Month_key]]) / SUMIFS(Expense_master[Days_in_Month],Expense_master[Month_Key], Daily_Data[[#This Row],[Month_key]])</f>
        <v>714.28571428571433</v>
      </c>
      <c r="P48" s="10">
        <f xml:space="preserve"> Daily_Data[[#This Row],[OTA Commision]] + Daily_Data[[#This Row],[Daily_Rent]]+Daily_Data[[#This Row],[Daily_Staff]]+Daily_Data[[#This Row],[Daily_HK]]+Daily_Data[[#This Row],[Daily_Electricity]] + Daily_Data[[#This Row],[Daily Maintenance]]</f>
        <v>17844.923634719707</v>
      </c>
      <c r="Q48" s="10">
        <f>Daily_Data[[#This Row],[Total_Sales]]-Daily_Data[[#This Row],[Total_Daily_Expense]]</f>
        <v>7037.0763652802925</v>
      </c>
      <c r="R48" s="10">
        <f>Daily_Data[[#This Row],[Total_Sales]]/Daily_Data[[#This Row],[Rooms_Occupied]]</f>
        <v>1914</v>
      </c>
      <c r="S48" s="10">
        <f>Daily_Data[[#This Row],[Total_Sales]] / Daily_Data[[#This Row],[Max_rooms]]</f>
        <v>1777.2857142857142</v>
      </c>
    </row>
    <row r="49" spans="1:19" x14ac:dyDescent="0.25">
      <c r="A49" s="6">
        <v>44974</v>
      </c>
      <c r="B49" s="20">
        <f>DATE(YEAR(Daily_Data[[#This Row],[Date]]), MONTH(Daily_Data[[#This Row],[Date]]), 1)</f>
        <v>44958</v>
      </c>
      <c r="C49" s="20" t="str">
        <f>TEXT(Daily_Data[[#This Row],[Month_key]],"mmmm")</f>
        <v>February</v>
      </c>
      <c r="D49" s="20" t="str">
        <f>TEXT(Daily_Data[[#This Row],[Month_key]],"yyyy")</f>
        <v>2023</v>
      </c>
      <c r="E49" s="7">
        <v>13</v>
      </c>
      <c r="F49" s="7">
        <v>14</v>
      </c>
      <c r="G49" s="8">
        <f>Daily_Data[[#This Row],[Rooms_Occupied]]/F49</f>
        <v>0.9285714285714286</v>
      </c>
      <c r="H49" s="7">
        <v>1287</v>
      </c>
      <c r="I49" s="7">
        <f>Daily_Data[[#This Row],[Room_rate]]*Daily_Data[[#This Row],[Rooms_Occupied]]</f>
        <v>16731</v>
      </c>
      <c r="J49" s="10">
        <f>Daily_Data[[#This Row],[Total_Sales]] * 0.22</f>
        <v>3680.82</v>
      </c>
      <c r="K49" s="10">
        <f>INDEX(Expense_master[Monthly_Rent],MATCH(Daily_Data[[#This Row],[Month_key]],Expense_master[Month_Key],0)) / INDEX(Expense_master[Days_in_Month],MATCH(Daily_Data[[#This Row],[Month_key]],Expense_master[Month_Key],0))</f>
        <v>6785.7142857142853</v>
      </c>
      <c r="L49" s="10">
        <f>SUMIFS(Expense_master[Staff_Salary],Expense_master[Month_Key],Daily_Data[[#This Row],[Month_key]]) / SUMIFS(Expense_master[Days_in_Month],Expense_master[Month_Key],Daily_Data[[#This Row],[Month_key]])</f>
        <v>2500</v>
      </c>
      <c r="M49" s="10">
        <f>Daily_Data[[#This Row],[Rooms_Occupied]] * (SUMIFS(Expense_master[Housekeeping_Laundy],Expense_master[Month_Key],Daily_Data[[#This Row],[Month_key]]) / SUMIFS(Occupancy_table[Monthly_rooms_Occupied],Occupancy_table[Month_Key],Daily_Data[[#This Row],[Month_key]]))</f>
        <v>411.39240506329116</v>
      </c>
      <c r="N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1959.4912296564194</v>
      </c>
      <c r="O49" s="10">
        <f>SUMIFS(Expense_master[Monthly_Maintenance],Expense_master[Month_Key],Daily_Data[[#This Row],[Month_key]]) / SUMIFS(Expense_master[Days_in_Month],Expense_master[Month_Key], Daily_Data[[#This Row],[Month_key]])</f>
        <v>714.28571428571433</v>
      </c>
      <c r="P49" s="10">
        <f xml:space="preserve"> Daily_Data[[#This Row],[OTA Commision]] + Daily_Data[[#This Row],[Daily_Rent]]+Daily_Data[[#This Row],[Daily_Staff]]+Daily_Data[[#This Row],[Daily_HK]]+Daily_Data[[#This Row],[Daily_Electricity]] + Daily_Data[[#This Row],[Daily Maintenance]]</f>
        <v>16051.70363471971</v>
      </c>
      <c r="Q49" s="10">
        <f>Daily_Data[[#This Row],[Total_Sales]]-Daily_Data[[#This Row],[Total_Daily_Expense]]</f>
        <v>679.29636528029005</v>
      </c>
      <c r="R49" s="10">
        <f>Daily_Data[[#This Row],[Total_Sales]]/Daily_Data[[#This Row],[Rooms_Occupied]]</f>
        <v>1287</v>
      </c>
      <c r="S49" s="10">
        <f>Daily_Data[[#This Row],[Total_Sales]] / Daily_Data[[#This Row],[Max_rooms]]</f>
        <v>1195.0714285714287</v>
      </c>
    </row>
    <row r="50" spans="1:19" x14ac:dyDescent="0.25">
      <c r="A50" s="6">
        <v>44975</v>
      </c>
      <c r="B50" s="20">
        <f>DATE(YEAR(Daily_Data[[#This Row],[Date]]), MONTH(Daily_Data[[#This Row],[Date]]), 1)</f>
        <v>44958</v>
      </c>
      <c r="C50" s="20" t="str">
        <f>TEXT(Daily_Data[[#This Row],[Month_key]],"mmmm")</f>
        <v>February</v>
      </c>
      <c r="D50" s="20" t="str">
        <f>TEXT(Daily_Data[[#This Row],[Month_key]],"yyyy")</f>
        <v>2023</v>
      </c>
      <c r="E50" s="7">
        <v>13</v>
      </c>
      <c r="F50" s="7">
        <v>14</v>
      </c>
      <c r="G50" s="8">
        <f>Daily_Data[[#This Row],[Rooms_Occupied]]/F50</f>
        <v>0.9285714285714286</v>
      </c>
      <c r="H50" s="7">
        <v>1337</v>
      </c>
      <c r="I50" s="7">
        <f>Daily_Data[[#This Row],[Room_rate]]*Daily_Data[[#This Row],[Rooms_Occupied]]</f>
        <v>17381</v>
      </c>
      <c r="J50" s="10">
        <f>Daily_Data[[#This Row],[Total_Sales]] * 0.22</f>
        <v>3823.82</v>
      </c>
      <c r="K50" s="10">
        <f>INDEX(Expense_master[Monthly_Rent],MATCH(Daily_Data[[#This Row],[Month_key]],Expense_master[Month_Key],0)) / INDEX(Expense_master[Days_in_Month],MATCH(Daily_Data[[#This Row],[Month_key]],Expense_master[Month_Key],0))</f>
        <v>6785.7142857142853</v>
      </c>
      <c r="L50" s="10">
        <f>SUMIFS(Expense_master[Staff_Salary],Expense_master[Month_Key],Daily_Data[[#This Row],[Month_key]]) / SUMIFS(Expense_master[Days_in_Month],Expense_master[Month_Key],Daily_Data[[#This Row],[Month_key]])</f>
        <v>2500</v>
      </c>
      <c r="M50" s="10">
        <f>Daily_Data[[#This Row],[Rooms_Occupied]] * (SUMIFS(Expense_master[Housekeeping_Laundy],Expense_master[Month_Key],Daily_Data[[#This Row],[Month_key]]) / SUMIFS(Occupancy_table[Monthly_rooms_Occupied],Occupancy_table[Month_Key],Daily_Data[[#This Row],[Month_key]]))</f>
        <v>411.39240506329116</v>
      </c>
      <c r="N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1959.4912296564194</v>
      </c>
      <c r="O50" s="10">
        <f>SUMIFS(Expense_master[Monthly_Maintenance],Expense_master[Month_Key],Daily_Data[[#This Row],[Month_key]]) / SUMIFS(Expense_master[Days_in_Month],Expense_master[Month_Key], Daily_Data[[#This Row],[Month_key]])</f>
        <v>714.28571428571433</v>
      </c>
      <c r="P50" s="10">
        <f xml:space="preserve"> Daily_Data[[#This Row],[OTA Commision]] + Daily_Data[[#This Row],[Daily_Rent]]+Daily_Data[[#This Row],[Daily_Staff]]+Daily_Data[[#This Row],[Daily_HK]]+Daily_Data[[#This Row],[Daily_Electricity]] + Daily_Data[[#This Row],[Daily Maintenance]]</f>
        <v>16194.70363471971</v>
      </c>
      <c r="Q50" s="10">
        <f>Daily_Data[[#This Row],[Total_Sales]]-Daily_Data[[#This Row],[Total_Daily_Expense]]</f>
        <v>1186.29636528029</v>
      </c>
      <c r="R50" s="10">
        <f>Daily_Data[[#This Row],[Total_Sales]]/Daily_Data[[#This Row],[Rooms_Occupied]]</f>
        <v>1337</v>
      </c>
      <c r="S50" s="10">
        <f>Daily_Data[[#This Row],[Total_Sales]] / Daily_Data[[#This Row],[Max_rooms]]</f>
        <v>1241.5</v>
      </c>
    </row>
    <row r="51" spans="1:19" x14ac:dyDescent="0.25">
      <c r="A51" s="6">
        <v>44976</v>
      </c>
      <c r="B51" s="20">
        <f>DATE(YEAR(Daily_Data[[#This Row],[Date]]), MONTH(Daily_Data[[#This Row],[Date]]), 1)</f>
        <v>44958</v>
      </c>
      <c r="C51" s="20" t="str">
        <f>TEXT(Daily_Data[[#This Row],[Month_key]],"mmmm")</f>
        <v>February</v>
      </c>
      <c r="D51" s="20" t="str">
        <f>TEXT(Daily_Data[[#This Row],[Month_key]],"yyyy")</f>
        <v>2023</v>
      </c>
      <c r="E51" s="7">
        <v>12</v>
      </c>
      <c r="F51" s="7">
        <v>14</v>
      </c>
      <c r="G51" s="8">
        <f>Daily_Data[[#This Row],[Rooms_Occupied]]/F51</f>
        <v>0.8571428571428571</v>
      </c>
      <c r="H51" s="7">
        <v>1979</v>
      </c>
      <c r="I51" s="7">
        <f>Daily_Data[[#This Row],[Room_rate]]*Daily_Data[[#This Row],[Rooms_Occupied]]</f>
        <v>23748</v>
      </c>
      <c r="J51" s="10">
        <f>Daily_Data[[#This Row],[Total_Sales]] * 0.22</f>
        <v>5224.5600000000004</v>
      </c>
      <c r="K51" s="10">
        <f>INDEX(Expense_master[Monthly_Rent],MATCH(Daily_Data[[#This Row],[Month_key]],Expense_master[Month_Key],0)) / INDEX(Expense_master[Days_in_Month],MATCH(Daily_Data[[#This Row],[Month_key]],Expense_master[Month_Key],0))</f>
        <v>6785.7142857142853</v>
      </c>
      <c r="L51" s="10">
        <f>SUMIFS(Expense_master[Staff_Salary],Expense_master[Month_Key],Daily_Data[[#This Row],[Month_key]]) / SUMIFS(Expense_master[Days_in_Month],Expense_master[Month_Key],Daily_Data[[#This Row],[Month_key]])</f>
        <v>2500</v>
      </c>
      <c r="M51" s="10">
        <f>Daily_Data[[#This Row],[Rooms_Occupied]] * (SUMIFS(Expense_master[Housekeeping_Laundy],Expense_master[Month_Key],Daily_Data[[#This Row],[Month_key]]) / SUMIFS(Occupancy_table[Monthly_rooms_Occupied],Occupancy_table[Month_Key],Daily_Data[[#This Row],[Month_key]]))</f>
        <v>379.74683544303798</v>
      </c>
      <c r="N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51" s="10">
        <f>SUMIFS(Expense_master[Monthly_Maintenance],Expense_master[Month_Key],Daily_Data[[#This Row],[Month_key]]) / SUMIFS(Expense_master[Days_in_Month],Expense_master[Month_Key], Daily_Data[[#This Row],[Month_key]])</f>
        <v>714.28571428571433</v>
      </c>
      <c r="P51" s="10">
        <f xml:space="preserve"> Daily_Data[[#This Row],[OTA Commision]] + Daily_Data[[#This Row],[Daily_Rent]]+Daily_Data[[#This Row],[Daily_Staff]]+Daily_Data[[#This Row],[Daily_HK]]+Daily_Data[[#This Row],[Daily_Electricity]] + Daily_Data[[#This Row],[Daily Maintenance]]</f>
        <v>17468.324014466547</v>
      </c>
      <c r="Q51" s="10">
        <f>Daily_Data[[#This Row],[Total_Sales]]-Daily_Data[[#This Row],[Total_Daily_Expense]]</f>
        <v>6279.6759855334531</v>
      </c>
      <c r="R51" s="10">
        <f>Daily_Data[[#This Row],[Total_Sales]]/Daily_Data[[#This Row],[Rooms_Occupied]]</f>
        <v>1979</v>
      </c>
      <c r="S51" s="10">
        <f>Daily_Data[[#This Row],[Total_Sales]] / Daily_Data[[#This Row],[Max_rooms]]</f>
        <v>1696.2857142857142</v>
      </c>
    </row>
    <row r="52" spans="1:19" x14ac:dyDescent="0.25">
      <c r="A52" s="6">
        <v>44977</v>
      </c>
      <c r="B52" s="20">
        <f>DATE(YEAR(Daily_Data[[#This Row],[Date]]), MONTH(Daily_Data[[#This Row],[Date]]), 1)</f>
        <v>44958</v>
      </c>
      <c r="C52" s="20" t="str">
        <f>TEXT(Daily_Data[[#This Row],[Month_key]],"mmmm")</f>
        <v>February</v>
      </c>
      <c r="D52" s="20" t="str">
        <f>TEXT(Daily_Data[[#This Row],[Month_key]],"yyyy")</f>
        <v>2023</v>
      </c>
      <c r="E52" s="7">
        <v>9</v>
      </c>
      <c r="F52" s="7">
        <v>14</v>
      </c>
      <c r="G52" s="8">
        <f>Daily_Data[[#This Row],[Rooms_Occupied]]/F52</f>
        <v>0.6428571428571429</v>
      </c>
      <c r="H52" s="7">
        <v>1428</v>
      </c>
      <c r="I52" s="7">
        <f>Daily_Data[[#This Row],[Room_rate]]*Daily_Data[[#This Row],[Rooms_Occupied]]</f>
        <v>12852</v>
      </c>
      <c r="J52" s="10">
        <f>Daily_Data[[#This Row],[Total_Sales]] * 0.22</f>
        <v>2827.44</v>
      </c>
      <c r="K52" s="10">
        <f>INDEX(Expense_master[Monthly_Rent],MATCH(Daily_Data[[#This Row],[Month_key]],Expense_master[Month_Key],0)) / INDEX(Expense_master[Days_in_Month],MATCH(Daily_Data[[#This Row],[Month_key]],Expense_master[Month_Key],0))</f>
        <v>6785.7142857142853</v>
      </c>
      <c r="L52" s="10">
        <f>SUMIFS(Expense_master[Staff_Salary],Expense_master[Month_Key],Daily_Data[[#This Row],[Month_key]]) / SUMIFS(Expense_master[Days_in_Month],Expense_master[Month_Key],Daily_Data[[#This Row],[Month_key]])</f>
        <v>2500</v>
      </c>
      <c r="M52" s="10">
        <f>Daily_Data[[#This Row],[Rooms_Occupied]] * (SUMIFS(Expense_master[Housekeeping_Laundy],Expense_master[Month_Key],Daily_Data[[#This Row],[Month_key]]) / SUMIFS(Occupancy_table[Monthly_rooms_Occupied],Occupancy_table[Month_Key],Daily_Data[[#This Row],[Month_key]]))</f>
        <v>284.81012658227849</v>
      </c>
      <c r="N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1577.5950271247739</v>
      </c>
      <c r="O52" s="10">
        <f>SUMIFS(Expense_master[Monthly_Maintenance],Expense_master[Month_Key],Daily_Data[[#This Row],[Month_key]]) / SUMIFS(Expense_master[Days_in_Month],Expense_master[Month_Key], Daily_Data[[#This Row],[Month_key]])</f>
        <v>714.28571428571433</v>
      </c>
      <c r="P52" s="10">
        <f xml:space="preserve"> Daily_Data[[#This Row],[OTA Commision]] + Daily_Data[[#This Row],[Daily_Rent]]+Daily_Data[[#This Row],[Daily_Staff]]+Daily_Data[[#This Row],[Daily_HK]]+Daily_Data[[#This Row],[Daily_Electricity]] + Daily_Data[[#This Row],[Daily Maintenance]]</f>
        <v>14689.84515370705</v>
      </c>
      <c r="Q52" s="10">
        <f>Daily_Data[[#This Row],[Total_Sales]]-Daily_Data[[#This Row],[Total_Daily_Expense]]</f>
        <v>-1837.8451537070505</v>
      </c>
      <c r="R52" s="10">
        <f>Daily_Data[[#This Row],[Total_Sales]]/Daily_Data[[#This Row],[Rooms_Occupied]]</f>
        <v>1428</v>
      </c>
      <c r="S52" s="10">
        <f>Daily_Data[[#This Row],[Total_Sales]] / Daily_Data[[#This Row],[Max_rooms]]</f>
        <v>918</v>
      </c>
    </row>
    <row r="53" spans="1:19" x14ac:dyDescent="0.25">
      <c r="A53" s="6">
        <v>44978</v>
      </c>
      <c r="B53" s="20">
        <f>DATE(YEAR(Daily_Data[[#This Row],[Date]]), MONTH(Daily_Data[[#This Row],[Date]]), 1)</f>
        <v>44958</v>
      </c>
      <c r="C53" s="20" t="str">
        <f>TEXT(Daily_Data[[#This Row],[Month_key]],"mmmm")</f>
        <v>February</v>
      </c>
      <c r="D53" s="20" t="str">
        <f>TEXT(Daily_Data[[#This Row],[Month_key]],"yyyy")</f>
        <v>2023</v>
      </c>
      <c r="E53" s="7">
        <v>12</v>
      </c>
      <c r="F53" s="7">
        <v>14</v>
      </c>
      <c r="G53" s="8">
        <f>Daily_Data[[#This Row],[Rooms_Occupied]]/F53</f>
        <v>0.8571428571428571</v>
      </c>
      <c r="H53" s="7">
        <v>1050</v>
      </c>
      <c r="I53" s="7">
        <f>Daily_Data[[#This Row],[Room_rate]]*Daily_Data[[#This Row],[Rooms_Occupied]]</f>
        <v>12600</v>
      </c>
      <c r="J53" s="10">
        <f>Daily_Data[[#This Row],[Total_Sales]] * 0.22</f>
        <v>2772</v>
      </c>
      <c r="K53" s="10">
        <f>INDEX(Expense_master[Monthly_Rent],MATCH(Daily_Data[[#This Row],[Month_key]],Expense_master[Month_Key],0)) / INDEX(Expense_master[Days_in_Month],MATCH(Daily_Data[[#This Row],[Month_key]],Expense_master[Month_Key],0))</f>
        <v>6785.7142857142853</v>
      </c>
      <c r="L53" s="10">
        <f>SUMIFS(Expense_master[Staff_Salary],Expense_master[Month_Key],Daily_Data[[#This Row],[Month_key]]) / SUMIFS(Expense_master[Days_in_Month],Expense_master[Month_Key],Daily_Data[[#This Row],[Month_key]])</f>
        <v>2500</v>
      </c>
      <c r="M53" s="10">
        <f>Daily_Data[[#This Row],[Rooms_Occupied]] * (SUMIFS(Expense_master[Housekeeping_Laundy],Expense_master[Month_Key],Daily_Data[[#This Row],[Month_key]]) / SUMIFS(Occupancy_table[Monthly_rooms_Occupied],Occupancy_table[Month_Key],Daily_Data[[#This Row],[Month_key]]))</f>
        <v>379.74683544303798</v>
      </c>
      <c r="N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53" s="10">
        <f>SUMIFS(Expense_master[Monthly_Maintenance],Expense_master[Month_Key],Daily_Data[[#This Row],[Month_key]]) / SUMIFS(Expense_master[Days_in_Month],Expense_master[Month_Key], Daily_Data[[#This Row],[Month_key]])</f>
        <v>714.28571428571433</v>
      </c>
      <c r="P53" s="10">
        <f xml:space="preserve"> Daily_Data[[#This Row],[OTA Commision]] + Daily_Data[[#This Row],[Daily_Rent]]+Daily_Data[[#This Row],[Daily_Staff]]+Daily_Data[[#This Row],[Daily_HK]]+Daily_Data[[#This Row],[Daily_Electricity]] + Daily_Data[[#This Row],[Daily Maintenance]]</f>
        <v>15015.764014466546</v>
      </c>
      <c r="Q53" s="10">
        <f>Daily_Data[[#This Row],[Total_Sales]]-Daily_Data[[#This Row],[Total_Daily_Expense]]</f>
        <v>-2415.7640144665456</v>
      </c>
      <c r="R53" s="10">
        <f>Daily_Data[[#This Row],[Total_Sales]]/Daily_Data[[#This Row],[Rooms_Occupied]]</f>
        <v>1050</v>
      </c>
      <c r="S53" s="10">
        <f>Daily_Data[[#This Row],[Total_Sales]] / Daily_Data[[#This Row],[Max_rooms]]</f>
        <v>900</v>
      </c>
    </row>
    <row r="54" spans="1:19" x14ac:dyDescent="0.25">
      <c r="A54" s="6">
        <v>44979</v>
      </c>
      <c r="B54" s="20">
        <f>DATE(YEAR(Daily_Data[[#This Row],[Date]]), MONTH(Daily_Data[[#This Row],[Date]]), 1)</f>
        <v>44958</v>
      </c>
      <c r="C54" s="20" t="str">
        <f>TEXT(Daily_Data[[#This Row],[Month_key]],"mmmm")</f>
        <v>February</v>
      </c>
      <c r="D54" s="20" t="str">
        <f>TEXT(Daily_Data[[#This Row],[Month_key]],"yyyy")</f>
        <v>2023</v>
      </c>
      <c r="E54" s="7">
        <v>13</v>
      </c>
      <c r="F54" s="7">
        <v>14</v>
      </c>
      <c r="G54" s="8">
        <f>Daily_Data[[#This Row],[Rooms_Occupied]]/F54</f>
        <v>0.9285714285714286</v>
      </c>
      <c r="H54" s="7">
        <v>1209</v>
      </c>
      <c r="I54" s="7">
        <f>Daily_Data[[#This Row],[Room_rate]]*Daily_Data[[#This Row],[Rooms_Occupied]]</f>
        <v>15717</v>
      </c>
      <c r="J54" s="10">
        <f>Daily_Data[[#This Row],[Total_Sales]] * 0.22</f>
        <v>3457.7400000000002</v>
      </c>
      <c r="K54" s="10">
        <f>INDEX(Expense_master[Monthly_Rent],MATCH(Daily_Data[[#This Row],[Month_key]],Expense_master[Month_Key],0)) / INDEX(Expense_master[Days_in_Month],MATCH(Daily_Data[[#This Row],[Month_key]],Expense_master[Month_Key],0))</f>
        <v>6785.7142857142853</v>
      </c>
      <c r="L54" s="10">
        <f>SUMIFS(Expense_master[Staff_Salary],Expense_master[Month_Key],Daily_Data[[#This Row],[Month_key]]) / SUMIFS(Expense_master[Days_in_Month],Expense_master[Month_Key],Daily_Data[[#This Row],[Month_key]])</f>
        <v>2500</v>
      </c>
      <c r="M54" s="10">
        <f>Daily_Data[[#This Row],[Rooms_Occupied]] * (SUMIFS(Expense_master[Housekeeping_Laundy],Expense_master[Month_Key],Daily_Data[[#This Row],[Month_key]]) / SUMIFS(Occupancy_table[Monthly_rooms_Occupied],Occupancy_table[Month_Key],Daily_Data[[#This Row],[Month_key]]))</f>
        <v>411.39240506329116</v>
      </c>
      <c r="N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1959.4912296564194</v>
      </c>
      <c r="O54" s="10">
        <f>SUMIFS(Expense_master[Monthly_Maintenance],Expense_master[Month_Key],Daily_Data[[#This Row],[Month_key]]) / SUMIFS(Expense_master[Days_in_Month],Expense_master[Month_Key], Daily_Data[[#This Row],[Month_key]])</f>
        <v>714.28571428571433</v>
      </c>
      <c r="P54" s="10">
        <f xml:space="preserve"> Daily_Data[[#This Row],[OTA Commision]] + Daily_Data[[#This Row],[Daily_Rent]]+Daily_Data[[#This Row],[Daily_Staff]]+Daily_Data[[#This Row],[Daily_HK]]+Daily_Data[[#This Row],[Daily_Electricity]] + Daily_Data[[#This Row],[Daily Maintenance]]</f>
        <v>15828.62363471971</v>
      </c>
      <c r="Q54" s="10">
        <f>Daily_Data[[#This Row],[Total_Sales]]-Daily_Data[[#This Row],[Total_Daily_Expense]]</f>
        <v>-111.62363471971003</v>
      </c>
      <c r="R54" s="10">
        <f>Daily_Data[[#This Row],[Total_Sales]]/Daily_Data[[#This Row],[Rooms_Occupied]]</f>
        <v>1209</v>
      </c>
      <c r="S54" s="10">
        <f>Daily_Data[[#This Row],[Total_Sales]] / Daily_Data[[#This Row],[Max_rooms]]</f>
        <v>1122.6428571428571</v>
      </c>
    </row>
    <row r="55" spans="1:19" x14ac:dyDescent="0.25">
      <c r="A55" s="6">
        <v>44980</v>
      </c>
      <c r="B55" s="20">
        <f>DATE(YEAR(Daily_Data[[#This Row],[Date]]), MONTH(Daily_Data[[#This Row],[Date]]), 1)</f>
        <v>44958</v>
      </c>
      <c r="C55" s="20" t="str">
        <f>TEXT(Daily_Data[[#This Row],[Month_key]],"mmmm")</f>
        <v>February</v>
      </c>
      <c r="D55" s="20" t="str">
        <f>TEXT(Daily_Data[[#This Row],[Month_key]],"yyyy")</f>
        <v>2023</v>
      </c>
      <c r="E55" s="7">
        <v>12</v>
      </c>
      <c r="F55" s="7">
        <v>14</v>
      </c>
      <c r="G55" s="8">
        <f>Daily_Data[[#This Row],[Rooms_Occupied]]/F55</f>
        <v>0.8571428571428571</v>
      </c>
      <c r="H55" s="7">
        <v>1061</v>
      </c>
      <c r="I55" s="7">
        <f>Daily_Data[[#This Row],[Room_rate]]*Daily_Data[[#This Row],[Rooms_Occupied]]</f>
        <v>12732</v>
      </c>
      <c r="J55" s="10">
        <f>Daily_Data[[#This Row],[Total_Sales]] * 0.22</f>
        <v>2801.04</v>
      </c>
      <c r="K55" s="10">
        <f>INDEX(Expense_master[Monthly_Rent],MATCH(Daily_Data[[#This Row],[Month_key]],Expense_master[Month_Key],0)) / INDEX(Expense_master[Days_in_Month],MATCH(Daily_Data[[#This Row],[Month_key]],Expense_master[Month_Key],0))</f>
        <v>6785.7142857142853</v>
      </c>
      <c r="L55" s="10">
        <f>SUMIFS(Expense_master[Staff_Salary],Expense_master[Month_Key],Daily_Data[[#This Row],[Month_key]]) / SUMIFS(Expense_master[Days_in_Month],Expense_master[Month_Key],Daily_Data[[#This Row],[Month_key]])</f>
        <v>2500</v>
      </c>
      <c r="M55" s="10">
        <f>Daily_Data[[#This Row],[Rooms_Occupied]] * (SUMIFS(Expense_master[Housekeeping_Laundy],Expense_master[Month_Key],Daily_Data[[#This Row],[Month_key]]) / SUMIFS(Occupancy_table[Monthly_rooms_Occupied],Occupancy_table[Month_Key],Daily_Data[[#This Row],[Month_key]]))</f>
        <v>379.74683544303798</v>
      </c>
      <c r="N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1864.0171790235081</v>
      </c>
      <c r="O55" s="10">
        <f>SUMIFS(Expense_master[Monthly_Maintenance],Expense_master[Month_Key],Daily_Data[[#This Row],[Month_key]]) / SUMIFS(Expense_master[Days_in_Month],Expense_master[Month_Key], Daily_Data[[#This Row],[Month_key]])</f>
        <v>714.28571428571433</v>
      </c>
      <c r="P55" s="10">
        <f xml:space="preserve"> Daily_Data[[#This Row],[OTA Commision]] + Daily_Data[[#This Row],[Daily_Rent]]+Daily_Data[[#This Row],[Daily_Staff]]+Daily_Data[[#This Row],[Daily_HK]]+Daily_Data[[#This Row],[Daily_Electricity]] + Daily_Data[[#This Row],[Daily Maintenance]]</f>
        <v>15044.804014466547</v>
      </c>
      <c r="Q55" s="10">
        <f>Daily_Data[[#This Row],[Total_Sales]]-Daily_Data[[#This Row],[Total_Daily_Expense]]</f>
        <v>-2312.8040144665465</v>
      </c>
      <c r="R55" s="10">
        <f>Daily_Data[[#This Row],[Total_Sales]]/Daily_Data[[#This Row],[Rooms_Occupied]]</f>
        <v>1061</v>
      </c>
      <c r="S55" s="10">
        <f>Daily_Data[[#This Row],[Total_Sales]] / Daily_Data[[#This Row],[Max_rooms]]</f>
        <v>909.42857142857144</v>
      </c>
    </row>
    <row r="56" spans="1:19" x14ac:dyDescent="0.25">
      <c r="A56" s="6">
        <v>44981</v>
      </c>
      <c r="B56" s="20">
        <f>DATE(YEAR(Daily_Data[[#This Row],[Date]]), MONTH(Daily_Data[[#This Row],[Date]]), 1)</f>
        <v>44958</v>
      </c>
      <c r="C56" s="20" t="str">
        <f>TEXT(Daily_Data[[#This Row],[Month_key]],"mmmm")</f>
        <v>February</v>
      </c>
      <c r="D56" s="20" t="str">
        <f>TEXT(Daily_Data[[#This Row],[Month_key]],"yyyy")</f>
        <v>2023</v>
      </c>
      <c r="E56" s="7">
        <v>13</v>
      </c>
      <c r="F56" s="7">
        <v>14</v>
      </c>
      <c r="G56" s="8">
        <f>Daily_Data[[#This Row],[Rooms_Occupied]]/F56</f>
        <v>0.9285714285714286</v>
      </c>
      <c r="H56" s="7">
        <v>1087</v>
      </c>
      <c r="I56" s="7">
        <f>Daily_Data[[#This Row],[Room_rate]]*Daily_Data[[#This Row],[Rooms_Occupied]]</f>
        <v>14131</v>
      </c>
      <c r="J56" s="10">
        <f>Daily_Data[[#This Row],[Total_Sales]] * 0.22</f>
        <v>3108.82</v>
      </c>
      <c r="K56" s="10">
        <f>INDEX(Expense_master[Monthly_Rent],MATCH(Daily_Data[[#This Row],[Month_key]],Expense_master[Month_Key],0)) / INDEX(Expense_master[Days_in_Month],MATCH(Daily_Data[[#This Row],[Month_key]],Expense_master[Month_Key],0))</f>
        <v>6785.7142857142853</v>
      </c>
      <c r="L56" s="10">
        <f>SUMIFS(Expense_master[Staff_Salary],Expense_master[Month_Key],Daily_Data[[#This Row],[Month_key]]) / SUMIFS(Expense_master[Days_in_Month],Expense_master[Month_Key],Daily_Data[[#This Row],[Month_key]])</f>
        <v>2500</v>
      </c>
      <c r="M56" s="10">
        <f>Daily_Data[[#This Row],[Rooms_Occupied]] * (SUMIFS(Expense_master[Housekeeping_Laundy],Expense_master[Month_Key],Daily_Data[[#This Row],[Month_key]]) / SUMIFS(Occupancy_table[Monthly_rooms_Occupied],Occupancy_table[Month_Key],Daily_Data[[#This Row],[Month_key]]))</f>
        <v>411.39240506329116</v>
      </c>
      <c r="N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1959.4912296564194</v>
      </c>
      <c r="O56" s="10">
        <f>SUMIFS(Expense_master[Monthly_Maintenance],Expense_master[Month_Key],Daily_Data[[#This Row],[Month_key]]) / SUMIFS(Expense_master[Days_in_Month],Expense_master[Month_Key], Daily_Data[[#This Row],[Month_key]])</f>
        <v>714.28571428571433</v>
      </c>
      <c r="P56" s="10">
        <f xml:space="preserve"> Daily_Data[[#This Row],[OTA Commision]] + Daily_Data[[#This Row],[Daily_Rent]]+Daily_Data[[#This Row],[Daily_Staff]]+Daily_Data[[#This Row],[Daily_HK]]+Daily_Data[[#This Row],[Daily_Electricity]] + Daily_Data[[#This Row],[Daily Maintenance]]</f>
        <v>15479.70363471971</v>
      </c>
      <c r="Q56" s="10">
        <f>Daily_Data[[#This Row],[Total_Sales]]-Daily_Data[[#This Row],[Total_Daily_Expense]]</f>
        <v>-1348.70363471971</v>
      </c>
      <c r="R56" s="10">
        <f>Daily_Data[[#This Row],[Total_Sales]]/Daily_Data[[#This Row],[Rooms_Occupied]]</f>
        <v>1087</v>
      </c>
      <c r="S56" s="10">
        <f>Daily_Data[[#This Row],[Total_Sales]] / Daily_Data[[#This Row],[Max_rooms]]</f>
        <v>1009.3571428571429</v>
      </c>
    </row>
    <row r="57" spans="1:19" x14ac:dyDescent="0.25">
      <c r="A57" s="6">
        <v>44982</v>
      </c>
      <c r="B57" s="20">
        <f>DATE(YEAR(Daily_Data[[#This Row],[Date]]), MONTH(Daily_Data[[#This Row],[Date]]), 1)</f>
        <v>44958</v>
      </c>
      <c r="C57" s="20" t="str">
        <f>TEXT(Daily_Data[[#This Row],[Month_key]],"mmmm")</f>
        <v>February</v>
      </c>
      <c r="D57" s="20" t="str">
        <f>TEXT(Daily_Data[[#This Row],[Month_key]],"yyyy")</f>
        <v>2023</v>
      </c>
      <c r="E57" s="7">
        <v>14</v>
      </c>
      <c r="F57" s="7">
        <v>14</v>
      </c>
      <c r="G57" s="8">
        <f>Daily_Data[[#This Row],[Rooms_Occupied]]/F57</f>
        <v>1</v>
      </c>
      <c r="H57" s="7">
        <v>1144</v>
      </c>
      <c r="I57" s="7">
        <f>Daily_Data[[#This Row],[Room_rate]]*Daily_Data[[#This Row],[Rooms_Occupied]]</f>
        <v>16016</v>
      </c>
      <c r="J57" s="10">
        <f>Daily_Data[[#This Row],[Total_Sales]] * 0.22</f>
        <v>3523.52</v>
      </c>
      <c r="K57" s="10">
        <f>INDEX(Expense_master[Monthly_Rent],MATCH(Daily_Data[[#This Row],[Month_key]],Expense_master[Month_Key],0)) / INDEX(Expense_master[Days_in_Month],MATCH(Daily_Data[[#This Row],[Month_key]],Expense_master[Month_Key],0))</f>
        <v>6785.7142857142853</v>
      </c>
      <c r="L57" s="10">
        <f>SUMIFS(Expense_master[Staff_Salary],Expense_master[Month_Key],Daily_Data[[#This Row],[Month_key]]) / SUMIFS(Expense_master[Days_in_Month],Expense_master[Month_Key],Daily_Data[[#This Row],[Month_key]])</f>
        <v>2500</v>
      </c>
      <c r="M57" s="10">
        <f>Daily_Data[[#This Row],[Rooms_Occupied]] * (SUMIFS(Expense_master[Housekeeping_Laundy],Expense_master[Month_Key],Daily_Data[[#This Row],[Month_key]]) / SUMIFS(Occupancy_table[Monthly_rooms_Occupied],Occupancy_table[Month_Key],Daily_Data[[#This Row],[Month_key]]))</f>
        <v>443.03797468354435</v>
      </c>
      <c r="N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2054.9652802893311</v>
      </c>
      <c r="O57" s="10">
        <f>SUMIFS(Expense_master[Monthly_Maintenance],Expense_master[Month_Key],Daily_Data[[#This Row],[Month_key]]) / SUMIFS(Expense_master[Days_in_Month],Expense_master[Month_Key], Daily_Data[[#This Row],[Month_key]])</f>
        <v>714.28571428571433</v>
      </c>
      <c r="P57" s="10">
        <f xml:space="preserve"> Daily_Data[[#This Row],[OTA Commision]] + Daily_Data[[#This Row],[Daily_Rent]]+Daily_Data[[#This Row],[Daily_Staff]]+Daily_Data[[#This Row],[Daily_HK]]+Daily_Data[[#This Row],[Daily_Electricity]] + Daily_Data[[#This Row],[Daily Maintenance]]</f>
        <v>16021.523254972873</v>
      </c>
      <c r="Q57" s="10">
        <f>Daily_Data[[#This Row],[Total_Sales]]-Daily_Data[[#This Row],[Total_Daily_Expense]]</f>
        <v>-5.5232549728734739</v>
      </c>
      <c r="R57" s="10">
        <f>Daily_Data[[#This Row],[Total_Sales]]/Daily_Data[[#This Row],[Rooms_Occupied]]</f>
        <v>1144</v>
      </c>
      <c r="S57" s="10">
        <f>Daily_Data[[#This Row],[Total_Sales]] / Daily_Data[[#This Row],[Max_rooms]]</f>
        <v>1144</v>
      </c>
    </row>
    <row r="58" spans="1:19" x14ac:dyDescent="0.25">
      <c r="A58" s="6">
        <v>44983</v>
      </c>
      <c r="B58" s="20">
        <f>DATE(YEAR(Daily_Data[[#This Row],[Date]]), MONTH(Daily_Data[[#This Row],[Date]]), 1)</f>
        <v>44958</v>
      </c>
      <c r="C58" s="20" t="str">
        <f>TEXT(Daily_Data[[#This Row],[Month_key]],"mmmm")</f>
        <v>February</v>
      </c>
      <c r="D58" s="20" t="str">
        <f>TEXT(Daily_Data[[#This Row],[Month_key]],"yyyy")</f>
        <v>2023</v>
      </c>
      <c r="E58" s="7">
        <v>9</v>
      </c>
      <c r="F58" s="7">
        <v>14</v>
      </c>
      <c r="G58" s="8">
        <f>Daily_Data[[#This Row],[Rooms_Occupied]]/F58</f>
        <v>0.6428571428571429</v>
      </c>
      <c r="H58" s="7">
        <v>1863</v>
      </c>
      <c r="I58" s="7">
        <f>Daily_Data[[#This Row],[Room_rate]]*Daily_Data[[#This Row],[Rooms_Occupied]]</f>
        <v>16767</v>
      </c>
      <c r="J58" s="10">
        <f>Daily_Data[[#This Row],[Total_Sales]] * 0.22</f>
        <v>3688.7400000000002</v>
      </c>
      <c r="K58" s="10">
        <f>INDEX(Expense_master[Monthly_Rent],MATCH(Daily_Data[[#This Row],[Month_key]],Expense_master[Month_Key],0)) / INDEX(Expense_master[Days_in_Month],MATCH(Daily_Data[[#This Row],[Month_key]],Expense_master[Month_Key],0))</f>
        <v>6785.7142857142853</v>
      </c>
      <c r="L58" s="10">
        <f>SUMIFS(Expense_master[Staff_Salary],Expense_master[Month_Key],Daily_Data[[#This Row],[Month_key]]) / SUMIFS(Expense_master[Days_in_Month],Expense_master[Month_Key],Daily_Data[[#This Row],[Month_key]])</f>
        <v>2500</v>
      </c>
      <c r="M58" s="10">
        <f>Daily_Data[[#This Row],[Rooms_Occupied]] * (SUMIFS(Expense_master[Housekeeping_Laundy],Expense_master[Month_Key],Daily_Data[[#This Row],[Month_key]]) / SUMIFS(Occupancy_table[Monthly_rooms_Occupied],Occupancy_table[Month_Key],Daily_Data[[#This Row],[Month_key]]))</f>
        <v>284.81012658227849</v>
      </c>
      <c r="N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1577.5950271247739</v>
      </c>
      <c r="O58" s="10">
        <f>SUMIFS(Expense_master[Monthly_Maintenance],Expense_master[Month_Key],Daily_Data[[#This Row],[Month_key]]) / SUMIFS(Expense_master[Days_in_Month],Expense_master[Month_Key], Daily_Data[[#This Row],[Month_key]])</f>
        <v>714.28571428571433</v>
      </c>
      <c r="P58" s="10">
        <f xml:space="preserve"> Daily_Data[[#This Row],[OTA Commision]] + Daily_Data[[#This Row],[Daily_Rent]]+Daily_Data[[#This Row],[Daily_Staff]]+Daily_Data[[#This Row],[Daily_HK]]+Daily_Data[[#This Row],[Daily_Electricity]] + Daily_Data[[#This Row],[Daily Maintenance]]</f>
        <v>15551.145153707053</v>
      </c>
      <c r="Q58" s="10">
        <f>Daily_Data[[#This Row],[Total_Sales]]-Daily_Data[[#This Row],[Total_Daily_Expense]]</f>
        <v>1215.8548462929466</v>
      </c>
      <c r="R58" s="10">
        <f>Daily_Data[[#This Row],[Total_Sales]]/Daily_Data[[#This Row],[Rooms_Occupied]]</f>
        <v>1863</v>
      </c>
      <c r="S58" s="10">
        <f>Daily_Data[[#This Row],[Total_Sales]] / Daily_Data[[#This Row],[Max_rooms]]</f>
        <v>1197.6428571428571</v>
      </c>
    </row>
    <row r="59" spans="1:19" x14ac:dyDescent="0.25">
      <c r="A59" s="6">
        <v>44984</v>
      </c>
      <c r="B59" s="20">
        <f>DATE(YEAR(Daily_Data[[#This Row],[Date]]), MONTH(Daily_Data[[#This Row],[Date]]), 1)</f>
        <v>44958</v>
      </c>
      <c r="C59" s="20" t="str">
        <f>TEXT(Daily_Data[[#This Row],[Month_key]],"mmmm")</f>
        <v>February</v>
      </c>
      <c r="D59" s="20" t="str">
        <f>TEXT(Daily_Data[[#This Row],[Month_key]],"yyyy")</f>
        <v>2023</v>
      </c>
      <c r="E59" s="7">
        <v>9</v>
      </c>
      <c r="F59" s="7">
        <v>14</v>
      </c>
      <c r="G59" s="8">
        <f>Daily_Data[[#This Row],[Rooms_Occupied]]/F59</f>
        <v>0.6428571428571429</v>
      </c>
      <c r="H59" s="7">
        <v>1312</v>
      </c>
      <c r="I59" s="7">
        <f>Daily_Data[[#This Row],[Room_rate]]*Daily_Data[[#This Row],[Rooms_Occupied]]</f>
        <v>11808</v>
      </c>
      <c r="J59" s="10">
        <f>Daily_Data[[#This Row],[Total_Sales]] * 0.22</f>
        <v>2597.7600000000002</v>
      </c>
      <c r="K59" s="10">
        <f>INDEX(Expense_master[Monthly_Rent],MATCH(Daily_Data[[#This Row],[Month_key]],Expense_master[Month_Key],0)) / INDEX(Expense_master[Days_in_Month],MATCH(Daily_Data[[#This Row],[Month_key]],Expense_master[Month_Key],0))</f>
        <v>6785.7142857142853</v>
      </c>
      <c r="L59" s="10">
        <f>SUMIFS(Expense_master[Staff_Salary],Expense_master[Month_Key],Daily_Data[[#This Row],[Month_key]]) / SUMIFS(Expense_master[Days_in_Month],Expense_master[Month_Key],Daily_Data[[#This Row],[Month_key]])</f>
        <v>2500</v>
      </c>
      <c r="M59" s="10">
        <f>Daily_Data[[#This Row],[Rooms_Occupied]] * (SUMIFS(Expense_master[Housekeeping_Laundy],Expense_master[Month_Key],Daily_Data[[#This Row],[Month_key]]) / SUMIFS(Occupancy_table[Monthly_rooms_Occupied],Occupancy_table[Month_Key],Daily_Data[[#This Row],[Month_key]]))</f>
        <v>284.81012658227849</v>
      </c>
      <c r="N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1577.5950271247739</v>
      </c>
      <c r="O59" s="10">
        <f>SUMIFS(Expense_master[Monthly_Maintenance],Expense_master[Month_Key],Daily_Data[[#This Row],[Month_key]]) / SUMIFS(Expense_master[Days_in_Month],Expense_master[Month_Key], Daily_Data[[#This Row],[Month_key]])</f>
        <v>714.28571428571433</v>
      </c>
      <c r="P59" s="10">
        <f xml:space="preserve"> Daily_Data[[#This Row],[OTA Commision]] + Daily_Data[[#This Row],[Daily_Rent]]+Daily_Data[[#This Row],[Daily_Staff]]+Daily_Data[[#This Row],[Daily_HK]]+Daily_Data[[#This Row],[Daily_Electricity]] + Daily_Data[[#This Row],[Daily Maintenance]]</f>
        <v>14460.16515370705</v>
      </c>
      <c r="Q59" s="10">
        <f>Daily_Data[[#This Row],[Total_Sales]]-Daily_Data[[#This Row],[Total_Daily_Expense]]</f>
        <v>-2652.1651537070502</v>
      </c>
      <c r="R59" s="10">
        <f>Daily_Data[[#This Row],[Total_Sales]]/Daily_Data[[#This Row],[Rooms_Occupied]]</f>
        <v>1312</v>
      </c>
      <c r="S59" s="10">
        <f>Daily_Data[[#This Row],[Total_Sales]] / Daily_Data[[#This Row],[Max_rooms]]</f>
        <v>843.42857142857144</v>
      </c>
    </row>
    <row r="60" spans="1:19" x14ac:dyDescent="0.25">
      <c r="A60" s="6">
        <v>44985</v>
      </c>
      <c r="B60" s="20">
        <f>DATE(YEAR(Daily_Data[[#This Row],[Date]]), MONTH(Daily_Data[[#This Row],[Date]]), 1)</f>
        <v>44958</v>
      </c>
      <c r="C60" s="20" t="str">
        <f>TEXT(Daily_Data[[#This Row],[Month_key]],"mmmm")</f>
        <v>February</v>
      </c>
      <c r="D60" s="20" t="str">
        <f>TEXT(Daily_Data[[#This Row],[Month_key]],"yyyy")</f>
        <v>2023</v>
      </c>
      <c r="E60" s="7">
        <v>8</v>
      </c>
      <c r="F60" s="7">
        <v>14</v>
      </c>
      <c r="G60" s="8">
        <f>Daily_Data[[#This Row],[Rooms_Occupied]]/F60</f>
        <v>0.5714285714285714</v>
      </c>
      <c r="H60" s="7">
        <v>1501</v>
      </c>
      <c r="I60" s="7">
        <f>Daily_Data[[#This Row],[Room_rate]]*Daily_Data[[#This Row],[Rooms_Occupied]]</f>
        <v>12008</v>
      </c>
      <c r="J60" s="10">
        <f>Daily_Data[[#This Row],[Total_Sales]] * 0.22</f>
        <v>2641.76</v>
      </c>
      <c r="K60" s="10">
        <f>INDEX(Expense_master[Monthly_Rent],MATCH(Daily_Data[[#This Row],[Month_key]],Expense_master[Month_Key],0)) / INDEX(Expense_master[Days_in_Month],MATCH(Daily_Data[[#This Row],[Month_key]],Expense_master[Month_Key],0))</f>
        <v>6785.7142857142853</v>
      </c>
      <c r="L60" s="10">
        <f>SUMIFS(Expense_master[Staff_Salary],Expense_master[Month_Key],Daily_Data[[#This Row],[Month_key]]) / SUMIFS(Expense_master[Days_in_Month],Expense_master[Month_Key],Daily_Data[[#This Row],[Month_key]])</f>
        <v>2500</v>
      </c>
      <c r="M60" s="10">
        <f>Daily_Data[[#This Row],[Rooms_Occupied]] * (SUMIFS(Expense_master[Housekeeping_Laundy],Expense_master[Month_Key],Daily_Data[[#This Row],[Month_key]]) / SUMIFS(Occupancy_table[Monthly_rooms_Occupied],Occupancy_table[Month_Key],Daily_Data[[#This Row],[Month_key]]))</f>
        <v>253.16455696202533</v>
      </c>
      <c r="N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1482.1209764918626</v>
      </c>
      <c r="O60" s="10">
        <f>SUMIFS(Expense_master[Monthly_Maintenance],Expense_master[Month_Key],Daily_Data[[#This Row],[Month_key]]) / SUMIFS(Expense_master[Days_in_Month],Expense_master[Month_Key], Daily_Data[[#This Row],[Month_key]])</f>
        <v>714.28571428571433</v>
      </c>
      <c r="P60" s="10">
        <f xml:space="preserve"> Daily_Data[[#This Row],[OTA Commision]] + Daily_Data[[#This Row],[Daily_Rent]]+Daily_Data[[#This Row],[Daily_Staff]]+Daily_Data[[#This Row],[Daily_HK]]+Daily_Data[[#This Row],[Daily_Electricity]] + Daily_Data[[#This Row],[Daily Maintenance]]</f>
        <v>14377.045533453886</v>
      </c>
      <c r="Q60" s="10">
        <f>Daily_Data[[#This Row],[Total_Sales]]-Daily_Data[[#This Row],[Total_Daily_Expense]]</f>
        <v>-2369.0455334538856</v>
      </c>
      <c r="R60" s="10">
        <f>Daily_Data[[#This Row],[Total_Sales]]/Daily_Data[[#This Row],[Rooms_Occupied]]</f>
        <v>1501</v>
      </c>
      <c r="S60" s="10">
        <f>Daily_Data[[#This Row],[Total_Sales]] / Daily_Data[[#This Row],[Max_rooms]]</f>
        <v>857.71428571428567</v>
      </c>
    </row>
    <row r="61" spans="1:19" x14ac:dyDescent="0.25">
      <c r="A61" s="6">
        <v>44986</v>
      </c>
      <c r="B61" s="20">
        <f>DATE(YEAR(Daily_Data[[#This Row],[Date]]), MONTH(Daily_Data[[#This Row],[Date]]), 1)</f>
        <v>44986</v>
      </c>
      <c r="C61" s="20" t="str">
        <f>TEXT(Daily_Data[[#This Row],[Month_key]],"mmmm")</f>
        <v>March</v>
      </c>
      <c r="D61" s="20" t="str">
        <f>TEXT(Daily_Data[[#This Row],[Month_key]],"yyyy")</f>
        <v>2023</v>
      </c>
      <c r="E61" s="7">
        <v>13</v>
      </c>
      <c r="F61" s="7">
        <v>14</v>
      </c>
      <c r="G61" s="8">
        <f>Daily_Data[[#This Row],[Rooms_Occupied]]/F61</f>
        <v>0.9285714285714286</v>
      </c>
      <c r="H61" s="7">
        <v>1597</v>
      </c>
      <c r="I61" s="7">
        <f>Daily_Data[[#This Row],[Room_rate]]*Daily_Data[[#This Row],[Rooms_Occupied]]</f>
        <v>20761</v>
      </c>
      <c r="J61" s="10">
        <f>Daily_Data[[#This Row],[Total_Sales]] * 0.22</f>
        <v>4567.42</v>
      </c>
      <c r="K61" s="10">
        <f>INDEX(Expense_master[Monthly_Rent],MATCH(Daily_Data[[#This Row],[Month_key]],Expense_master[Month_Key],0)) / INDEX(Expense_master[Days_in_Month],MATCH(Daily_Data[[#This Row],[Month_key]],Expense_master[Month_Key],0))</f>
        <v>6129.0322580645161</v>
      </c>
      <c r="L61" s="10">
        <f>SUMIFS(Expense_master[Staff_Salary],Expense_master[Month_Key],Daily_Data[[#This Row],[Month_key]]) / SUMIFS(Expense_master[Days_in_Month],Expense_master[Month_Key],Daily_Data[[#This Row],[Month_key]])</f>
        <v>2258.0645161290322</v>
      </c>
      <c r="M61" s="10">
        <f>Daily_Data[[#This Row],[Rooms_Occupied]] * (SUMIFS(Expense_master[Housekeeping_Laundy],Expense_master[Month_Key],Daily_Data[[#This Row],[Month_key]]) / SUMIFS(Occupancy_table[Monthly_rooms_Occupied],Occupancy_table[Month_Key],Daily_Data[[#This Row],[Month_key]]))</f>
        <v>380.11695906432749</v>
      </c>
      <c r="N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1735.1607243916244</v>
      </c>
      <c r="O61" s="10">
        <f>SUMIFS(Expense_master[Monthly_Maintenance],Expense_master[Month_Key],Daily_Data[[#This Row],[Month_key]]) / SUMIFS(Expense_master[Days_in_Month],Expense_master[Month_Key], Daily_Data[[#This Row],[Month_key]])</f>
        <v>645.16129032258061</v>
      </c>
      <c r="P61" s="10">
        <f xml:space="preserve"> Daily_Data[[#This Row],[OTA Commision]] + Daily_Data[[#This Row],[Daily_Rent]]+Daily_Data[[#This Row],[Daily_Staff]]+Daily_Data[[#This Row],[Daily_HK]]+Daily_Data[[#This Row],[Daily_Electricity]] + Daily_Data[[#This Row],[Daily Maintenance]]</f>
        <v>15714.955747972082</v>
      </c>
      <c r="Q61" s="10">
        <f>Daily_Data[[#This Row],[Total_Sales]]-Daily_Data[[#This Row],[Total_Daily_Expense]]</f>
        <v>5046.0442520279175</v>
      </c>
      <c r="R61" s="10">
        <f>Daily_Data[[#This Row],[Total_Sales]]/Daily_Data[[#This Row],[Rooms_Occupied]]</f>
        <v>1597</v>
      </c>
      <c r="S61" s="10">
        <f>Daily_Data[[#This Row],[Total_Sales]] / Daily_Data[[#This Row],[Max_rooms]]</f>
        <v>1482.9285714285713</v>
      </c>
    </row>
    <row r="62" spans="1:19" x14ac:dyDescent="0.25">
      <c r="A62" s="6">
        <v>44987</v>
      </c>
      <c r="B62" s="20">
        <f>DATE(YEAR(Daily_Data[[#This Row],[Date]]), MONTH(Daily_Data[[#This Row],[Date]]), 1)</f>
        <v>44986</v>
      </c>
      <c r="C62" s="20" t="str">
        <f>TEXT(Daily_Data[[#This Row],[Month_key]],"mmmm")</f>
        <v>March</v>
      </c>
      <c r="D62" s="20" t="str">
        <f>TEXT(Daily_Data[[#This Row],[Month_key]],"yyyy")</f>
        <v>2023</v>
      </c>
      <c r="E62" s="7">
        <v>12</v>
      </c>
      <c r="F62" s="7">
        <v>14</v>
      </c>
      <c r="G62" s="8">
        <f>Daily_Data[[#This Row],[Rooms_Occupied]]/F62</f>
        <v>0.8571428571428571</v>
      </c>
      <c r="H62" s="7">
        <v>1247</v>
      </c>
      <c r="I62" s="7">
        <f>Daily_Data[[#This Row],[Room_rate]]*Daily_Data[[#This Row],[Rooms_Occupied]]</f>
        <v>14964</v>
      </c>
      <c r="J62" s="10">
        <f>Daily_Data[[#This Row],[Total_Sales]] * 0.22</f>
        <v>3292.08</v>
      </c>
      <c r="K62" s="10">
        <f>INDEX(Expense_master[Monthly_Rent],MATCH(Daily_Data[[#This Row],[Month_key]],Expense_master[Month_Key],0)) / INDEX(Expense_master[Days_in_Month],MATCH(Daily_Data[[#This Row],[Month_key]],Expense_master[Month_Key],0))</f>
        <v>6129.0322580645161</v>
      </c>
      <c r="L62" s="10">
        <f>SUMIFS(Expense_master[Staff_Salary],Expense_master[Month_Key],Daily_Data[[#This Row],[Month_key]]) / SUMIFS(Expense_master[Days_in_Month],Expense_master[Month_Key],Daily_Data[[#This Row],[Month_key]])</f>
        <v>2258.0645161290322</v>
      </c>
      <c r="M62" s="10">
        <f>Daily_Data[[#This Row],[Rooms_Occupied]] * (SUMIFS(Expense_master[Housekeeping_Laundy],Expense_master[Month_Key],Daily_Data[[#This Row],[Month_key]]) / SUMIFS(Occupancy_table[Monthly_rooms_Occupied],Occupancy_table[Month_Key],Daily_Data[[#This Row],[Month_key]]))</f>
        <v>350.87719298245611</v>
      </c>
      <c r="N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1649.9151103565366</v>
      </c>
      <c r="O62" s="10">
        <f>SUMIFS(Expense_master[Monthly_Maintenance],Expense_master[Month_Key],Daily_Data[[#This Row],[Month_key]]) / SUMIFS(Expense_master[Days_in_Month],Expense_master[Month_Key], Daily_Data[[#This Row],[Month_key]])</f>
        <v>645.16129032258061</v>
      </c>
      <c r="P62" s="10">
        <f xml:space="preserve"> Daily_Data[[#This Row],[OTA Commision]] + Daily_Data[[#This Row],[Daily_Rent]]+Daily_Data[[#This Row],[Daily_Staff]]+Daily_Data[[#This Row],[Daily_HK]]+Daily_Data[[#This Row],[Daily_Electricity]] + Daily_Data[[#This Row],[Daily Maintenance]]</f>
        <v>14325.130367855123</v>
      </c>
      <c r="Q62" s="10">
        <f>Daily_Data[[#This Row],[Total_Sales]]-Daily_Data[[#This Row],[Total_Daily_Expense]]</f>
        <v>638.86963214487696</v>
      </c>
      <c r="R62" s="10">
        <f>Daily_Data[[#This Row],[Total_Sales]]/Daily_Data[[#This Row],[Rooms_Occupied]]</f>
        <v>1247</v>
      </c>
      <c r="S62" s="10">
        <f>Daily_Data[[#This Row],[Total_Sales]] / Daily_Data[[#This Row],[Max_rooms]]</f>
        <v>1068.8571428571429</v>
      </c>
    </row>
    <row r="63" spans="1:19" x14ac:dyDescent="0.25">
      <c r="A63" s="6">
        <v>44988</v>
      </c>
      <c r="B63" s="20">
        <f>DATE(YEAR(Daily_Data[[#This Row],[Date]]), MONTH(Daily_Data[[#This Row],[Date]]), 1)</f>
        <v>44986</v>
      </c>
      <c r="C63" s="20" t="str">
        <f>TEXT(Daily_Data[[#This Row],[Month_key]],"mmmm")</f>
        <v>March</v>
      </c>
      <c r="D63" s="20" t="str">
        <f>TEXT(Daily_Data[[#This Row],[Month_key]],"yyyy")</f>
        <v>2023</v>
      </c>
      <c r="E63" s="7">
        <v>12</v>
      </c>
      <c r="F63" s="7">
        <v>14</v>
      </c>
      <c r="G63" s="8">
        <f>Daily_Data[[#This Row],[Rooms_Occupied]]/F63</f>
        <v>0.8571428571428571</v>
      </c>
      <c r="H63" s="7">
        <v>1687</v>
      </c>
      <c r="I63" s="7">
        <f>Daily_Data[[#This Row],[Room_rate]]*Daily_Data[[#This Row],[Rooms_Occupied]]</f>
        <v>20244</v>
      </c>
      <c r="J63" s="10">
        <f>Daily_Data[[#This Row],[Total_Sales]] * 0.22</f>
        <v>4453.68</v>
      </c>
      <c r="K63" s="10">
        <f>INDEX(Expense_master[Monthly_Rent],MATCH(Daily_Data[[#This Row],[Month_key]],Expense_master[Month_Key],0)) / INDEX(Expense_master[Days_in_Month],MATCH(Daily_Data[[#This Row],[Month_key]],Expense_master[Month_Key],0))</f>
        <v>6129.0322580645161</v>
      </c>
      <c r="L63" s="10">
        <f>SUMIFS(Expense_master[Staff_Salary],Expense_master[Month_Key],Daily_Data[[#This Row],[Month_key]]) / SUMIFS(Expense_master[Days_in_Month],Expense_master[Month_Key],Daily_Data[[#This Row],[Month_key]])</f>
        <v>2258.0645161290322</v>
      </c>
      <c r="M63" s="10">
        <f>Daily_Data[[#This Row],[Rooms_Occupied]] * (SUMIFS(Expense_master[Housekeeping_Laundy],Expense_master[Month_Key],Daily_Data[[#This Row],[Month_key]]) / SUMIFS(Occupancy_table[Monthly_rooms_Occupied],Occupancy_table[Month_Key],Daily_Data[[#This Row],[Month_key]]))</f>
        <v>350.87719298245611</v>
      </c>
      <c r="N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1649.9151103565366</v>
      </c>
      <c r="O63" s="10">
        <f>SUMIFS(Expense_master[Monthly_Maintenance],Expense_master[Month_Key],Daily_Data[[#This Row],[Month_key]]) / SUMIFS(Expense_master[Days_in_Month],Expense_master[Month_Key], Daily_Data[[#This Row],[Month_key]])</f>
        <v>645.16129032258061</v>
      </c>
      <c r="P63" s="10">
        <f xml:space="preserve"> Daily_Data[[#This Row],[OTA Commision]] + Daily_Data[[#This Row],[Daily_Rent]]+Daily_Data[[#This Row],[Daily_Staff]]+Daily_Data[[#This Row],[Daily_HK]]+Daily_Data[[#This Row],[Daily_Electricity]] + Daily_Data[[#This Row],[Daily Maintenance]]</f>
        <v>15486.730367855122</v>
      </c>
      <c r="Q63" s="10">
        <f>Daily_Data[[#This Row],[Total_Sales]]-Daily_Data[[#This Row],[Total_Daily_Expense]]</f>
        <v>4757.2696321448784</v>
      </c>
      <c r="R63" s="10">
        <f>Daily_Data[[#This Row],[Total_Sales]]/Daily_Data[[#This Row],[Rooms_Occupied]]</f>
        <v>1687</v>
      </c>
      <c r="S63" s="10">
        <f>Daily_Data[[#This Row],[Total_Sales]] / Daily_Data[[#This Row],[Max_rooms]]</f>
        <v>1446</v>
      </c>
    </row>
    <row r="64" spans="1:19" x14ac:dyDescent="0.25">
      <c r="A64" s="6">
        <v>44989</v>
      </c>
      <c r="B64" s="20">
        <f>DATE(YEAR(Daily_Data[[#This Row],[Date]]), MONTH(Daily_Data[[#This Row],[Date]]), 1)</f>
        <v>44986</v>
      </c>
      <c r="C64" s="20" t="str">
        <f>TEXT(Daily_Data[[#This Row],[Month_key]],"mmmm")</f>
        <v>March</v>
      </c>
      <c r="D64" s="20" t="str">
        <f>TEXT(Daily_Data[[#This Row],[Month_key]],"yyyy")</f>
        <v>2023</v>
      </c>
      <c r="E64" s="7">
        <v>12</v>
      </c>
      <c r="F64" s="7">
        <v>14</v>
      </c>
      <c r="G64" s="8">
        <f>Daily_Data[[#This Row],[Rooms_Occupied]]/F64</f>
        <v>0.8571428571428571</v>
      </c>
      <c r="H64" s="7">
        <v>1978</v>
      </c>
      <c r="I64" s="7">
        <f>Daily_Data[[#This Row],[Room_rate]]*Daily_Data[[#This Row],[Rooms_Occupied]]</f>
        <v>23736</v>
      </c>
      <c r="J64" s="10">
        <f>Daily_Data[[#This Row],[Total_Sales]] * 0.22</f>
        <v>5221.92</v>
      </c>
      <c r="K64" s="10">
        <f>INDEX(Expense_master[Monthly_Rent],MATCH(Daily_Data[[#This Row],[Month_key]],Expense_master[Month_Key],0)) / INDEX(Expense_master[Days_in_Month],MATCH(Daily_Data[[#This Row],[Month_key]],Expense_master[Month_Key],0))</f>
        <v>6129.0322580645161</v>
      </c>
      <c r="L64" s="10">
        <f>SUMIFS(Expense_master[Staff_Salary],Expense_master[Month_Key],Daily_Data[[#This Row],[Month_key]]) / SUMIFS(Expense_master[Days_in_Month],Expense_master[Month_Key],Daily_Data[[#This Row],[Month_key]])</f>
        <v>2258.0645161290322</v>
      </c>
      <c r="M64" s="10">
        <f>Daily_Data[[#This Row],[Rooms_Occupied]] * (SUMIFS(Expense_master[Housekeeping_Laundy],Expense_master[Month_Key],Daily_Data[[#This Row],[Month_key]]) / SUMIFS(Occupancy_table[Monthly_rooms_Occupied],Occupancy_table[Month_Key],Daily_Data[[#This Row],[Month_key]]))</f>
        <v>350.87719298245611</v>
      </c>
      <c r="N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1649.9151103565366</v>
      </c>
      <c r="O64" s="10">
        <f>SUMIFS(Expense_master[Monthly_Maintenance],Expense_master[Month_Key],Daily_Data[[#This Row],[Month_key]]) / SUMIFS(Expense_master[Days_in_Month],Expense_master[Month_Key], Daily_Data[[#This Row],[Month_key]])</f>
        <v>645.16129032258061</v>
      </c>
      <c r="P64" s="10">
        <f xml:space="preserve"> Daily_Data[[#This Row],[OTA Commision]] + Daily_Data[[#This Row],[Daily_Rent]]+Daily_Data[[#This Row],[Daily_Staff]]+Daily_Data[[#This Row],[Daily_HK]]+Daily_Data[[#This Row],[Daily_Electricity]] + Daily_Data[[#This Row],[Daily Maintenance]]</f>
        <v>16254.970367855123</v>
      </c>
      <c r="Q64" s="10">
        <f>Daily_Data[[#This Row],[Total_Sales]]-Daily_Data[[#This Row],[Total_Daily_Expense]]</f>
        <v>7481.0296321448768</v>
      </c>
      <c r="R64" s="10">
        <f>Daily_Data[[#This Row],[Total_Sales]]/Daily_Data[[#This Row],[Rooms_Occupied]]</f>
        <v>1978</v>
      </c>
      <c r="S64" s="10">
        <f>Daily_Data[[#This Row],[Total_Sales]] / Daily_Data[[#This Row],[Max_rooms]]</f>
        <v>1695.4285714285713</v>
      </c>
    </row>
    <row r="65" spans="1:19" x14ac:dyDescent="0.25">
      <c r="A65" s="6">
        <v>44990</v>
      </c>
      <c r="B65" s="20">
        <f>DATE(YEAR(Daily_Data[[#This Row],[Date]]), MONTH(Daily_Data[[#This Row],[Date]]), 1)</f>
        <v>44986</v>
      </c>
      <c r="C65" s="20" t="str">
        <f>TEXT(Daily_Data[[#This Row],[Month_key]],"mmmm")</f>
        <v>March</v>
      </c>
      <c r="D65" s="20" t="str">
        <f>TEXT(Daily_Data[[#This Row],[Month_key]],"yyyy")</f>
        <v>2023</v>
      </c>
      <c r="E65" s="7">
        <v>11</v>
      </c>
      <c r="F65" s="7">
        <v>14</v>
      </c>
      <c r="G65" s="8">
        <f>Daily_Data[[#This Row],[Rooms_Occupied]]/F65</f>
        <v>0.7857142857142857</v>
      </c>
      <c r="H65" s="7">
        <v>1380</v>
      </c>
      <c r="I65" s="7">
        <f>Daily_Data[[#This Row],[Room_rate]]*Daily_Data[[#This Row],[Rooms_Occupied]]</f>
        <v>15180</v>
      </c>
      <c r="J65" s="10">
        <f>Daily_Data[[#This Row],[Total_Sales]] * 0.22</f>
        <v>3339.6</v>
      </c>
      <c r="K65" s="10">
        <f>INDEX(Expense_master[Monthly_Rent],MATCH(Daily_Data[[#This Row],[Month_key]],Expense_master[Month_Key],0)) / INDEX(Expense_master[Days_in_Month],MATCH(Daily_Data[[#This Row],[Month_key]],Expense_master[Month_Key],0))</f>
        <v>6129.0322580645161</v>
      </c>
      <c r="L65" s="10">
        <f>SUMIFS(Expense_master[Staff_Salary],Expense_master[Month_Key],Daily_Data[[#This Row],[Month_key]]) / SUMIFS(Expense_master[Days_in_Month],Expense_master[Month_Key],Daily_Data[[#This Row],[Month_key]])</f>
        <v>2258.0645161290322</v>
      </c>
      <c r="M65" s="10">
        <f>Daily_Data[[#This Row],[Rooms_Occupied]] * (SUMIFS(Expense_master[Housekeeping_Laundy],Expense_master[Month_Key],Daily_Data[[#This Row],[Month_key]]) / SUMIFS(Occupancy_table[Monthly_rooms_Occupied],Occupancy_table[Month_Key],Daily_Data[[#This Row],[Month_key]]))</f>
        <v>321.63742690058479</v>
      </c>
      <c r="N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1564.6694963214488</v>
      </c>
      <c r="O65" s="10">
        <f>SUMIFS(Expense_master[Monthly_Maintenance],Expense_master[Month_Key],Daily_Data[[#This Row],[Month_key]]) / SUMIFS(Expense_master[Days_in_Month],Expense_master[Month_Key], Daily_Data[[#This Row],[Month_key]])</f>
        <v>645.16129032258061</v>
      </c>
      <c r="P65" s="10">
        <f xml:space="preserve"> Daily_Data[[#This Row],[OTA Commision]] + Daily_Data[[#This Row],[Daily_Rent]]+Daily_Data[[#This Row],[Daily_Staff]]+Daily_Data[[#This Row],[Daily_HK]]+Daily_Data[[#This Row],[Daily_Electricity]] + Daily_Data[[#This Row],[Daily Maintenance]]</f>
        <v>14258.164987738162</v>
      </c>
      <c r="Q65" s="10">
        <f>Daily_Data[[#This Row],[Total_Sales]]-Daily_Data[[#This Row],[Total_Daily_Expense]]</f>
        <v>921.83501226183762</v>
      </c>
      <c r="R65" s="10">
        <f>Daily_Data[[#This Row],[Total_Sales]]/Daily_Data[[#This Row],[Rooms_Occupied]]</f>
        <v>1380</v>
      </c>
      <c r="S65" s="10">
        <f>Daily_Data[[#This Row],[Total_Sales]] / Daily_Data[[#This Row],[Max_rooms]]</f>
        <v>1084.2857142857142</v>
      </c>
    </row>
    <row r="66" spans="1:19" x14ac:dyDescent="0.25">
      <c r="A66" s="6">
        <v>44991</v>
      </c>
      <c r="B66" s="20">
        <f>DATE(YEAR(Daily_Data[[#This Row],[Date]]), MONTH(Daily_Data[[#This Row],[Date]]), 1)</f>
        <v>44986</v>
      </c>
      <c r="C66" s="20" t="str">
        <f>TEXT(Daily_Data[[#This Row],[Month_key]],"mmmm")</f>
        <v>March</v>
      </c>
      <c r="D66" s="20" t="str">
        <f>TEXT(Daily_Data[[#This Row],[Month_key]],"yyyy")</f>
        <v>2023</v>
      </c>
      <c r="E66" s="7">
        <v>14</v>
      </c>
      <c r="F66" s="7">
        <v>14</v>
      </c>
      <c r="G66" s="8">
        <f>Daily_Data[[#This Row],[Rooms_Occupied]]/F66</f>
        <v>1</v>
      </c>
      <c r="H66" s="7">
        <v>1774</v>
      </c>
      <c r="I66" s="7">
        <f>Daily_Data[[#This Row],[Room_rate]]*Daily_Data[[#This Row],[Rooms_Occupied]]</f>
        <v>24836</v>
      </c>
      <c r="J66" s="10">
        <f>Daily_Data[[#This Row],[Total_Sales]] * 0.22</f>
        <v>5463.92</v>
      </c>
      <c r="K66" s="10">
        <f>INDEX(Expense_master[Monthly_Rent],MATCH(Daily_Data[[#This Row],[Month_key]],Expense_master[Month_Key],0)) / INDEX(Expense_master[Days_in_Month],MATCH(Daily_Data[[#This Row],[Month_key]],Expense_master[Month_Key],0))</f>
        <v>6129.0322580645161</v>
      </c>
      <c r="L66" s="10">
        <f>SUMIFS(Expense_master[Staff_Salary],Expense_master[Month_Key],Daily_Data[[#This Row],[Month_key]]) / SUMIFS(Expense_master[Days_in_Month],Expense_master[Month_Key],Daily_Data[[#This Row],[Month_key]])</f>
        <v>2258.0645161290322</v>
      </c>
      <c r="M66" s="10">
        <f>Daily_Data[[#This Row],[Rooms_Occupied]] * (SUMIFS(Expense_master[Housekeeping_Laundy],Expense_master[Month_Key],Daily_Data[[#This Row],[Month_key]]) / SUMIFS(Occupancy_table[Monthly_rooms_Occupied],Occupancy_table[Month_Key],Daily_Data[[#This Row],[Month_key]]))</f>
        <v>409.35672514619881</v>
      </c>
      <c r="N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1820.406338426712</v>
      </c>
      <c r="O66" s="10">
        <f>SUMIFS(Expense_master[Monthly_Maintenance],Expense_master[Month_Key],Daily_Data[[#This Row],[Month_key]]) / SUMIFS(Expense_master[Days_in_Month],Expense_master[Month_Key], Daily_Data[[#This Row],[Month_key]])</f>
        <v>645.16129032258061</v>
      </c>
      <c r="P66" s="10">
        <f xml:space="preserve"> Daily_Data[[#This Row],[OTA Commision]] + Daily_Data[[#This Row],[Daily_Rent]]+Daily_Data[[#This Row],[Daily_Staff]]+Daily_Data[[#This Row],[Daily_HK]]+Daily_Data[[#This Row],[Daily_Electricity]] + Daily_Data[[#This Row],[Daily Maintenance]]</f>
        <v>16725.941128089042</v>
      </c>
      <c r="Q66" s="10">
        <f>Daily_Data[[#This Row],[Total_Sales]]-Daily_Data[[#This Row],[Total_Daily_Expense]]</f>
        <v>8110.0588719109583</v>
      </c>
      <c r="R66" s="10">
        <f>Daily_Data[[#This Row],[Total_Sales]]/Daily_Data[[#This Row],[Rooms_Occupied]]</f>
        <v>1774</v>
      </c>
      <c r="S66" s="10">
        <f>Daily_Data[[#This Row],[Total_Sales]] / Daily_Data[[#This Row],[Max_rooms]]</f>
        <v>1774</v>
      </c>
    </row>
    <row r="67" spans="1:19" x14ac:dyDescent="0.25">
      <c r="A67" s="6">
        <v>44992</v>
      </c>
      <c r="B67" s="20">
        <f>DATE(YEAR(Daily_Data[[#This Row],[Date]]), MONTH(Daily_Data[[#This Row],[Date]]), 1)</f>
        <v>44986</v>
      </c>
      <c r="C67" s="20" t="str">
        <f>TEXT(Daily_Data[[#This Row],[Month_key]],"mmmm")</f>
        <v>March</v>
      </c>
      <c r="D67" s="20" t="str">
        <f>TEXT(Daily_Data[[#This Row],[Month_key]],"yyyy")</f>
        <v>2023</v>
      </c>
      <c r="E67" s="7">
        <v>13</v>
      </c>
      <c r="F67" s="7">
        <v>14</v>
      </c>
      <c r="G67" s="8">
        <f>Daily_Data[[#This Row],[Rooms_Occupied]]/F67</f>
        <v>0.9285714285714286</v>
      </c>
      <c r="H67" s="7">
        <v>1278</v>
      </c>
      <c r="I67" s="7">
        <f>Daily_Data[[#This Row],[Room_rate]]*Daily_Data[[#This Row],[Rooms_Occupied]]</f>
        <v>16614</v>
      </c>
      <c r="J67" s="10">
        <f>Daily_Data[[#This Row],[Total_Sales]] * 0.22</f>
        <v>3655.08</v>
      </c>
      <c r="K67" s="10">
        <f>INDEX(Expense_master[Monthly_Rent],MATCH(Daily_Data[[#This Row],[Month_key]],Expense_master[Month_Key],0)) / INDEX(Expense_master[Days_in_Month],MATCH(Daily_Data[[#This Row],[Month_key]],Expense_master[Month_Key],0))</f>
        <v>6129.0322580645161</v>
      </c>
      <c r="L67" s="10">
        <f>SUMIFS(Expense_master[Staff_Salary],Expense_master[Month_Key],Daily_Data[[#This Row],[Month_key]]) / SUMIFS(Expense_master[Days_in_Month],Expense_master[Month_Key],Daily_Data[[#This Row],[Month_key]])</f>
        <v>2258.0645161290322</v>
      </c>
      <c r="M67" s="10">
        <f>Daily_Data[[#This Row],[Rooms_Occupied]] * (SUMIFS(Expense_master[Housekeeping_Laundy],Expense_master[Month_Key],Daily_Data[[#This Row],[Month_key]]) / SUMIFS(Occupancy_table[Monthly_rooms_Occupied],Occupancy_table[Month_Key],Daily_Data[[#This Row],[Month_key]]))</f>
        <v>380.11695906432749</v>
      </c>
      <c r="N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1735.1607243916244</v>
      </c>
      <c r="O67" s="10">
        <f>SUMIFS(Expense_master[Monthly_Maintenance],Expense_master[Month_Key],Daily_Data[[#This Row],[Month_key]]) / SUMIFS(Expense_master[Days_in_Month],Expense_master[Month_Key], Daily_Data[[#This Row],[Month_key]])</f>
        <v>645.16129032258061</v>
      </c>
      <c r="P67" s="10">
        <f xml:space="preserve"> Daily_Data[[#This Row],[OTA Commision]] + Daily_Data[[#This Row],[Daily_Rent]]+Daily_Data[[#This Row],[Daily_Staff]]+Daily_Data[[#This Row],[Daily_HK]]+Daily_Data[[#This Row],[Daily_Electricity]] + Daily_Data[[#This Row],[Daily Maintenance]]</f>
        <v>14802.615747972082</v>
      </c>
      <c r="Q67" s="10">
        <f>Daily_Data[[#This Row],[Total_Sales]]-Daily_Data[[#This Row],[Total_Daily_Expense]]</f>
        <v>1811.3842520279177</v>
      </c>
      <c r="R67" s="10">
        <f>Daily_Data[[#This Row],[Total_Sales]]/Daily_Data[[#This Row],[Rooms_Occupied]]</f>
        <v>1278</v>
      </c>
      <c r="S67" s="10">
        <f>Daily_Data[[#This Row],[Total_Sales]] / Daily_Data[[#This Row],[Max_rooms]]</f>
        <v>1186.7142857142858</v>
      </c>
    </row>
    <row r="68" spans="1:19" x14ac:dyDescent="0.25">
      <c r="A68" s="6">
        <v>44993</v>
      </c>
      <c r="B68" s="20">
        <f>DATE(YEAR(Daily_Data[[#This Row],[Date]]), MONTH(Daily_Data[[#This Row],[Date]]), 1)</f>
        <v>44986</v>
      </c>
      <c r="C68" s="20" t="str">
        <f>TEXT(Daily_Data[[#This Row],[Month_key]],"mmmm")</f>
        <v>March</v>
      </c>
      <c r="D68" s="20" t="str">
        <f>TEXT(Daily_Data[[#This Row],[Month_key]],"yyyy")</f>
        <v>2023</v>
      </c>
      <c r="E68" s="7">
        <v>11</v>
      </c>
      <c r="F68" s="7">
        <v>14</v>
      </c>
      <c r="G68" s="8">
        <f>Daily_Data[[#This Row],[Rooms_Occupied]]/F68</f>
        <v>0.7857142857142857</v>
      </c>
      <c r="H68" s="7">
        <v>1526</v>
      </c>
      <c r="I68" s="7">
        <f>Daily_Data[[#This Row],[Room_rate]]*Daily_Data[[#This Row],[Rooms_Occupied]]</f>
        <v>16786</v>
      </c>
      <c r="J68" s="10">
        <f>Daily_Data[[#This Row],[Total_Sales]] * 0.22</f>
        <v>3692.92</v>
      </c>
      <c r="K68" s="10">
        <f>INDEX(Expense_master[Monthly_Rent],MATCH(Daily_Data[[#This Row],[Month_key]],Expense_master[Month_Key],0)) / INDEX(Expense_master[Days_in_Month],MATCH(Daily_Data[[#This Row],[Month_key]],Expense_master[Month_Key],0))</f>
        <v>6129.0322580645161</v>
      </c>
      <c r="L68" s="10">
        <f>SUMIFS(Expense_master[Staff_Salary],Expense_master[Month_Key],Daily_Data[[#This Row],[Month_key]]) / SUMIFS(Expense_master[Days_in_Month],Expense_master[Month_Key],Daily_Data[[#This Row],[Month_key]])</f>
        <v>2258.0645161290322</v>
      </c>
      <c r="M68" s="10">
        <f>Daily_Data[[#This Row],[Rooms_Occupied]] * (SUMIFS(Expense_master[Housekeeping_Laundy],Expense_master[Month_Key],Daily_Data[[#This Row],[Month_key]]) / SUMIFS(Occupancy_table[Monthly_rooms_Occupied],Occupancy_table[Month_Key],Daily_Data[[#This Row],[Month_key]]))</f>
        <v>321.63742690058479</v>
      </c>
      <c r="N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1564.6694963214488</v>
      </c>
      <c r="O68" s="10">
        <f>SUMIFS(Expense_master[Monthly_Maintenance],Expense_master[Month_Key],Daily_Data[[#This Row],[Month_key]]) / SUMIFS(Expense_master[Days_in_Month],Expense_master[Month_Key], Daily_Data[[#This Row],[Month_key]])</f>
        <v>645.16129032258061</v>
      </c>
      <c r="P68" s="10">
        <f xml:space="preserve"> Daily_Data[[#This Row],[OTA Commision]] + Daily_Data[[#This Row],[Daily_Rent]]+Daily_Data[[#This Row],[Daily_Staff]]+Daily_Data[[#This Row],[Daily_HK]]+Daily_Data[[#This Row],[Daily_Electricity]] + Daily_Data[[#This Row],[Daily Maintenance]]</f>
        <v>14611.484987738164</v>
      </c>
      <c r="Q68" s="10">
        <f>Daily_Data[[#This Row],[Total_Sales]]-Daily_Data[[#This Row],[Total_Daily_Expense]]</f>
        <v>2174.5150122618361</v>
      </c>
      <c r="R68" s="10">
        <f>Daily_Data[[#This Row],[Total_Sales]]/Daily_Data[[#This Row],[Rooms_Occupied]]</f>
        <v>1526</v>
      </c>
      <c r="S68" s="10">
        <f>Daily_Data[[#This Row],[Total_Sales]] / Daily_Data[[#This Row],[Max_rooms]]</f>
        <v>1199</v>
      </c>
    </row>
    <row r="69" spans="1:19" x14ac:dyDescent="0.25">
      <c r="A69" s="6">
        <v>44994</v>
      </c>
      <c r="B69" s="20">
        <f>DATE(YEAR(Daily_Data[[#This Row],[Date]]), MONTH(Daily_Data[[#This Row],[Date]]), 1)</f>
        <v>44986</v>
      </c>
      <c r="C69" s="20" t="str">
        <f>TEXT(Daily_Data[[#This Row],[Month_key]],"mmmm")</f>
        <v>March</v>
      </c>
      <c r="D69" s="20" t="str">
        <f>TEXT(Daily_Data[[#This Row],[Month_key]],"yyyy")</f>
        <v>2023</v>
      </c>
      <c r="E69" s="7">
        <v>11</v>
      </c>
      <c r="F69" s="7">
        <v>14</v>
      </c>
      <c r="G69" s="8">
        <f>Daily_Data[[#This Row],[Rooms_Occupied]]/F69</f>
        <v>0.7857142857142857</v>
      </c>
      <c r="H69" s="7">
        <v>1715</v>
      </c>
      <c r="I69" s="7">
        <f>Daily_Data[[#This Row],[Room_rate]]*Daily_Data[[#This Row],[Rooms_Occupied]]</f>
        <v>18865</v>
      </c>
      <c r="J69" s="10">
        <f>Daily_Data[[#This Row],[Total_Sales]] * 0.22</f>
        <v>4150.3</v>
      </c>
      <c r="K69" s="10">
        <f>INDEX(Expense_master[Monthly_Rent],MATCH(Daily_Data[[#This Row],[Month_key]],Expense_master[Month_Key],0)) / INDEX(Expense_master[Days_in_Month],MATCH(Daily_Data[[#This Row],[Month_key]],Expense_master[Month_Key],0))</f>
        <v>6129.0322580645161</v>
      </c>
      <c r="L69" s="10">
        <f>SUMIFS(Expense_master[Staff_Salary],Expense_master[Month_Key],Daily_Data[[#This Row],[Month_key]]) / SUMIFS(Expense_master[Days_in_Month],Expense_master[Month_Key],Daily_Data[[#This Row],[Month_key]])</f>
        <v>2258.0645161290322</v>
      </c>
      <c r="M69" s="10">
        <f>Daily_Data[[#This Row],[Rooms_Occupied]] * (SUMIFS(Expense_master[Housekeeping_Laundy],Expense_master[Month_Key],Daily_Data[[#This Row],[Month_key]]) / SUMIFS(Occupancy_table[Monthly_rooms_Occupied],Occupancy_table[Month_Key],Daily_Data[[#This Row],[Month_key]]))</f>
        <v>321.63742690058479</v>
      </c>
      <c r="N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1564.6694963214488</v>
      </c>
      <c r="O69" s="10">
        <f>SUMIFS(Expense_master[Monthly_Maintenance],Expense_master[Month_Key],Daily_Data[[#This Row],[Month_key]]) / SUMIFS(Expense_master[Days_in_Month],Expense_master[Month_Key], Daily_Data[[#This Row],[Month_key]])</f>
        <v>645.16129032258061</v>
      </c>
      <c r="P69" s="10">
        <f xml:space="preserve"> Daily_Data[[#This Row],[OTA Commision]] + Daily_Data[[#This Row],[Daily_Rent]]+Daily_Data[[#This Row],[Daily_Staff]]+Daily_Data[[#This Row],[Daily_HK]]+Daily_Data[[#This Row],[Daily_Electricity]] + Daily_Data[[#This Row],[Daily Maintenance]]</f>
        <v>15068.864987738163</v>
      </c>
      <c r="Q69" s="10">
        <f>Daily_Data[[#This Row],[Total_Sales]]-Daily_Data[[#This Row],[Total_Daily_Expense]]</f>
        <v>3796.1350122618369</v>
      </c>
      <c r="R69" s="10">
        <f>Daily_Data[[#This Row],[Total_Sales]]/Daily_Data[[#This Row],[Rooms_Occupied]]</f>
        <v>1715</v>
      </c>
      <c r="S69" s="10">
        <f>Daily_Data[[#This Row],[Total_Sales]] / Daily_Data[[#This Row],[Max_rooms]]</f>
        <v>1347.5</v>
      </c>
    </row>
    <row r="70" spans="1:19" x14ac:dyDescent="0.25">
      <c r="A70" s="6">
        <v>44995</v>
      </c>
      <c r="B70" s="20">
        <f>DATE(YEAR(Daily_Data[[#This Row],[Date]]), MONTH(Daily_Data[[#This Row],[Date]]), 1)</f>
        <v>44986</v>
      </c>
      <c r="C70" s="20" t="str">
        <f>TEXT(Daily_Data[[#This Row],[Month_key]],"mmmm")</f>
        <v>March</v>
      </c>
      <c r="D70" s="20" t="str">
        <f>TEXT(Daily_Data[[#This Row],[Month_key]],"yyyy")</f>
        <v>2023</v>
      </c>
      <c r="E70" s="7">
        <v>14</v>
      </c>
      <c r="F70" s="7">
        <v>14</v>
      </c>
      <c r="G70" s="8">
        <f>Daily_Data[[#This Row],[Rooms_Occupied]]/F70</f>
        <v>1</v>
      </c>
      <c r="H70" s="7">
        <v>1648</v>
      </c>
      <c r="I70" s="7">
        <f>Daily_Data[[#This Row],[Room_rate]]*Daily_Data[[#This Row],[Rooms_Occupied]]</f>
        <v>23072</v>
      </c>
      <c r="J70" s="10">
        <f>Daily_Data[[#This Row],[Total_Sales]] * 0.22</f>
        <v>5075.84</v>
      </c>
      <c r="K70" s="10">
        <f>INDEX(Expense_master[Monthly_Rent],MATCH(Daily_Data[[#This Row],[Month_key]],Expense_master[Month_Key],0)) / INDEX(Expense_master[Days_in_Month],MATCH(Daily_Data[[#This Row],[Month_key]],Expense_master[Month_Key],0))</f>
        <v>6129.0322580645161</v>
      </c>
      <c r="L70" s="10">
        <f>SUMIFS(Expense_master[Staff_Salary],Expense_master[Month_Key],Daily_Data[[#This Row],[Month_key]]) / SUMIFS(Expense_master[Days_in_Month],Expense_master[Month_Key],Daily_Data[[#This Row],[Month_key]])</f>
        <v>2258.0645161290322</v>
      </c>
      <c r="M70" s="10">
        <f>Daily_Data[[#This Row],[Rooms_Occupied]] * (SUMIFS(Expense_master[Housekeeping_Laundy],Expense_master[Month_Key],Daily_Data[[#This Row],[Month_key]]) / SUMIFS(Occupancy_table[Monthly_rooms_Occupied],Occupancy_table[Month_Key],Daily_Data[[#This Row],[Month_key]]))</f>
        <v>409.35672514619881</v>
      </c>
      <c r="N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1820.406338426712</v>
      </c>
      <c r="O70" s="10">
        <f>SUMIFS(Expense_master[Monthly_Maintenance],Expense_master[Month_Key],Daily_Data[[#This Row],[Month_key]]) / SUMIFS(Expense_master[Days_in_Month],Expense_master[Month_Key], Daily_Data[[#This Row],[Month_key]])</f>
        <v>645.16129032258061</v>
      </c>
      <c r="P70" s="10">
        <f xml:space="preserve"> Daily_Data[[#This Row],[OTA Commision]] + Daily_Data[[#This Row],[Daily_Rent]]+Daily_Data[[#This Row],[Daily_Staff]]+Daily_Data[[#This Row],[Daily_HK]]+Daily_Data[[#This Row],[Daily_Electricity]] + Daily_Data[[#This Row],[Daily Maintenance]]</f>
        <v>16337.86112808904</v>
      </c>
      <c r="Q70" s="10">
        <f>Daily_Data[[#This Row],[Total_Sales]]-Daily_Data[[#This Row],[Total_Daily_Expense]]</f>
        <v>6734.13887191096</v>
      </c>
      <c r="R70" s="10">
        <f>Daily_Data[[#This Row],[Total_Sales]]/Daily_Data[[#This Row],[Rooms_Occupied]]</f>
        <v>1648</v>
      </c>
      <c r="S70" s="10">
        <f>Daily_Data[[#This Row],[Total_Sales]] / Daily_Data[[#This Row],[Max_rooms]]</f>
        <v>1648</v>
      </c>
    </row>
    <row r="71" spans="1:19" x14ac:dyDescent="0.25">
      <c r="A71" s="6">
        <v>44996</v>
      </c>
      <c r="B71" s="20">
        <f>DATE(YEAR(Daily_Data[[#This Row],[Date]]), MONTH(Daily_Data[[#This Row],[Date]]), 1)</f>
        <v>44986</v>
      </c>
      <c r="C71" s="20" t="str">
        <f>TEXT(Daily_Data[[#This Row],[Month_key]],"mmmm")</f>
        <v>March</v>
      </c>
      <c r="D71" s="20" t="str">
        <f>TEXT(Daily_Data[[#This Row],[Month_key]],"yyyy")</f>
        <v>2023</v>
      </c>
      <c r="E71" s="7">
        <v>10</v>
      </c>
      <c r="F71" s="7">
        <v>14</v>
      </c>
      <c r="G71" s="8">
        <f>Daily_Data[[#This Row],[Rooms_Occupied]]/F71</f>
        <v>0.7142857142857143</v>
      </c>
      <c r="H71" s="7">
        <v>1112</v>
      </c>
      <c r="I71" s="7">
        <f>Daily_Data[[#This Row],[Room_rate]]*Daily_Data[[#This Row],[Rooms_Occupied]]</f>
        <v>11120</v>
      </c>
      <c r="J71" s="10">
        <f>Daily_Data[[#This Row],[Total_Sales]] * 0.22</f>
        <v>2446.4</v>
      </c>
      <c r="K71" s="10">
        <f>INDEX(Expense_master[Monthly_Rent],MATCH(Daily_Data[[#This Row],[Month_key]],Expense_master[Month_Key],0)) / INDEX(Expense_master[Days_in_Month],MATCH(Daily_Data[[#This Row],[Month_key]],Expense_master[Month_Key],0))</f>
        <v>6129.0322580645161</v>
      </c>
      <c r="L71" s="10">
        <f>SUMIFS(Expense_master[Staff_Salary],Expense_master[Month_Key],Daily_Data[[#This Row],[Month_key]]) / SUMIFS(Expense_master[Days_in_Month],Expense_master[Month_Key],Daily_Data[[#This Row],[Month_key]])</f>
        <v>2258.0645161290322</v>
      </c>
      <c r="M71" s="10">
        <f>Daily_Data[[#This Row],[Rooms_Occupied]] * (SUMIFS(Expense_master[Housekeeping_Laundy],Expense_master[Month_Key],Daily_Data[[#This Row],[Month_key]]) / SUMIFS(Occupancy_table[Monthly_rooms_Occupied],Occupancy_table[Month_Key],Daily_Data[[#This Row],[Month_key]]))</f>
        <v>292.39766081871346</v>
      </c>
      <c r="N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1479.4238822863613</v>
      </c>
      <c r="O71" s="10">
        <f>SUMIFS(Expense_master[Monthly_Maintenance],Expense_master[Month_Key],Daily_Data[[#This Row],[Month_key]]) / SUMIFS(Expense_master[Days_in_Month],Expense_master[Month_Key], Daily_Data[[#This Row],[Month_key]])</f>
        <v>645.16129032258061</v>
      </c>
      <c r="P71" s="10">
        <f xml:space="preserve"> Daily_Data[[#This Row],[OTA Commision]] + Daily_Data[[#This Row],[Daily_Rent]]+Daily_Data[[#This Row],[Daily_Staff]]+Daily_Data[[#This Row],[Daily_HK]]+Daily_Data[[#This Row],[Daily_Electricity]] + Daily_Data[[#This Row],[Daily Maintenance]]</f>
        <v>13250.479607621204</v>
      </c>
      <c r="Q71" s="10">
        <f>Daily_Data[[#This Row],[Total_Sales]]-Daily_Data[[#This Row],[Total_Daily_Expense]]</f>
        <v>-2130.4796076212042</v>
      </c>
      <c r="R71" s="10">
        <f>Daily_Data[[#This Row],[Total_Sales]]/Daily_Data[[#This Row],[Rooms_Occupied]]</f>
        <v>1112</v>
      </c>
      <c r="S71" s="10">
        <f>Daily_Data[[#This Row],[Total_Sales]] / Daily_Data[[#This Row],[Max_rooms]]</f>
        <v>794.28571428571433</v>
      </c>
    </row>
    <row r="72" spans="1:19" x14ac:dyDescent="0.25">
      <c r="A72" s="6">
        <v>44997</v>
      </c>
      <c r="B72" s="20">
        <f>DATE(YEAR(Daily_Data[[#This Row],[Date]]), MONTH(Daily_Data[[#This Row],[Date]]), 1)</f>
        <v>44986</v>
      </c>
      <c r="C72" s="20" t="str">
        <f>TEXT(Daily_Data[[#This Row],[Month_key]],"mmmm")</f>
        <v>March</v>
      </c>
      <c r="D72" s="20" t="str">
        <f>TEXT(Daily_Data[[#This Row],[Month_key]],"yyyy")</f>
        <v>2023</v>
      </c>
      <c r="E72" s="7">
        <v>8</v>
      </c>
      <c r="F72" s="7">
        <v>14</v>
      </c>
      <c r="G72" s="8">
        <f>Daily_Data[[#This Row],[Rooms_Occupied]]/F72</f>
        <v>0.5714285714285714</v>
      </c>
      <c r="H72" s="7">
        <v>1336</v>
      </c>
      <c r="I72" s="7">
        <f>Daily_Data[[#This Row],[Room_rate]]*Daily_Data[[#This Row],[Rooms_Occupied]]</f>
        <v>10688</v>
      </c>
      <c r="J72" s="10">
        <f>Daily_Data[[#This Row],[Total_Sales]] * 0.22</f>
        <v>2351.36</v>
      </c>
      <c r="K72" s="10">
        <f>INDEX(Expense_master[Monthly_Rent],MATCH(Daily_Data[[#This Row],[Month_key]],Expense_master[Month_Key],0)) / INDEX(Expense_master[Days_in_Month],MATCH(Daily_Data[[#This Row],[Month_key]],Expense_master[Month_Key],0))</f>
        <v>6129.0322580645161</v>
      </c>
      <c r="L72" s="10">
        <f>SUMIFS(Expense_master[Staff_Salary],Expense_master[Month_Key],Daily_Data[[#This Row],[Month_key]]) / SUMIFS(Expense_master[Days_in_Month],Expense_master[Month_Key],Daily_Data[[#This Row],[Month_key]])</f>
        <v>2258.0645161290322</v>
      </c>
      <c r="M72" s="10">
        <f>Daily_Data[[#This Row],[Rooms_Occupied]] * (SUMIFS(Expense_master[Housekeeping_Laundy],Expense_master[Month_Key],Daily_Data[[#This Row],[Month_key]]) / SUMIFS(Occupancy_table[Monthly_rooms_Occupied],Occupancy_table[Month_Key],Daily_Data[[#This Row],[Month_key]]))</f>
        <v>233.91812865497076</v>
      </c>
      <c r="N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1308.9326542161857</v>
      </c>
      <c r="O72" s="10">
        <f>SUMIFS(Expense_master[Monthly_Maintenance],Expense_master[Month_Key],Daily_Data[[#This Row],[Month_key]]) / SUMIFS(Expense_master[Days_in_Month],Expense_master[Month_Key], Daily_Data[[#This Row],[Month_key]])</f>
        <v>645.16129032258061</v>
      </c>
      <c r="P72" s="10">
        <f xml:space="preserve"> Daily_Data[[#This Row],[OTA Commision]] + Daily_Data[[#This Row],[Daily_Rent]]+Daily_Data[[#This Row],[Daily_Staff]]+Daily_Data[[#This Row],[Daily_HK]]+Daily_Data[[#This Row],[Daily_Electricity]] + Daily_Data[[#This Row],[Daily Maintenance]]</f>
        <v>12926.468847387285</v>
      </c>
      <c r="Q72" s="10">
        <f>Daily_Data[[#This Row],[Total_Sales]]-Daily_Data[[#This Row],[Total_Daily_Expense]]</f>
        <v>-2238.4688473872848</v>
      </c>
      <c r="R72" s="10">
        <f>Daily_Data[[#This Row],[Total_Sales]]/Daily_Data[[#This Row],[Rooms_Occupied]]</f>
        <v>1336</v>
      </c>
      <c r="S72" s="10">
        <f>Daily_Data[[#This Row],[Total_Sales]] / Daily_Data[[#This Row],[Max_rooms]]</f>
        <v>763.42857142857144</v>
      </c>
    </row>
    <row r="73" spans="1:19" x14ac:dyDescent="0.25">
      <c r="A73" s="6">
        <v>44998</v>
      </c>
      <c r="B73" s="20">
        <f>DATE(YEAR(Daily_Data[[#This Row],[Date]]), MONTH(Daily_Data[[#This Row],[Date]]), 1)</f>
        <v>44986</v>
      </c>
      <c r="C73" s="20" t="str">
        <f>TEXT(Daily_Data[[#This Row],[Month_key]],"mmmm")</f>
        <v>March</v>
      </c>
      <c r="D73" s="20" t="str">
        <f>TEXT(Daily_Data[[#This Row],[Month_key]],"yyyy")</f>
        <v>2023</v>
      </c>
      <c r="E73" s="7">
        <v>11</v>
      </c>
      <c r="F73" s="7">
        <v>14</v>
      </c>
      <c r="G73" s="8">
        <f>Daily_Data[[#This Row],[Rooms_Occupied]]/F73</f>
        <v>0.7857142857142857</v>
      </c>
      <c r="H73" s="7">
        <v>1786</v>
      </c>
      <c r="I73" s="7">
        <f>Daily_Data[[#This Row],[Room_rate]]*Daily_Data[[#This Row],[Rooms_Occupied]]</f>
        <v>19646</v>
      </c>
      <c r="J73" s="10">
        <f>Daily_Data[[#This Row],[Total_Sales]] * 0.22</f>
        <v>4322.12</v>
      </c>
      <c r="K73" s="10">
        <f>INDEX(Expense_master[Monthly_Rent],MATCH(Daily_Data[[#This Row],[Month_key]],Expense_master[Month_Key],0)) / INDEX(Expense_master[Days_in_Month],MATCH(Daily_Data[[#This Row],[Month_key]],Expense_master[Month_Key],0))</f>
        <v>6129.0322580645161</v>
      </c>
      <c r="L73" s="10">
        <f>SUMIFS(Expense_master[Staff_Salary],Expense_master[Month_Key],Daily_Data[[#This Row],[Month_key]]) / SUMIFS(Expense_master[Days_in_Month],Expense_master[Month_Key],Daily_Data[[#This Row],[Month_key]])</f>
        <v>2258.0645161290322</v>
      </c>
      <c r="M73" s="10">
        <f>Daily_Data[[#This Row],[Rooms_Occupied]] * (SUMIFS(Expense_master[Housekeeping_Laundy],Expense_master[Month_Key],Daily_Data[[#This Row],[Month_key]]) / SUMIFS(Occupancy_table[Monthly_rooms_Occupied],Occupancy_table[Month_Key],Daily_Data[[#This Row],[Month_key]]))</f>
        <v>321.63742690058479</v>
      </c>
      <c r="N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1564.6694963214488</v>
      </c>
      <c r="O73" s="10">
        <f>SUMIFS(Expense_master[Monthly_Maintenance],Expense_master[Month_Key],Daily_Data[[#This Row],[Month_key]]) / SUMIFS(Expense_master[Days_in_Month],Expense_master[Month_Key], Daily_Data[[#This Row],[Month_key]])</f>
        <v>645.16129032258061</v>
      </c>
      <c r="P73" s="10">
        <f xml:space="preserve"> Daily_Data[[#This Row],[OTA Commision]] + Daily_Data[[#This Row],[Daily_Rent]]+Daily_Data[[#This Row],[Daily_Staff]]+Daily_Data[[#This Row],[Daily_HK]]+Daily_Data[[#This Row],[Daily_Electricity]] + Daily_Data[[#This Row],[Daily Maintenance]]</f>
        <v>15240.684987738163</v>
      </c>
      <c r="Q73" s="10">
        <f>Daily_Data[[#This Row],[Total_Sales]]-Daily_Data[[#This Row],[Total_Daily_Expense]]</f>
        <v>4405.3150122618372</v>
      </c>
      <c r="R73" s="10">
        <f>Daily_Data[[#This Row],[Total_Sales]]/Daily_Data[[#This Row],[Rooms_Occupied]]</f>
        <v>1786</v>
      </c>
      <c r="S73" s="10">
        <f>Daily_Data[[#This Row],[Total_Sales]] / Daily_Data[[#This Row],[Max_rooms]]</f>
        <v>1403.2857142857142</v>
      </c>
    </row>
    <row r="74" spans="1:19" x14ac:dyDescent="0.25">
      <c r="A74" s="6">
        <v>44999</v>
      </c>
      <c r="B74" s="20">
        <f>DATE(YEAR(Daily_Data[[#This Row],[Date]]), MONTH(Daily_Data[[#This Row],[Date]]), 1)</f>
        <v>44986</v>
      </c>
      <c r="C74" s="20" t="str">
        <f>TEXT(Daily_Data[[#This Row],[Month_key]],"mmmm")</f>
        <v>March</v>
      </c>
      <c r="D74" s="20" t="str">
        <f>TEXT(Daily_Data[[#This Row],[Month_key]],"yyyy")</f>
        <v>2023</v>
      </c>
      <c r="E74" s="7">
        <v>11</v>
      </c>
      <c r="F74" s="7">
        <v>14</v>
      </c>
      <c r="G74" s="8">
        <f>Daily_Data[[#This Row],[Rooms_Occupied]]/F74</f>
        <v>0.7857142857142857</v>
      </c>
      <c r="H74" s="7">
        <v>1054</v>
      </c>
      <c r="I74" s="7">
        <f>Daily_Data[[#This Row],[Room_rate]]*Daily_Data[[#This Row],[Rooms_Occupied]]</f>
        <v>11594</v>
      </c>
      <c r="J74" s="10">
        <f>Daily_Data[[#This Row],[Total_Sales]] * 0.22</f>
        <v>2550.6799999999998</v>
      </c>
      <c r="K74" s="10">
        <f>INDEX(Expense_master[Monthly_Rent],MATCH(Daily_Data[[#This Row],[Month_key]],Expense_master[Month_Key],0)) / INDEX(Expense_master[Days_in_Month],MATCH(Daily_Data[[#This Row],[Month_key]],Expense_master[Month_Key],0))</f>
        <v>6129.0322580645161</v>
      </c>
      <c r="L74" s="10">
        <f>SUMIFS(Expense_master[Staff_Salary],Expense_master[Month_Key],Daily_Data[[#This Row],[Month_key]]) / SUMIFS(Expense_master[Days_in_Month],Expense_master[Month_Key],Daily_Data[[#This Row],[Month_key]])</f>
        <v>2258.0645161290322</v>
      </c>
      <c r="M74" s="10">
        <f>Daily_Data[[#This Row],[Rooms_Occupied]] * (SUMIFS(Expense_master[Housekeeping_Laundy],Expense_master[Month_Key],Daily_Data[[#This Row],[Month_key]]) / SUMIFS(Occupancy_table[Monthly_rooms_Occupied],Occupancy_table[Month_Key],Daily_Data[[#This Row],[Month_key]]))</f>
        <v>321.63742690058479</v>
      </c>
      <c r="N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1564.6694963214488</v>
      </c>
      <c r="O74" s="10">
        <f>SUMIFS(Expense_master[Monthly_Maintenance],Expense_master[Month_Key],Daily_Data[[#This Row],[Month_key]]) / SUMIFS(Expense_master[Days_in_Month],Expense_master[Month_Key], Daily_Data[[#This Row],[Month_key]])</f>
        <v>645.16129032258061</v>
      </c>
      <c r="P74" s="10">
        <f xml:space="preserve"> Daily_Data[[#This Row],[OTA Commision]] + Daily_Data[[#This Row],[Daily_Rent]]+Daily_Data[[#This Row],[Daily_Staff]]+Daily_Data[[#This Row],[Daily_HK]]+Daily_Data[[#This Row],[Daily_Electricity]] + Daily_Data[[#This Row],[Daily Maintenance]]</f>
        <v>13469.244987738162</v>
      </c>
      <c r="Q74" s="10">
        <f>Daily_Data[[#This Row],[Total_Sales]]-Daily_Data[[#This Row],[Total_Daily_Expense]]</f>
        <v>-1875.2449877381623</v>
      </c>
      <c r="R74" s="10">
        <f>Daily_Data[[#This Row],[Total_Sales]]/Daily_Data[[#This Row],[Rooms_Occupied]]</f>
        <v>1054</v>
      </c>
      <c r="S74" s="10">
        <f>Daily_Data[[#This Row],[Total_Sales]] / Daily_Data[[#This Row],[Max_rooms]]</f>
        <v>828.14285714285711</v>
      </c>
    </row>
    <row r="75" spans="1:19" x14ac:dyDescent="0.25">
      <c r="A75" s="6">
        <v>45000</v>
      </c>
      <c r="B75" s="20">
        <f>DATE(YEAR(Daily_Data[[#This Row],[Date]]), MONTH(Daily_Data[[#This Row],[Date]]), 1)</f>
        <v>44986</v>
      </c>
      <c r="C75" s="20" t="str">
        <f>TEXT(Daily_Data[[#This Row],[Month_key]],"mmmm")</f>
        <v>March</v>
      </c>
      <c r="D75" s="20" t="str">
        <f>TEXT(Daily_Data[[#This Row],[Month_key]],"yyyy")</f>
        <v>2023</v>
      </c>
      <c r="E75" s="7">
        <v>9</v>
      </c>
      <c r="F75" s="7">
        <v>14</v>
      </c>
      <c r="G75" s="8">
        <f>Daily_Data[[#This Row],[Rooms_Occupied]]/F75</f>
        <v>0.6428571428571429</v>
      </c>
      <c r="H75" s="7">
        <v>1160</v>
      </c>
      <c r="I75" s="7">
        <f>Daily_Data[[#This Row],[Room_rate]]*Daily_Data[[#This Row],[Rooms_Occupied]]</f>
        <v>10440</v>
      </c>
      <c r="J75" s="10">
        <f>Daily_Data[[#This Row],[Total_Sales]] * 0.22</f>
        <v>2296.8000000000002</v>
      </c>
      <c r="K75" s="10">
        <f>INDEX(Expense_master[Monthly_Rent],MATCH(Daily_Data[[#This Row],[Month_key]],Expense_master[Month_Key],0)) / INDEX(Expense_master[Days_in_Month],MATCH(Daily_Data[[#This Row],[Month_key]],Expense_master[Month_Key],0))</f>
        <v>6129.0322580645161</v>
      </c>
      <c r="L75" s="10">
        <f>SUMIFS(Expense_master[Staff_Salary],Expense_master[Month_Key],Daily_Data[[#This Row],[Month_key]]) / SUMIFS(Expense_master[Days_in_Month],Expense_master[Month_Key],Daily_Data[[#This Row],[Month_key]])</f>
        <v>2258.0645161290322</v>
      </c>
      <c r="M75" s="10">
        <f>Daily_Data[[#This Row],[Rooms_Occupied]] * (SUMIFS(Expense_master[Housekeeping_Laundy],Expense_master[Month_Key],Daily_Data[[#This Row],[Month_key]]) / SUMIFS(Occupancy_table[Monthly_rooms_Occupied],Occupancy_table[Month_Key],Daily_Data[[#This Row],[Month_key]]))</f>
        <v>263.15789473684208</v>
      </c>
      <c r="N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1394.1782682512735</v>
      </c>
      <c r="O75" s="10">
        <f>SUMIFS(Expense_master[Monthly_Maintenance],Expense_master[Month_Key],Daily_Data[[#This Row],[Month_key]]) / SUMIFS(Expense_master[Days_in_Month],Expense_master[Month_Key], Daily_Data[[#This Row],[Month_key]])</f>
        <v>645.16129032258061</v>
      </c>
      <c r="P75" s="10">
        <f xml:space="preserve"> Daily_Data[[#This Row],[OTA Commision]] + Daily_Data[[#This Row],[Daily_Rent]]+Daily_Data[[#This Row],[Daily_Staff]]+Daily_Data[[#This Row],[Daily_HK]]+Daily_Data[[#This Row],[Daily_Electricity]] + Daily_Data[[#This Row],[Daily Maintenance]]</f>
        <v>12986.394227504245</v>
      </c>
      <c r="Q75" s="10">
        <f>Daily_Data[[#This Row],[Total_Sales]]-Daily_Data[[#This Row],[Total_Daily_Expense]]</f>
        <v>-2546.3942275042446</v>
      </c>
      <c r="R75" s="10">
        <f>Daily_Data[[#This Row],[Total_Sales]]/Daily_Data[[#This Row],[Rooms_Occupied]]</f>
        <v>1160</v>
      </c>
      <c r="S75" s="10">
        <f>Daily_Data[[#This Row],[Total_Sales]] / Daily_Data[[#This Row],[Max_rooms]]</f>
        <v>745.71428571428567</v>
      </c>
    </row>
    <row r="76" spans="1:19" x14ac:dyDescent="0.25">
      <c r="A76" s="6">
        <v>45001</v>
      </c>
      <c r="B76" s="20">
        <f>DATE(YEAR(Daily_Data[[#This Row],[Date]]), MONTH(Daily_Data[[#This Row],[Date]]), 1)</f>
        <v>44986</v>
      </c>
      <c r="C76" s="20" t="str">
        <f>TEXT(Daily_Data[[#This Row],[Month_key]],"mmmm")</f>
        <v>March</v>
      </c>
      <c r="D76" s="20" t="str">
        <f>TEXT(Daily_Data[[#This Row],[Month_key]],"yyyy")</f>
        <v>2023</v>
      </c>
      <c r="E76" s="7">
        <v>14</v>
      </c>
      <c r="F76" s="7">
        <v>14</v>
      </c>
      <c r="G76" s="8">
        <f>Daily_Data[[#This Row],[Rooms_Occupied]]/F76</f>
        <v>1</v>
      </c>
      <c r="H76" s="7">
        <v>1152</v>
      </c>
      <c r="I76" s="7">
        <f>Daily_Data[[#This Row],[Room_rate]]*Daily_Data[[#This Row],[Rooms_Occupied]]</f>
        <v>16128</v>
      </c>
      <c r="J76" s="10">
        <f>Daily_Data[[#This Row],[Total_Sales]] * 0.22</f>
        <v>3548.16</v>
      </c>
      <c r="K76" s="10">
        <f>INDEX(Expense_master[Monthly_Rent],MATCH(Daily_Data[[#This Row],[Month_key]],Expense_master[Month_Key],0)) / INDEX(Expense_master[Days_in_Month],MATCH(Daily_Data[[#This Row],[Month_key]],Expense_master[Month_Key],0))</f>
        <v>6129.0322580645161</v>
      </c>
      <c r="L76" s="10">
        <f>SUMIFS(Expense_master[Staff_Salary],Expense_master[Month_Key],Daily_Data[[#This Row],[Month_key]]) / SUMIFS(Expense_master[Days_in_Month],Expense_master[Month_Key],Daily_Data[[#This Row],[Month_key]])</f>
        <v>2258.0645161290322</v>
      </c>
      <c r="M76" s="10">
        <f>Daily_Data[[#This Row],[Rooms_Occupied]] * (SUMIFS(Expense_master[Housekeeping_Laundy],Expense_master[Month_Key],Daily_Data[[#This Row],[Month_key]]) / SUMIFS(Occupancy_table[Monthly_rooms_Occupied],Occupancy_table[Month_Key],Daily_Data[[#This Row],[Month_key]]))</f>
        <v>409.35672514619881</v>
      </c>
      <c r="N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1820.406338426712</v>
      </c>
      <c r="O76" s="10">
        <f>SUMIFS(Expense_master[Monthly_Maintenance],Expense_master[Month_Key],Daily_Data[[#This Row],[Month_key]]) / SUMIFS(Expense_master[Days_in_Month],Expense_master[Month_Key], Daily_Data[[#This Row],[Month_key]])</f>
        <v>645.16129032258061</v>
      </c>
      <c r="P76" s="10">
        <f xml:space="preserve"> Daily_Data[[#This Row],[OTA Commision]] + Daily_Data[[#This Row],[Daily_Rent]]+Daily_Data[[#This Row],[Daily_Staff]]+Daily_Data[[#This Row],[Daily_HK]]+Daily_Data[[#This Row],[Daily_Electricity]] + Daily_Data[[#This Row],[Daily Maintenance]]</f>
        <v>14810.18112808904</v>
      </c>
      <c r="Q76" s="10">
        <f>Daily_Data[[#This Row],[Total_Sales]]-Daily_Data[[#This Row],[Total_Daily_Expense]]</f>
        <v>1317.8188719109603</v>
      </c>
      <c r="R76" s="10">
        <f>Daily_Data[[#This Row],[Total_Sales]]/Daily_Data[[#This Row],[Rooms_Occupied]]</f>
        <v>1152</v>
      </c>
      <c r="S76" s="10">
        <f>Daily_Data[[#This Row],[Total_Sales]] / Daily_Data[[#This Row],[Max_rooms]]</f>
        <v>1152</v>
      </c>
    </row>
    <row r="77" spans="1:19" x14ac:dyDescent="0.25">
      <c r="A77" s="6">
        <v>45002</v>
      </c>
      <c r="B77" s="20">
        <f>DATE(YEAR(Daily_Data[[#This Row],[Date]]), MONTH(Daily_Data[[#This Row],[Date]]), 1)</f>
        <v>44986</v>
      </c>
      <c r="C77" s="20" t="str">
        <f>TEXT(Daily_Data[[#This Row],[Month_key]],"mmmm")</f>
        <v>March</v>
      </c>
      <c r="D77" s="20" t="str">
        <f>TEXT(Daily_Data[[#This Row],[Month_key]],"yyyy")</f>
        <v>2023</v>
      </c>
      <c r="E77" s="7">
        <v>13</v>
      </c>
      <c r="F77" s="7">
        <v>14</v>
      </c>
      <c r="G77" s="8">
        <f>Daily_Data[[#This Row],[Rooms_Occupied]]/F77</f>
        <v>0.9285714285714286</v>
      </c>
      <c r="H77" s="7">
        <v>1135</v>
      </c>
      <c r="I77" s="7">
        <f>Daily_Data[[#This Row],[Room_rate]]*Daily_Data[[#This Row],[Rooms_Occupied]]</f>
        <v>14755</v>
      </c>
      <c r="J77" s="10">
        <f>Daily_Data[[#This Row],[Total_Sales]] * 0.22</f>
        <v>3246.1</v>
      </c>
      <c r="K77" s="10">
        <f>INDEX(Expense_master[Monthly_Rent],MATCH(Daily_Data[[#This Row],[Month_key]],Expense_master[Month_Key],0)) / INDEX(Expense_master[Days_in_Month],MATCH(Daily_Data[[#This Row],[Month_key]],Expense_master[Month_Key],0))</f>
        <v>6129.0322580645161</v>
      </c>
      <c r="L77" s="10">
        <f>SUMIFS(Expense_master[Staff_Salary],Expense_master[Month_Key],Daily_Data[[#This Row],[Month_key]]) / SUMIFS(Expense_master[Days_in_Month],Expense_master[Month_Key],Daily_Data[[#This Row],[Month_key]])</f>
        <v>2258.0645161290322</v>
      </c>
      <c r="M77" s="10">
        <f>Daily_Data[[#This Row],[Rooms_Occupied]] * (SUMIFS(Expense_master[Housekeeping_Laundy],Expense_master[Month_Key],Daily_Data[[#This Row],[Month_key]]) / SUMIFS(Occupancy_table[Monthly_rooms_Occupied],Occupancy_table[Month_Key],Daily_Data[[#This Row],[Month_key]]))</f>
        <v>380.11695906432749</v>
      </c>
      <c r="N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1735.1607243916244</v>
      </c>
      <c r="O77" s="10">
        <f>SUMIFS(Expense_master[Monthly_Maintenance],Expense_master[Month_Key],Daily_Data[[#This Row],[Month_key]]) / SUMIFS(Expense_master[Days_in_Month],Expense_master[Month_Key], Daily_Data[[#This Row],[Month_key]])</f>
        <v>645.16129032258061</v>
      </c>
      <c r="P77" s="10">
        <f xml:space="preserve"> Daily_Data[[#This Row],[OTA Commision]] + Daily_Data[[#This Row],[Daily_Rent]]+Daily_Data[[#This Row],[Daily_Staff]]+Daily_Data[[#This Row],[Daily_HK]]+Daily_Data[[#This Row],[Daily_Electricity]] + Daily_Data[[#This Row],[Daily Maintenance]]</f>
        <v>14393.635747972081</v>
      </c>
      <c r="Q77" s="10">
        <f>Daily_Data[[#This Row],[Total_Sales]]-Daily_Data[[#This Row],[Total_Daily_Expense]]</f>
        <v>361.36425202791906</v>
      </c>
      <c r="R77" s="10">
        <f>Daily_Data[[#This Row],[Total_Sales]]/Daily_Data[[#This Row],[Rooms_Occupied]]</f>
        <v>1135</v>
      </c>
      <c r="S77" s="10">
        <f>Daily_Data[[#This Row],[Total_Sales]] / Daily_Data[[#This Row],[Max_rooms]]</f>
        <v>1053.9285714285713</v>
      </c>
    </row>
    <row r="78" spans="1:19" x14ac:dyDescent="0.25">
      <c r="A78" s="6">
        <v>45003</v>
      </c>
      <c r="B78" s="20">
        <f>DATE(YEAR(Daily_Data[[#This Row],[Date]]), MONTH(Daily_Data[[#This Row],[Date]]), 1)</f>
        <v>44986</v>
      </c>
      <c r="C78" s="20" t="str">
        <f>TEXT(Daily_Data[[#This Row],[Month_key]],"mmmm")</f>
        <v>March</v>
      </c>
      <c r="D78" s="20" t="str">
        <f>TEXT(Daily_Data[[#This Row],[Month_key]],"yyyy")</f>
        <v>2023</v>
      </c>
      <c r="E78" s="7">
        <v>12</v>
      </c>
      <c r="F78" s="7">
        <v>14</v>
      </c>
      <c r="G78" s="8">
        <f>Daily_Data[[#This Row],[Rooms_Occupied]]/F78</f>
        <v>0.8571428571428571</v>
      </c>
      <c r="H78" s="7">
        <v>1900</v>
      </c>
      <c r="I78" s="7">
        <f>Daily_Data[[#This Row],[Room_rate]]*Daily_Data[[#This Row],[Rooms_Occupied]]</f>
        <v>22800</v>
      </c>
      <c r="J78" s="10">
        <f>Daily_Data[[#This Row],[Total_Sales]] * 0.22</f>
        <v>5016</v>
      </c>
      <c r="K78" s="10">
        <f>INDEX(Expense_master[Monthly_Rent],MATCH(Daily_Data[[#This Row],[Month_key]],Expense_master[Month_Key],0)) / INDEX(Expense_master[Days_in_Month],MATCH(Daily_Data[[#This Row],[Month_key]],Expense_master[Month_Key],0))</f>
        <v>6129.0322580645161</v>
      </c>
      <c r="L78" s="10">
        <f>SUMIFS(Expense_master[Staff_Salary],Expense_master[Month_Key],Daily_Data[[#This Row],[Month_key]]) / SUMIFS(Expense_master[Days_in_Month],Expense_master[Month_Key],Daily_Data[[#This Row],[Month_key]])</f>
        <v>2258.0645161290322</v>
      </c>
      <c r="M78" s="10">
        <f>Daily_Data[[#This Row],[Rooms_Occupied]] * (SUMIFS(Expense_master[Housekeeping_Laundy],Expense_master[Month_Key],Daily_Data[[#This Row],[Month_key]]) / SUMIFS(Occupancy_table[Monthly_rooms_Occupied],Occupancy_table[Month_Key],Daily_Data[[#This Row],[Month_key]]))</f>
        <v>350.87719298245611</v>
      </c>
      <c r="N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1649.9151103565366</v>
      </c>
      <c r="O78" s="10">
        <f>SUMIFS(Expense_master[Monthly_Maintenance],Expense_master[Month_Key],Daily_Data[[#This Row],[Month_key]]) / SUMIFS(Expense_master[Days_in_Month],Expense_master[Month_Key], Daily_Data[[#This Row],[Month_key]])</f>
        <v>645.16129032258061</v>
      </c>
      <c r="P78" s="10">
        <f xml:space="preserve"> Daily_Data[[#This Row],[OTA Commision]] + Daily_Data[[#This Row],[Daily_Rent]]+Daily_Data[[#This Row],[Daily_Staff]]+Daily_Data[[#This Row],[Daily_HK]]+Daily_Data[[#This Row],[Daily_Electricity]] + Daily_Data[[#This Row],[Daily Maintenance]]</f>
        <v>16049.050367855121</v>
      </c>
      <c r="Q78" s="10">
        <f>Daily_Data[[#This Row],[Total_Sales]]-Daily_Data[[#This Row],[Total_Daily_Expense]]</f>
        <v>6750.9496321448787</v>
      </c>
      <c r="R78" s="10">
        <f>Daily_Data[[#This Row],[Total_Sales]]/Daily_Data[[#This Row],[Rooms_Occupied]]</f>
        <v>1900</v>
      </c>
      <c r="S78" s="10">
        <f>Daily_Data[[#This Row],[Total_Sales]] / Daily_Data[[#This Row],[Max_rooms]]</f>
        <v>1628.5714285714287</v>
      </c>
    </row>
    <row r="79" spans="1:19" x14ac:dyDescent="0.25">
      <c r="A79" s="6">
        <v>45004</v>
      </c>
      <c r="B79" s="20">
        <f>DATE(YEAR(Daily_Data[[#This Row],[Date]]), MONTH(Daily_Data[[#This Row],[Date]]), 1)</f>
        <v>44986</v>
      </c>
      <c r="C79" s="20" t="str">
        <f>TEXT(Daily_Data[[#This Row],[Month_key]],"mmmm")</f>
        <v>March</v>
      </c>
      <c r="D79" s="20" t="str">
        <f>TEXT(Daily_Data[[#This Row],[Month_key]],"yyyy")</f>
        <v>2023</v>
      </c>
      <c r="E79" s="7">
        <v>10</v>
      </c>
      <c r="F79" s="7">
        <v>14</v>
      </c>
      <c r="G79" s="8">
        <f>Daily_Data[[#This Row],[Rooms_Occupied]]/F79</f>
        <v>0.7142857142857143</v>
      </c>
      <c r="H79" s="7">
        <v>1229</v>
      </c>
      <c r="I79" s="7">
        <f>Daily_Data[[#This Row],[Room_rate]]*Daily_Data[[#This Row],[Rooms_Occupied]]</f>
        <v>12290</v>
      </c>
      <c r="J79" s="10">
        <f>Daily_Data[[#This Row],[Total_Sales]] * 0.22</f>
        <v>2703.8</v>
      </c>
      <c r="K79" s="10">
        <f>INDEX(Expense_master[Monthly_Rent],MATCH(Daily_Data[[#This Row],[Month_key]],Expense_master[Month_Key],0)) / INDEX(Expense_master[Days_in_Month],MATCH(Daily_Data[[#This Row],[Month_key]],Expense_master[Month_Key],0))</f>
        <v>6129.0322580645161</v>
      </c>
      <c r="L79" s="10">
        <f>SUMIFS(Expense_master[Staff_Salary],Expense_master[Month_Key],Daily_Data[[#This Row],[Month_key]]) / SUMIFS(Expense_master[Days_in_Month],Expense_master[Month_Key],Daily_Data[[#This Row],[Month_key]])</f>
        <v>2258.0645161290322</v>
      </c>
      <c r="M79" s="10">
        <f>Daily_Data[[#This Row],[Rooms_Occupied]] * (SUMIFS(Expense_master[Housekeeping_Laundy],Expense_master[Month_Key],Daily_Data[[#This Row],[Month_key]]) / SUMIFS(Occupancy_table[Monthly_rooms_Occupied],Occupancy_table[Month_Key],Daily_Data[[#This Row],[Month_key]]))</f>
        <v>292.39766081871346</v>
      </c>
      <c r="N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1479.4238822863613</v>
      </c>
      <c r="O79" s="10">
        <f>SUMIFS(Expense_master[Monthly_Maintenance],Expense_master[Month_Key],Daily_Data[[#This Row],[Month_key]]) / SUMIFS(Expense_master[Days_in_Month],Expense_master[Month_Key], Daily_Data[[#This Row],[Month_key]])</f>
        <v>645.16129032258061</v>
      </c>
      <c r="P79" s="10">
        <f xml:space="preserve"> Daily_Data[[#This Row],[OTA Commision]] + Daily_Data[[#This Row],[Daily_Rent]]+Daily_Data[[#This Row],[Daily_Staff]]+Daily_Data[[#This Row],[Daily_HK]]+Daily_Data[[#This Row],[Daily_Electricity]] + Daily_Data[[#This Row],[Daily Maintenance]]</f>
        <v>13507.879607621204</v>
      </c>
      <c r="Q79" s="10">
        <f>Daily_Data[[#This Row],[Total_Sales]]-Daily_Data[[#This Row],[Total_Daily_Expense]]</f>
        <v>-1217.8796076212038</v>
      </c>
      <c r="R79" s="10">
        <f>Daily_Data[[#This Row],[Total_Sales]]/Daily_Data[[#This Row],[Rooms_Occupied]]</f>
        <v>1229</v>
      </c>
      <c r="S79" s="10">
        <f>Daily_Data[[#This Row],[Total_Sales]] / Daily_Data[[#This Row],[Max_rooms]]</f>
        <v>877.85714285714289</v>
      </c>
    </row>
    <row r="80" spans="1:19" x14ac:dyDescent="0.25">
      <c r="A80" s="6">
        <v>45005</v>
      </c>
      <c r="B80" s="20">
        <f>DATE(YEAR(Daily_Data[[#This Row],[Date]]), MONTH(Daily_Data[[#This Row],[Date]]), 1)</f>
        <v>44986</v>
      </c>
      <c r="C80" s="20" t="str">
        <f>TEXT(Daily_Data[[#This Row],[Month_key]],"mmmm")</f>
        <v>March</v>
      </c>
      <c r="D80" s="20" t="str">
        <f>TEXT(Daily_Data[[#This Row],[Month_key]],"yyyy")</f>
        <v>2023</v>
      </c>
      <c r="E80" s="7">
        <v>12</v>
      </c>
      <c r="F80" s="7">
        <v>14</v>
      </c>
      <c r="G80" s="8">
        <f>Daily_Data[[#This Row],[Rooms_Occupied]]/F80</f>
        <v>0.8571428571428571</v>
      </c>
      <c r="H80" s="7">
        <v>1008</v>
      </c>
      <c r="I80" s="7">
        <f>Daily_Data[[#This Row],[Room_rate]]*Daily_Data[[#This Row],[Rooms_Occupied]]</f>
        <v>12096</v>
      </c>
      <c r="J80" s="10">
        <f>Daily_Data[[#This Row],[Total_Sales]] * 0.22</f>
        <v>2661.12</v>
      </c>
      <c r="K80" s="10">
        <f>INDEX(Expense_master[Monthly_Rent],MATCH(Daily_Data[[#This Row],[Month_key]],Expense_master[Month_Key],0)) / INDEX(Expense_master[Days_in_Month],MATCH(Daily_Data[[#This Row],[Month_key]],Expense_master[Month_Key],0))</f>
        <v>6129.0322580645161</v>
      </c>
      <c r="L80" s="10">
        <f>SUMIFS(Expense_master[Staff_Salary],Expense_master[Month_Key],Daily_Data[[#This Row],[Month_key]]) / SUMIFS(Expense_master[Days_in_Month],Expense_master[Month_Key],Daily_Data[[#This Row],[Month_key]])</f>
        <v>2258.0645161290322</v>
      </c>
      <c r="M80" s="10">
        <f>Daily_Data[[#This Row],[Rooms_Occupied]] * (SUMIFS(Expense_master[Housekeeping_Laundy],Expense_master[Month_Key],Daily_Data[[#This Row],[Month_key]]) / SUMIFS(Occupancy_table[Monthly_rooms_Occupied],Occupancy_table[Month_Key],Daily_Data[[#This Row],[Month_key]]))</f>
        <v>350.87719298245611</v>
      </c>
      <c r="N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1649.9151103565366</v>
      </c>
      <c r="O80" s="10">
        <f>SUMIFS(Expense_master[Monthly_Maintenance],Expense_master[Month_Key],Daily_Data[[#This Row],[Month_key]]) / SUMIFS(Expense_master[Days_in_Month],Expense_master[Month_Key], Daily_Data[[#This Row],[Month_key]])</f>
        <v>645.16129032258061</v>
      </c>
      <c r="P80" s="10">
        <f xml:space="preserve"> Daily_Data[[#This Row],[OTA Commision]] + Daily_Data[[#This Row],[Daily_Rent]]+Daily_Data[[#This Row],[Daily_Staff]]+Daily_Data[[#This Row],[Daily_HK]]+Daily_Data[[#This Row],[Daily_Electricity]] + Daily_Data[[#This Row],[Daily Maintenance]]</f>
        <v>13694.170367855122</v>
      </c>
      <c r="Q80" s="10">
        <f>Daily_Data[[#This Row],[Total_Sales]]-Daily_Data[[#This Row],[Total_Daily_Expense]]</f>
        <v>-1598.1703678551221</v>
      </c>
      <c r="R80" s="10">
        <f>Daily_Data[[#This Row],[Total_Sales]]/Daily_Data[[#This Row],[Rooms_Occupied]]</f>
        <v>1008</v>
      </c>
      <c r="S80" s="10">
        <f>Daily_Data[[#This Row],[Total_Sales]] / Daily_Data[[#This Row],[Max_rooms]]</f>
        <v>864</v>
      </c>
    </row>
    <row r="81" spans="1:19" x14ac:dyDescent="0.25">
      <c r="A81" s="6">
        <v>45006</v>
      </c>
      <c r="B81" s="20">
        <f>DATE(YEAR(Daily_Data[[#This Row],[Date]]), MONTH(Daily_Data[[#This Row],[Date]]), 1)</f>
        <v>44986</v>
      </c>
      <c r="C81" s="20" t="str">
        <f>TEXT(Daily_Data[[#This Row],[Month_key]],"mmmm")</f>
        <v>March</v>
      </c>
      <c r="D81" s="20" t="str">
        <f>TEXT(Daily_Data[[#This Row],[Month_key]],"yyyy")</f>
        <v>2023</v>
      </c>
      <c r="E81" s="7">
        <v>11</v>
      </c>
      <c r="F81" s="7">
        <v>14</v>
      </c>
      <c r="G81" s="8">
        <f>Daily_Data[[#This Row],[Rooms_Occupied]]/F81</f>
        <v>0.7857142857142857</v>
      </c>
      <c r="H81" s="7">
        <v>1006</v>
      </c>
      <c r="I81" s="7">
        <f>Daily_Data[[#This Row],[Room_rate]]*Daily_Data[[#This Row],[Rooms_Occupied]]</f>
        <v>11066</v>
      </c>
      <c r="J81" s="10">
        <f>Daily_Data[[#This Row],[Total_Sales]] * 0.22</f>
        <v>2434.52</v>
      </c>
      <c r="K81" s="10">
        <f>INDEX(Expense_master[Monthly_Rent],MATCH(Daily_Data[[#This Row],[Month_key]],Expense_master[Month_Key],0)) / INDEX(Expense_master[Days_in_Month],MATCH(Daily_Data[[#This Row],[Month_key]],Expense_master[Month_Key],0))</f>
        <v>6129.0322580645161</v>
      </c>
      <c r="L81" s="10">
        <f>SUMIFS(Expense_master[Staff_Salary],Expense_master[Month_Key],Daily_Data[[#This Row],[Month_key]]) / SUMIFS(Expense_master[Days_in_Month],Expense_master[Month_Key],Daily_Data[[#This Row],[Month_key]])</f>
        <v>2258.0645161290322</v>
      </c>
      <c r="M81" s="10">
        <f>Daily_Data[[#This Row],[Rooms_Occupied]] * (SUMIFS(Expense_master[Housekeeping_Laundy],Expense_master[Month_Key],Daily_Data[[#This Row],[Month_key]]) / SUMIFS(Occupancy_table[Monthly_rooms_Occupied],Occupancy_table[Month_Key],Daily_Data[[#This Row],[Month_key]]))</f>
        <v>321.63742690058479</v>
      </c>
      <c r="N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1564.6694963214488</v>
      </c>
      <c r="O81" s="10">
        <f>SUMIFS(Expense_master[Monthly_Maintenance],Expense_master[Month_Key],Daily_Data[[#This Row],[Month_key]]) / SUMIFS(Expense_master[Days_in_Month],Expense_master[Month_Key], Daily_Data[[#This Row],[Month_key]])</f>
        <v>645.16129032258061</v>
      </c>
      <c r="P81" s="10">
        <f xml:space="preserve"> Daily_Data[[#This Row],[OTA Commision]] + Daily_Data[[#This Row],[Daily_Rent]]+Daily_Data[[#This Row],[Daily_Staff]]+Daily_Data[[#This Row],[Daily_HK]]+Daily_Data[[#This Row],[Daily_Electricity]] + Daily_Data[[#This Row],[Daily Maintenance]]</f>
        <v>13353.084987738162</v>
      </c>
      <c r="Q81" s="10">
        <f>Daily_Data[[#This Row],[Total_Sales]]-Daily_Data[[#This Row],[Total_Daily_Expense]]</f>
        <v>-2287.0849877381625</v>
      </c>
      <c r="R81" s="10">
        <f>Daily_Data[[#This Row],[Total_Sales]]/Daily_Data[[#This Row],[Rooms_Occupied]]</f>
        <v>1006</v>
      </c>
      <c r="S81" s="10">
        <f>Daily_Data[[#This Row],[Total_Sales]] / Daily_Data[[#This Row],[Max_rooms]]</f>
        <v>790.42857142857144</v>
      </c>
    </row>
    <row r="82" spans="1:19" x14ac:dyDescent="0.25">
      <c r="A82" s="6">
        <v>45007</v>
      </c>
      <c r="B82" s="20">
        <f>DATE(YEAR(Daily_Data[[#This Row],[Date]]), MONTH(Daily_Data[[#This Row],[Date]]), 1)</f>
        <v>44986</v>
      </c>
      <c r="C82" s="20" t="str">
        <f>TEXT(Daily_Data[[#This Row],[Month_key]],"mmmm")</f>
        <v>March</v>
      </c>
      <c r="D82" s="20" t="str">
        <f>TEXT(Daily_Data[[#This Row],[Month_key]],"yyyy")</f>
        <v>2023</v>
      </c>
      <c r="E82" s="7">
        <v>9</v>
      </c>
      <c r="F82" s="7">
        <v>14</v>
      </c>
      <c r="G82" s="8">
        <f>Daily_Data[[#This Row],[Rooms_Occupied]]/F82</f>
        <v>0.6428571428571429</v>
      </c>
      <c r="H82" s="7">
        <v>1831</v>
      </c>
      <c r="I82" s="7">
        <f>Daily_Data[[#This Row],[Room_rate]]*Daily_Data[[#This Row],[Rooms_Occupied]]</f>
        <v>16479</v>
      </c>
      <c r="J82" s="10">
        <f>Daily_Data[[#This Row],[Total_Sales]] * 0.22</f>
        <v>3625.38</v>
      </c>
      <c r="K82" s="10">
        <f>INDEX(Expense_master[Monthly_Rent],MATCH(Daily_Data[[#This Row],[Month_key]],Expense_master[Month_Key],0)) / INDEX(Expense_master[Days_in_Month],MATCH(Daily_Data[[#This Row],[Month_key]],Expense_master[Month_Key],0))</f>
        <v>6129.0322580645161</v>
      </c>
      <c r="L82" s="10">
        <f>SUMIFS(Expense_master[Staff_Salary],Expense_master[Month_Key],Daily_Data[[#This Row],[Month_key]]) / SUMIFS(Expense_master[Days_in_Month],Expense_master[Month_Key],Daily_Data[[#This Row],[Month_key]])</f>
        <v>2258.0645161290322</v>
      </c>
      <c r="M82" s="10">
        <f>Daily_Data[[#This Row],[Rooms_Occupied]] * (SUMIFS(Expense_master[Housekeeping_Laundy],Expense_master[Month_Key],Daily_Data[[#This Row],[Month_key]]) / SUMIFS(Occupancy_table[Monthly_rooms_Occupied],Occupancy_table[Month_Key],Daily_Data[[#This Row],[Month_key]]))</f>
        <v>263.15789473684208</v>
      </c>
      <c r="N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1394.1782682512735</v>
      </c>
      <c r="O82" s="10">
        <f>SUMIFS(Expense_master[Monthly_Maintenance],Expense_master[Month_Key],Daily_Data[[#This Row],[Month_key]]) / SUMIFS(Expense_master[Days_in_Month],Expense_master[Month_Key], Daily_Data[[#This Row],[Month_key]])</f>
        <v>645.16129032258061</v>
      </c>
      <c r="P82" s="10">
        <f xml:space="preserve"> Daily_Data[[#This Row],[OTA Commision]] + Daily_Data[[#This Row],[Daily_Rent]]+Daily_Data[[#This Row],[Daily_Staff]]+Daily_Data[[#This Row],[Daily_HK]]+Daily_Data[[#This Row],[Daily_Electricity]] + Daily_Data[[#This Row],[Daily Maintenance]]</f>
        <v>14314.974227504244</v>
      </c>
      <c r="Q82" s="10">
        <f>Daily_Data[[#This Row],[Total_Sales]]-Daily_Data[[#This Row],[Total_Daily_Expense]]</f>
        <v>2164.0257724957555</v>
      </c>
      <c r="R82" s="10">
        <f>Daily_Data[[#This Row],[Total_Sales]]/Daily_Data[[#This Row],[Rooms_Occupied]]</f>
        <v>1831</v>
      </c>
      <c r="S82" s="10">
        <f>Daily_Data[[#This Row],[Total_Sales]] / Daily_Data[[#This Row],[Max_rooms]]</f>
        <v>1177.0714285714287</v>
      </c>
    </row>
    <row r="83" spans="1:19" x14ac:dyDescent="0.25">
      <c r="A83" s="6">
        <v>45008</v>
      </c>
      <c r="B83" s="20">
        <f>DATE(YEAR(Daily_Data[[#This Row],[Date]]), MONTH(Daily_Data[[#This Row],[Date]]), 1)</f>
        <v>44986</v>
      </c>
      <c r="C83" s="20" t="str">
        <f>TEXT(Daily_Data[[#This Row],[Month_key]],"mmmm")</f>
        <v>March</v>
      </c>
      <c r="D83" s="20" t="str">
        <f>TEXT(Daily_Data[[#This Row],[Month_key]],"yyyy")</f>
        <v>2023</v>
      </c>
      <c r="E83" s="7">
        <v>9</v>
      </c>
      <c r="F83" s="7">
        <v>14</v>
      </c>
      <c r="G83" s="8">
        <f>Daily_Data[[#This Row],[Rooms_Occupied]]/F83</f>
        <v>0.6428571428571429</v>
      </c>
      <c r="H83" s="7">
        <v>1064</v>
      </c>
      <c r="I83" s="7">
        <f>Daily_Data[[#This Row],[Room_rate]]*Daily_Data[[#This Row],[Rooms_Occupied]]</f>
        <v>9576</v>
      </c>
      <c r="J83" s="10">
        <f>Daily_Data[[#This Row],[Total_Sales]] * 0.22</f>
        <v>2106.7199999999998</v>
      </c>
      <c r="K83" s="10">
        <f>INDEX(Expense_master[Monthly_Rent],MATCH(Daily_Data[[#This Row],[Month_key]],Expense_master[Month_Key],0)) / INDEX(Expense_master[Days_in_Month],MATCH(Daily_Data[[#This Row],[Month_key]],Expense_master[Month_Key],0))</f>
        <v>6129.0322580645161</v>
      </c>
      <c r="L83" s="10">
        <f>SUMIFS(Expense_master[Staff_Salary],Expense_master[Month_Key],Daily_Data[[#This Row],[Month_key]]) / SUMIFS(Expense_master[Days_in_Month],Expense_master[Month_Key],Daily_Data[[#This Row],[Month_key]])</f>
        <v>2258.0645161290322</v>
      </c>
      <c r="M83" s="10">
        <f>Daily_Data[[#This Row],[Rooms_Occupied]] * (SUMIFS(Expense_master[Housekeeping_Laundy],Expense_master[Month_Key],Daily_Data[[#This Row],[Month_key]]) / SUMIFS(Occupancy_table[Monthly_rooms_Occupied],Occupancy_table[Month_Key],Daily_Data[[#This Row],[Month_key]]))</f>
        <v>263.15789473684208</v>
      </c>
      <c r="N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1394.1782682512735</v>
      </c>
      <c r="O83" s="10">
        <f>SUMIFS(Expense_master[Monthly_Maintenance],Expense_master[Month_Key],Daily_Data[[#This Row],[Month_key]]) / SUMIFS(Expense_master[Days_in_Month],Expense_master[Month_Key], Daily_Data[[#This Row],[Month_key]])</f>
        <v>645.16129032258061</v>
      </c>
      <c r="P83" s="10">
        <f xml:space="preserve"> Daily_Data[[#This Row],[OTA Commision]] + Daily_Data[[#This Row],[Daily_Rent]]+Daily_Data[[#This Row],[Daily_Staff]]+Daily_Data[[#This Row],[Daily_HK]]+Daily_Data[[#This Row],[Daily_Electricity]] + Daily_Data[[#This Row],[Daily Maintenance]]</f>
        <v>12796.314227504245</v>
      </c>
      <c r="Q83" s="10">
        <f>Daily_Data[[#This Row],[Total_Sales]]-Daily_Data[[#This Row],[Total_Daily_Expense]]</f>
        <v>-3220.3142275042446</v>
      </c>
      <c r="R83" s="10">
        <f>Daily_Data[[#This Row],[Total_Sales]]/Daily_Data[[#This Row],[Rooms_Occupied]]</f>
        <v>1064</v>
      </c>
      <c r="S83" s="10">
        <f>Daily_Data[[#This Row],[Total_Sales]] / Daily_Data[[#This Row],[Max_rooms]]</f>
        <v>684</v>
      </c>
    </row>
    <row r="84" spans="1:19" x14ac:dyDescent="0.25">
      <c r="A84" s="6">
        <v>45009</v>
      </c>
      <c r="B84" s="20">
        <f>DATE(YEAR(Daily_Data[[#This Row],[Date]]), MONTH(Daily_Data[[#This Row],[Date]]), 1)</f>
        <v>44986</v>
      </c>
      <c r="C84" s="20" t="str">
        <f>TEXT(Daily_Data[[#This Row],[Month_key]],"mmmm")</f>
        <v>March</v>
      </c>
      <c r="D84" s="20" t="str">
        <f>TEXT(Daily_Data[[#This Row],[Month_key]],"yyyy")</f>
        <v>2023</v>
      </c>
      <c r="E84" s="7">
        <v>10</v>
      </c>
      <c r="F84" s="7">
        <v>14</v>
      </c>
      <c r="G84" s="8">
        <f>Daily_Data[[#This Row],[Rooms_Occupied]]/F84</f>
        <v>0.7142857142857143</v>
      </c>
      <c r="H84" s="7">
        <v>1685</v>
      </c>
      <c r="I84" s="7">
        <f>Daily_Data[[#This Row],[Room_rate]]*Daily_Data[[#This Row],[Rooms_Occupied]]</f>
        <v>16850</v>
      </c>
      <c r="J84" s="10">
        <f>Daily_Data[[#This Row],[Total_Sales]] * 0.22</f>
        <v>3707</v>
      </c>
      <c r="K84" s="10">
        <f>INDEX(Expense_master[Monthly_Rent],MATCH(Daily_Data[[#This Row],[Month_key]],Expense_master[Month_Key],0)) / INDEX(Expense_master[Days_in_Month],MATCH(Daily_Data[[#This Row],[Month_key]],Expense_master[Month_Key],0))</f>
        <v>6129.0322580645161</v>
      </c>
      <c r="L84" s="10">
        <f>SUMIFS(Expense_master[Staff_Salary],Expense_master[Month_Key],Daily_Data[[#This Row],[Month_key]]) / SUMIFS(Expense_master[Days_in_Month],Expense_master[Month_Key],Daily_Data[[#This Row],[Month_key]])</f>
        <v>2258.0645161290322</v>
      </c>
      <c r="M84" s="10">
        <f>Daily_Data[[#This Row],[Rooms_Occupied]] * (SUMIFS(Expense_master[Housekeeping_Laundy],Expense_master[Month_Key],Daily_Data[[#This Row],[Month_key]]) / SUMIFS(Occupancy_table[Monthly_rooms_Occupied],Occupancy_table[Month_Key],Daily_Data[[#This Row],[Month_key]]))</f>
        <v>292.39766081871346</v>
      </c>
      <c r="N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1479.4238822863613</v>
      </c>
      <c r="O84" s="10">
        <f>SUMIFS(Expense_master[Monthly_Maintenance],Expense_master[Month_Key],Daily_Data[[#This Row],[Month_key]]) / SUMIFS(Expense_master[Days_in_Month],Expense_master[Month_Key], Daily_Data[[#This Row],[Month_key]])</f>
        <v>645.16129032258061</v>
      </c>
      <c r="P84" s="10">
        <f xml:space="preserve"> Daily_Data[[#This Row],[OTA Commision]] + Daily_Data[[#This Row],[Daily_Rent]]+Daily_Data[[#This Row],[Daily_Staff]]+Daily_Data[[#This Row],[Daily_HK]]+Daily_Data[[#This Row],[Daily_Electricity]] + Daily_Data[[#This Row],[Daily Maintenance]]</f>
        <v>14511.079607621203</v>
      </c>
      <c r="Q84" s="10">
        <f>Daily_Data[[#This Row],[Total_Sales]]-Daily_Data[[#This Row],[Total_Daily_Expense]]</f>
        <v>2338.9203923787973</v>
      </c>
      <c r="R84" s="10">
        <f>Daily_Data[[#This Row],[Total_Sales]]/Daily_Data[[#This Row],[Rooms_Occupied]]</f>
        <v>1685</v>
      </c>
      <c r="S84" s="10">
        <f>Daily_Data[[#This Row],[Total_Sales]] / Daily_Data[[#This Row],[Max_rooms]]</f>
        <v>1203.5714285714287</v>
      </c>
    </row>
    <row r="85" spans="1:19" x14ac:dyDescent="0.25">
      <c r="A85" s="6">
        <v>45010</v>
      </c>
      <c r="B85" s="20">
        <f>DATE(YEAR(Daily_Data[[#This Row],[Date]]), MONTH(Daily_Data[[#This Row],[Date]]), 1)</f>
        <v>44986</v>
      </c>
      <c r="C85" s="20" t="str">
        <f>TEXT(Daily_Data[[#This Row],[Month_key]],"mmmm")</f>
        <v>March</v>
      </c>
      <c r="D85" s="20" t="str">
        <f>TEXT(Daily_Data[[#This Row],[Month_key]],"yyyy")</f>
        <v>2023</v>
      </c>
      <c r="E85" s="7">
        <v>10</v>
      </c>
      <c r="F85" s="7">
        <v>14</v>
      </c>
      <c r="G85" s="8">
        <f>Daily_Data[[#This Row],[Rooms_Occupied]]/F85</f>
        <v>0.7142857142857143</v>
      </c>
      <c r="H85" s="7">
        <v>1756</v>
      </c>
      <c r="I85" s="7">
        <f>Daily_Data[[#This Row],[Room_rate]]*Daily_Data[[#This Row],[Rooms_Occupied]]</f>
        <v>17560</v>
      </c>
      <c r="J85" s="10">
        <f>Daily_Data[[#This Row],[Total_Sales]] * 0.22</f>
        <v>3863.2</v>
      </c>
      <c r="K85" s="10">
        <f>INDEX(Expense_master[Monthly_Rent],MATCH(Daily_Data[[#This Row],[Month_key]],Expense_master[Month_Key],0)) / INDEX(Expense_master[Days_in_Month],MATCH(Daily_Data[[#This Row],[Month_key]],Expense_master[Month_Key],0))</f>
        <v>6129.0322580645161</v>
      </c>
      <c r="L85" s="10">
        <f>SUMIFS(Expense_master[Staff_Salary],Expense_master[Month_Key],Daily_Data[[#This Row],[Month_key]]) / SUMIFS(Expense_master[Days_in_Month],Expense_master[Month_Key],Daily_Data[[#This Row],[Month_key]])</f>
        <v>2258.0645161290322</v>
      </c>
      <c r="M85" s="10">
        <f>Daily_Data[[#This Row],[Rooms_Occupied]] * (SUMIFS(Expense_master[Housekeeping_Laundy],Expense_master[Month_Key],Daily_Data[[#This Row],[Month_key]]) / SUMIFS(Occupancy_table[Monthly_rooms_Occupied],Occupancy_table[Month_Key],Daily_Data[[#This Row],[Month_key]]))</f>
        <v>292.39766081871346</v>
      </c>
      <c r="N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1479.4238822863613</v>
      </c>
      <c r="O85" s="10">
        <f>SUMIFS(Expense_master[Monthly_Maintenance],Expense_master[Month_Key],Daily_Data[[#This Row],[Month_key]]) / SUMIFS(Expense_master[Days_in_Month],Expense_master[Month_Key], Daily_Data[[#This Row],[Month_key]])</f>
        <v>645.16129032258061</v>
      </c>
      <c r="P85" s="10">
        <f xml:space="preserve"> Daily_Data[[#This Row],[OTA Commision]] + Daily_Data[[#This Row],[Daily_Rent]]+Daily_Data[[#This Row],[Daily_Staff]]+Daily_Data[[#This Row],[Daily_HK]]+Daily_Data[[#This Row],[Daily_Electricity]] + Daily_Data[[#This Row],[Daily Maintenance]]</f>
        <v>14667.279607621203</v>
      </c>
      <c r="Q85" s="10">
        <f>Daily_Data[[#This Row],[Total_Sales]]-Daily_Data[[#This Row],[Total_Daily_Expense]]</f>
        <v>2892.7203923787965</v>
      </c>
      <c r="R85" s="10">
        <f>Daily_Data[[#This Row],[Total_Sales]]/Daily_Data[[#This Row],[Rooms_Occupied]]</f>
        <v>1756</v>
      </c>
      <c r="S85" s="10">
        <f>Daily_Data[[#This Row],[Total_Sales]] / Daily_Data[[#This Row],[Max_rooms]]</f>
        <v>1254.2857142857142</v>
      </c>
    </row>
    <row r="86" spans="1:19" x14ac:dyDescent="0.25">
      <c r="A86" s="6">
        <v>45011</v>
      </c>
      <c r="B86" s="20">
        <f>DATE(YEAR(Daily_Data[[#This Row],[Date]]), MONTH(Daily_Data[[#This Row],[Date]]), 1)</f>
        <v>44986</v>
      </c>
      <c r="C86" s="20" t="str">
        <f>TEXT(Daily_Data[[#This Row],[Month_key]],"mmmm")</f>
        <v>March</v>
      </c>
      <c r="D86" s="20" t="str">
        <f>TEXT(Daily_Data[[#This Row],[Month_key]],"yyyy")</f>
        <v>2023</v>
      </c>
      <c r="E86" s="7">
        <v>8</v>
      </c>
      <c r="F86" s="7">
        <v>14</v>
      </c>
      <c r="G86" s="8">
        <f>Daily_Data[[#This Row],[Rooms_Occupied]]/F86</f>
        <v>0.5714285714285714</v>
      </c>
      <c r="H86" s="7">
        <v>1703</v>
      </c>
      <c r="I86" s="7">
        <f>Daily_Data[[#This Row],[Room_rate]]*Daily_Data[[#This Row],[Rooms_Occupied]]</f>
        <v>13624</v>
      </c>
      <c r="J86" s="10">
        <f>Daily_Data[[#This Row],[Total_Sales]] * 0.22</f>
        <v>2997.28</v>
      </c>
      <c r="K86" s="10">
        <f>INDEX(Expense_master[Monthly_Rent],MATCH(Daily_Data[[#This Row],[Month_key]],Expense_master[Month_Key],0)) / INDEX(Expense_master[Days_in_Month],MATCH(Daily_Data[[#This Row],[Month_key]],Expense_master[Month_Key],0))</f>
        <v>6129.0322580645161</v>
      </c>
      <c r="L86" s="10">
        <f>SUMIFS(Expense_master[Staff_Salary],Expense_master[Month_Key],Daily_Data[[#This Row],[Month_key]]) / SUMIFS(Expense_master[Days_in_Month],Expense_master[Month_Key],Daily_Data[[#This Row],[Month_key]])</f>
        <v>2258.0645161290322</v>
      </c>
      <c r="M86" s="10">
        <f>Daily_Data[[#This Row],[Rooms_Occupied]] * (SUMIFS(Expense_master[Housekeeping_Laundy],Expense_master[Month_Key],Daily_Data[[#This Row],[Month_key]]) / SUMIFS(Occupancy_table[Monthly_rooms_Occupied],Occupancy_table[Month_Key],Daily_Data[[#This Row],[Month_key]]))</f>
        <v>233.91812865497076</v>
      </c>
      <c r="N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1308.9326542161857</v>
      </c>
      <c r="O86" s="10">
        <f>SUMIFS(Expense_master[Monthly_Maintenance],Expense_master[Month_Key],Daily_Data[[#This Row],[Month_key]]) / SUMIFS(Expense_master[Days_in_Month],Expense_master[Month_Key], Daily_Data[[#This Row],[Month_key]])</f>
        <v>645.16129032258061</v>
      </c>
      <c r="P86" s="10">
        <f xml:space="preserve"> Daily_Data[[#This Row],[OTA Commision]] + Daily_Data[[#This Row],[Daily_Rent]]+Daily_Data[[#This Row],[Daily_Staff]]+Daily_Data[[#This Row],[Daily_HK]]+Daily_Data[[#This Row],[Daily_Electricity]] + Daily_Data[[#This Row],[Daily Maintenance]]</f>
        <v>13572.388847387285</v>
      </c>
      <c r="Q86" s="10">
        <f>Daily_Data[[#This Row],[Total_Sales]]-Daily_Data[[#This Row],[Total_Daily_Expense]]</f>
        <v>51.611152612715159</v>
      </c>
      <c r="R86" s="10">
        <f>Daily_Data[[#This Row],[Total_Sales]]/Daily_Data[[#This Row],[Rooms_Occupied]]</f>
        <v>1703</v>
      </c>
      <c r="S86" s="10">
        <f>Daily_Data[[#This Row],[Total_Sales]] / Daily_Data[[#This Row],[Max_rooms]]</f>
        <v>973.14285714285711</v>
      </c>
    </row>
    <row r="87" spans="1:19" x14ac:dyDescent="0.25">
      <c r="A87" s="6">
        <v>45012</v>
      </c>
      <c r="B87" s="20">
        <f>DATE(YEAR(Daily_Data[[#This Row],[Date]]), MONTH(Daily_Data[[#This Row],[Date]]), 1)</f>
        <v>44986</v>
      </c>
      <c r="C87" s="20" t="str">
        <f>TEXT(Daily_Data[[#This Row],[Month_key]],"mmmm")</f>
        <v>March</v>
      </c>
      <c r="D87" s="20" t="str">
        <f>TEXT(Daily_Data[[#This Row],[Month_key]],"yyyy")</f>
        <v>2023</v>
      </c>
      <c r="E87" s="7">
        <v>14</v>
      </c>
      <c r="F87" s="7">
        <v>14</v>
      </c>
      <c r="G87" s="8">
        <f>Daily_Data[[#This Row],[Rooms_Occupied]]/F87</f>
        <v>1</v>
      </c>
      <c r="H87" s="7">
        <v>1658</v>
      </c>
      <c r="I87" s="7">
        <f>Daily_Data[[#This Row],[Room_rate]]*Daily_Data[[#This Row],[Rooms_Occupied]]</f>
        <v>23212</v>
      </c>
      <c r="J87" s="10">
        <f>Daily_Data[[#This Row],[Total_Sales]] * 0.22</f>
        <v>5106.6400000000003</v>
      </c>
      <c r="K87" s="10">
        <f>INDEX(Expense_master[Monthly_Rent],MATCH(Daily_Data[[#This Row],[Month_key]],Expense_master[Month_Key],0)) / INDEX(Expense_master[Days_in_Month],MATCH(Daily_Data[[#This Row],[Month_key]],Expense_master[Month_Key],0))</f>
        <v>6129.0322580645161</v>
      </c>
      <c r="L87" s="10">
        <f>SUMIFS(Expense_master[Staff_Salary],Expense_master[Month_Key],Daily_Data[[#This Row],[Month_key]]) / SUMIFS(Expense_master[Days_in_Month],Expense_master[Month_Key],Daily_Data[[#This Row],[Month_key]])</f>
        <v>2258.0645161290322</v>
      </c>
      <c r="M87" s="10">
        <f>Daily_Data[[#This Row],[Rooms_Occupied]] * (SUMIFS(Expense_master[Housekeeping_Laundy],Expense_master[Month_Key],Daily_Data[[#This Row],[Month_key]]) / SUMIFS(Occupancy_table[Monthly_rooms_Occupied],Occupancy_table[Month_Key],Daily_Data[[#This Row],[Month_key]]))</f>
        <v>409.35672514619881</v>
      </c>
      <c r="N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1820.406338426712</v>
      </c>
      <c r="O87" s="10">
        <f>SUMIFS(Expense_master[Monthly_Maintenance],Expense_master[Month_Key],Daily_Data[[#This Row],[Month_key]]) / SUMIFS(Expense_master[Days_in_Month],Expense_master[Month_Key], Daily_Data[[#This Row],[Month_key]])</f>
        <v>645.16129032258061</v>
      </c>
      <c r="P87" s="10">
        <f xml:space="preserve"> Daily_Data[[#This Row],[OTA Commision]] + Daily_Data[[#This Row],[Daily_Rent]]+Daily_Data[[#This Row],[Daily_Staff]]+Daily_Data[[#This Row],[Daily_HK]]+Daily_Data[[#This Row],[Daily_Electricity]] + Daily_Data[[#This Row],[Daily Maintenance]]</f>
        <v>16368.661128089041</v>
      </c>
      <c r="Q87" s="10">
        <f>Daily_Data[[#This Row],[Total_Sales]]-Daily_Data[[#This Row],[Total_Daily_Expense]]</f>
        <v>6843.3388719109589</v>
      </c>
      <c r="R87" s="10">
        <f>Daily_Data[[#This Row],[Total_Sales]]/Daily_Data[[#This Row],[Rooms_Occupied]]</f>
        <v>1658</v>
      </c>
      <c r="S87" s="10">
        <f>Daily_Data[[#This Row],[Total_Sales]] / Daily_Data[[#This Row],[Max_rooms]]</f>
        <v>1658</v>
      </c>
    </row>
    <row r="88" spans="1:19" x14ac:dyDescent="0.25">
      <c r="A88" s="6">
        <v>45013</v>
      </c>
      <c r="B88" s="20">
        <f>DATE(YEAR(Daily_Data[[#This Row],[Date]]), MONTH(Daily_Data[[#This Row],[Date]]), 1)</f>
        <v>44986</v>
      </c>
      <c r="C88" s="20" t="str">
        <f>TEXT(Daily_Data[[#This Row],[Month_key]],"mmmm")</f>
        <v>March</v>
      </c>
      <c r="D88" s="20" t="str">
        <f>TEXT(Daily_Data[[#This Row],[Month_key]],"yyyy")</f>
        <v>2023</v>
      </c>
      <c r="E88" s="7">
        <v>9</v>
      </c>
      <c r="F88" s="7">
        <v>14</v>
      </c>
      <c r="G88" s="8">
        <f>Daily_Data[[#This Row],[Rooms_Occupied]]/F88</f>
        <v>0.6428571428571429</v>
      </c>
      <c r="H88" s="7">
        <v>1765</v>
      </c>
      <c r="I88" s="7">
        <f>Daily_Data[[#This Row],[Room_rate]]*Daily_Data[[#This Row],[Rooms_Occupied]]</f>
        <v>15885</v>
      </c>
      <c r="J88" s="10">
        <f>Daily_Data[[#This Row],[Total_Sales]] * 0.22</f>
        <v>3494.7</v>
      </c>
      <c r="K88" s="10">
        <f>INDEX(Expense_master[Monthly_Rent],MATCH(Daily_Data[[#This Row],[Month_key]],Expense_master[Month_Key],0)) / INDEX(Expense_master[Days_in_Month],MATCH(Daily_Data[[#This Row],[Month_key]],Expense_master[Month_Key],0))</f>
        <v>6129.0322580645161</v>
      </c>
      <c r="L88" s="10">
        <f>SUMIFS(Expense_master[Staff_Salary],Expense_master[Month_Key],Daily_Data[[#This Row],[Month_key]]) / SUMIFS(Expense_master[Days_in_Month],Expense_master[Month_Key],Daily_Data[[#This Row],[Month_key]])</f>
        <v>2258.0645161290322</v>
      </c>
      <c r="M88" s="10">
        <f>Daily_Data[[#This Row],[Rooms_Occupied]] * (SUMIFS(Expense_master[Housekeeping_Laundy],Expense_master[Month_Key],Daily_Data[[#This Row],[Month_key]]) / SUMIFS(Occupancy_table[Monthly_rooms_Occupied],Occupancy_table[Month_Key],Daily_Data[[#This Row],[Month_key]]))</f>
        <v>263.15789473684208</v>
      </c>
      <c r="N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1394.1782682512735</v>
      </c>
      <c r="O88" s="10">
        <f>SUMIFS(Expense_master[Monthly_Maintenance],Expense_master[Month_Key],Daily_Data[[#This Row],[Month_key]]) / SUMIFS(Expense_master[Days_in_Month],Expense_master[Month_Key], Daily_Data[[#This Row],[Month_key]])</f>
        <v>645.16129032258061</v>
      </c>
      <c r="P88" s="10">
        <f xml:space="preserve"> Daily_Data[[#This Row],[OTA Commision]] + Daily_Data[[#This Row],[Daily_Rent]]+Daily_Data[[#This Row],[Daily_Staff]]+Daily_Data[[#This Row],[Daily_HK]]+Daily_Data[[#This Row],[Daily_Electricity]] + Daily_Data[[#This Row],[Daily Maintenance]]</f>
        <v>14184.294227504244</v>
      </c>
      <c r="Q88" s="10">
        <f>Daily_Data[[#This Row],[Total_Sales]]-Daily_Data[[#This Row],[Total_Daily_Expense]]</f>
        <v>1700.7057724957558</v>
      </c>
      <c r="R88" s="10">
        <f>Daily_Data[[#This Row],[Total_Sales]]/Daily_Data[[#This Row],[Rooms_Occupied]]</f>
        <v>1765</v>
      </c>
      <c r="S88" s="10">
        <f>Daily_Data[[#This Row],[Total_Sales]] / Daily_Data[[#This Row],[Max_rooms]]</f>
        <v>1134.6428571428571</v>
      </c>
    </row>
    <row r="89" spans="1:19" x14ac:dyDescent="0.25">
      <c r="A89" s="6">
        <v>45014</v>
      </c>
      <c r="B89" s="20">
        <f>DATE(YEAR(Daily_Data[[#This Row],[Date]]), MONTH(Daily_Data[[#This Row],[Date]]), 1)</f>
        <v>44986</v>
      </c>
      <c r="C89" s="20" t="str">
        <f>TEXT(Daily_Data[[#This Row],[Month_key]],"mmmm")</f>
        <v>March</v>
      </c>
      <c r="D89" s="20" t="str">
        <f>TEXT(Daily_Data[[#This Row],[Month_key]],"yyyy")</f>
        <v>2023</v>
      </c>
      <c r="E89" s="7">
        <v>10</v>
      </c>
      <c r="F89" s="7">
        <v>14</v>
      </c>
      <c r="G89" s="8">
        <f>Daily_Data[[#This Row],[Rooms_Occupied]]/F89</f>
        <v>0.7142857142857143</v>
      </c>
      <c r="H89" s="7">
        <v>1465</v>
      </c>
      <c r="I89" s="7">
        <f>Daily_Data[[#This Row],[Room_rate]]*Daily_Data[[#This Row],[Rooms_Occupied]]</f>
        <v>14650</v>
      </c>
      <c r="J89" s="10">
        <f>Daily_Data[[#This Row],[Total_Sales]] * 0.22</f>
        <v>3223</v>
      </c>
      <c r="K89" s="10">
        <f>INDEX(Expense_master[Monthly_Rent],MATCH(Daily_Data[[#This Row],[Month_key]],Expense_master[Month_Key],0)) / INDEX(Expense_master[Days_in_Month],MATCH(Daily_Data[[#This Row],[Month_key]],Expense_master[Month_Key],0))</f>
        <v>6129.0322580645161</v>
      </c>
      <c r="L89" s="10">
        <f>SUMIFS(Expense_master[Staff_Salary],Expense_master[Month_Key],Daily_Data[[#This Row],[Month_key]]) / SUMIFS(Expense_master[Days_in_Month],Expense_master[Month_Key],Daily_Data[[#This Row],[Month_key]])</f>
        <v>2258.0645161290322</v>
      </c>
      <c r="M89" s="10">
        <f>Daily_Data[[#This Row],[Rooms_Occupied]] * (SUMIFS(Expense_master[Housekeeping_Laundy],Expense_master[Month_Key],Daily_Data[[#This Row],[Month_key]]) / SUMIFS(Occupancy_table[Monthly_rooms_Occupied],Occupancy_table[Month_Key],Daily_Data[[#This Row],[Month_key]]))</f>
        <v>292.39766081871346</v>
      </c>
      <c r="N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1479.4238822863613</v>
      </c>
      <c r="O89" s="10">
        <f>SUMIFS(Expense_master[Monthly_Maintenance],Expense_master[Month_Key],Daily_Data[[#This Row],[Month_key]]) / SUMIFS(Expense_master[Days_in_Month],Expense_master[Month_Key], Daily_Data[[#This Row],[Month_key]])</f>
        <v>645.16129032258061</v>
      </c>
      <c r="P89" s="10">
        <f xml:space="preserve"> Daily_Data[[#This Row],[OTA Commision]] + Daily_Data[[#This Row],[Daily_Rent]]+Daily_Data[[#This Row],[Daily_Staff]]+Daily_Data[[#This Row],[Daily_HK]]+Daily_Data[[#This Row],[Daily_Electricity]] + Daily_Data[[#This Row],[Daily Maintenance]]</f>
        <v>14027.079607621203</v>
      </c>
      <c r="Q89" s="10">
        <f>Daily_Data[[#This Row],[Total_Sales]]-Daily_Data[[#This Row],[Total_Daily_Expense]]</f>
        <v>622.92039237879726</v>
      </c>
      <c r="R89" s="10">
        <f>Daily_Data[[#This Row],[Total_Sales]]/Daily_Data[[#This Row],[Rooms_Occupied]]</f>
        <v>1465</v>
      </c>
      <c r="S89" s="10">
        <f>Daily_Data[[#This Row],[Total_Sales]] / Daily_Data[[#This Row],[Max_rooms]]</f>
        <v>1046.4285714285713</v>
      </c>
    </row>
    <row r="90" spans="1:19" x14ac:dyDescent="0.25">
      <c r="A90" s="6">
        <v>45015</v>
      </c>
      <c r="B90" s="20">
        <f>DATE(YEAR(Daily_Data[[#This Row],[Date]]), MONTH(Daily_Data[[#This Row],[Date]]), 1)</f>
        <v>44986</v>
      </c>
      <c r="C90" s="20" t="str">
        <f>TEXT(Daily_Data[[#This Row],[Month_key]],"mmmm")</f>
        <v>March</v>
      </c>
      <c r="D90" s="20" t="str">
        <f>TEXT(Daily_Data[[#This Row],[Month_key]],"yyyy")</f>
        <v>2023</v>
      </c>
      <c r="E90" s="7">
        <v>9</v>
      </c>
      <c r="F90" s="7">
        <v>14</v>
      </c>
      <c r="G90" s="8">
        <f>Daily_Data[[#This Row],[Rooms_Occupied]]/F90</f>
        <v>0.6428571428571429</v>
      </c>
      <c r="H90" s="7">
        <v>1940</v>
      </c>
      <c r="I90" s="7">
        <f>Daily_Data[[#This Row],[Room_rate]]*Daily_Data[[#This Row],[Rooms_Occupied]]</f>
        <v>17460</v>
      </c>
      <c r="J90" s="10">
        <f>Daily_Data[[#This Row],[Total_Sales]] * 0.22</f>
        <v>3841.2</v>
      </c>
      <c r="K90" s="10">
        <f>INDEX(Expense_master[Monthly_Rent],MATCH(Daily_Data[[#This Row],[Month_key]],Expense_master[Month_Key],0)) / INDEX(Expense_master[Days_in_Month],MATCH(Daily_Data[[#This Row],[Month_key]],Expense_master[Month_Key],0))</f>
        <v>6129.0322580645161</v>
      </c>
      <c r="L90" s="10">
        <f>SUMIFS(Expense_master[Staff_Salary],Expense_master[Month_Key],Daily_Data[[#This Row],[Month_key]]) / SUMIFS(Expense_master[Days_in_Month],Expense_master[Month_Key],Daily_Data[[#This Row],[Month_key]])</f>
        <v>2258.0645161290322</v>
      </c>
      <c r="M90" s="10">
        <f>Daily_Data[[#This Row],[Rooms_Occupied]] * (SUMIFS(Expense_master[Housekeeping_Laundy],Expense_master[Month_Key],Daily_Data[[#This Row],[Month_key]]) / SUMIFS(Occupancy_table[Monthly_rooms_Occupied],Occupancy_table[Month_Key],Daily_Data[[#This Row],[Month_key]]))</f>
        <v>263.15789473684208</v>
      </c>
      <c r="N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1394.1782682512735</v>
      </c>
      <c r="O90" s="10">
        <f>SUMIFS(Expense_master[Monthly_Maintenance],Expense_master[Month_Key],Daily_Data[[#This Row],[Month_key]]) / SUMIFS(Expense_master[Days_in_Month],Expense_master[Month_Key], Daily_Data[[#This Row],[Month_key]])</f>
        <v>645.16129032258061</v>
      </c>
      <c r="P90" s="10">
        <f xml:space="preserve"> Daily_Data[[#This Row],[OTA Commision]] + Daily_Data[[#This Row],[Daily_Rent]]+Daily_Data[[#This Row],[Daily_Staff]]+Daily_Data[[#This Row],[Daily_HK]]+Daily_Data[[#This Row],[Daily_Electricity]] + Daily_Data[[#This Row],[Daily Maintenance]]</f>
        <v>14530.794227504244</v>
      </c>
      <c r="Q90" s="10">
        <f>Daily_Data[[#This Row],[Total_Sales]]-Daily_Data[[#This Row],[Total_Daily_Expense]]</f>
        <v>2929.2057724957558</v>
      </c>
      <c r="R90" s="10">
        <f>Daily_Data[[#This Row],[Total_Sales]]/Daily_Data[[#This Row],[Rooms_Occupied]]</f>
        <v>1940</v>
      </c>
      <c r="S90" s="10">
        <f>Daily_Data[[#This Row],[Total_Sales]] / Daily_Data[[#This Row],[Max_rooms]]</f>
        <v>1247.1428571428571</v>
      </c>
    </row>
    <row r="91" spans="1:19" x14ac:dyDescent="0.25">
      <c r="A91" s="6">
        <v>45016</v>
      </c>
      <c r="B91" s="20">
        <f>DATE(YEAR(Daily_Data[[#This Row],[Date]]), MONTH(Daily_Data[[#This Row],[Date]]), 1)</f>
        <v>44986</v>
      </c>
      <c r="C91" s="20" t="str">
        <f>TEXT(Daily_Data[[#This Row],[Month_key]],"mmmm")</f>
        <v>March</v>
      </c>
      <c r="D91" s="20" t="str">
        <f>TEXT(Daily_Data[[#This Row],[Month_key]],"yyyy")</f>
        <v>2023</v>
      </c>
      <c r="E91" s="7">
        <v>10</v>
      </c>
      <c r="F91" s="7">
        <v>14</v>
      </c>
      <c r="G91" s="8">
        <f>Daily_Data[[#This Row],[Rooms_Occupied]]/F91</f>
        <v>0.7142857142857143</v>
      </c>
      <c r="H91" s="7">
        <v>1315</v>
      </c>
      <c r="I91" s="7">
        <f>Daily_Data[[#This Row],[Room_rate]]*Daily_Data[[#This Row],[Rooms_Occupied]]</f>
        <v>13150</v>
      </c>
      <c r="J91" s="10">
        <f>Daily_Data[[#This Row],[Total_Sales]] * 0.22</f>
        <v>2893</v>
      </c>
      <c r="K91" s="10">
        <f>INDEX(Expense_master[Monthly_Rent],MATCH(Daily_Data[[#This Row],[Month_key]],Expense_master[Month_Key],0)) / INDEX(Expense_master[Days_in_Month],MATCH(Daily_Data[[#This Row],[Month_key]],Expense_master[Month_Key],0))</f>
        <v>6129.0322580645161</v>
      </c>
      <c r="L91" s="10">
        <f>SUMIFS(Expense_master[Staff_Salary],Expense_master[Month_Key],Daily_Data[[#This Row],[Month_key]]) / SUMIFS(Expense_master[Days_in_Month],Expense_master[Month_Key],Daily_Data[[#This Row],[Month_key]])</f>
        <v>2258.0645161290322</v>
      </c>
      <c r="M91" s="10">
        <f>Daily_Data[[#This Row],[Rooms_Occupied]] * (SUMIFS(Expense_master[Housekeeping_Laundy],Expense_master[Month_Key],Daily_Data[[#This Row],[Month_key]]) / SUMIFS(Occupancy_table[Monthly_rooms_Occupied],Occupancy_table[Month_Key],Daily_Data[[#This Row],[Month_key]]))</f>
        <v>292.39766081871346</v>
      </c>
      <c r="N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1479.4238822863613</v>
      </c>
      <c r="O91" s="10">
        <f>SUMIFS(Expense_master[Monthly_Maintenance],Expense_master[Month_Key],Daily_Data[[#This Row],[Month_key]]) / SUMIFS(Expense_master[Days_in_Month],Expense_master[Month_Key], Daily_Data[[#This Row],[Month_key]])</f>
        <v>645.16129032258061</v>
      </c>
      <c r="P91" s="10">
        <f xml:space="preserve"> Daily_Data[[#This Row],[OTA Commision]] + Daily_Data[[#This Row],[Daily_Rent]]+Daily_Data[[#This Row],[Daily_Staff]]+Daily_Data[[#This Row],[Daily_HK]]+Daily_Data[[#This Row],[Daily_Electricity]] + Daily_Data[[#This Row],[Daily Maintenance]]</f>
        <v>13697.079607621203</v>
      </c>
      <c r="Q91" s="10">
        <f>Daily_Data[[#This Row],[Total_Sales]]-Daily_Data[[#This Row],[Total_Daily_Expense]]</f>
        <v>-547.07960762120274</v>
      </c>
      <c r="R91" s="10">
        <f>Daily_Data[[#This Row],[Total_Sales]]/Daily_Data[[#This Row],[Rooms_Occupied]]</f>
        <v>1315</v>
      </c>
      <c r="S91" s="10">
        <f>Daily_Data[[#This Row],[Total_Sales]] / Daily_Data[[#This Row],[Max_rooms]]</f>
        <v>939.28571428571433</v>
      </c>
    </row>
    <row r="92" spans="1:19" x14ac:dyDescent="0.25">
      <c r="A92" s="6">
        <v>45017</v>
      </c>
      <c r="B92" s="20">
        <f>DATE(YEAR(Daily_Data[[#This Row],[Date]]), MONTH(Daily_Data[[#This Row],[Date]]), 1)</f>
        <v>45017</v>
      </c>
      <c r="C92" s="20" t="str">
        <f>TEXT(Daily_Data[[#This Row],[Month_key]],"mmmm")</f>
        <v>April</v>
      </c>
      <c r="D92" s="20" t="str">
        <f>TEXT(Daily_Data[[#This Row],[Month_key]],"yyyy")</f>
        <v>2023</v>
      </c>
      <c r="E92" s="7">
        <v>11</v>
      </c>
      <c r="F92" s="7">
        <v>14</v>
      </c>
      <c r="G92" s="8">
        <f>Daily_Data[[#This Row],[Rooms_Occupied]]/F92</f>
        <v>0.7857142857142857</v>
      </c>
      <c r="H92" s="7">
        <v>1305</v>
      </c>
      <c r="I92" s="7">
        <f>Daily_Data[[#This Row],[Room_rate]]*Daily_Data[[#This Row],[Rooms_Occupied]]</f>
        <v>14355</v>
      </c>
      <c r="J92" s="10">
        <f>Daily_Data[[#This Row],[Total_Sales]] * 0.22</f>
        <v>3158.1</v>
      </c>
      <c r="K92" s="10">
        <f>INDEX(Expense_master[Monthly_Rent],MATCH(Daily_Data[[#This Row],[Month_key]],Expense_master[Month_Key],0)) / INDEX(Expense_master[Days_in_Month],MATCH(Daily_Data[[#This Row],[Month_key]],Expense_master[Month_Key],0))</f>
        <v>7000</v>
      </c>
      <c r="L92" s="10">
        <f>SUMIFS(Expense_master[Staff_Salary],Expense_master[Month_Key],Daily_Data[[#This Row],[Month_key]]) / SUMIFS(Expense_master[Days_in_Month],Expense_master[Month_Key],Daily_Data[[#This Row],[Month_key]])</f>
        <v>2333.3333333333335</v>
      </c>
      <c r="M92" s="10">
        <f>Daily_Data[[#This Row],[Rooms_Occupied]] * (SUMIFS(Expense_master[Housekeeping_Laundy],Expense_master[Month_Key],Daily_Data[[#This Row],[Month_key]]) / SUMIFS(Occupancy_table[Monthly_rooms_Occupied],Occupancy_table[Month_Key],Daily_Data[[#This Row],[Month_key]]))</f>
        <v>342.67912772585669</v>
      </c>
      <c r="N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1658.4373831775702</v>
      </c>
      <c r="O92" s="10">
        <f>SUMIFS(Expense_master[Monthly_Maintenance],Expense_master[Month_Key],Daily_Data[[#This Row],[Month_key]]) / SUMIFS(Expense_master[Days_in_Month],Expense_master[Month_Key], Daily_Data[[#This Row],[Month_key]])</f>
        <v>666.66666666666663</v>
      </c>
      <c r="P92" s="10">
        <f xml:space="preserve"> Daily_Data[[#This Row],[OTA Commision]] + Daily_Data[[#This Row],[Daily_Rent]]+Daily_Data[[#This Row],[Daily_Staff]]+Daily_Data[[#This Row],[Daily_HK]]+Daily_Data[[#This Row],[Daily_Electricity]] + Daily_Data[[#This Row],[Daily Maintenance]]</f>
        <v>15159.216510903427</v>
      </c>
      <c r="Q92" s="10">
        <f>Daily_Data[[#This Row],[Total_Sales]]-Daily_Data[[#This Row],[Total_Daily_Expense]]</f>
        <v>-804.21651090342675</v>
      </c>
      <c r="R92" s="10">
        <f>Daily_Data[[#This Row],[Total_Sales]]/Daily_Data[[#This Row],[Rooms_Occupied]]</f>
        <v>1305</v>
      </c>
      <c r="S92" s="10">
        <f>Daily_Data[[#This Row],[Total_Sales]] / Daily_Data[[#This Row],[Max_rooms]]</f>
        <v>1025.3571428571429</v>
      </c>
    </row>
    <row r="93" spans="1:19" x14ac:dyDescent="0.25">
      <c r="A93" s="6">
        <v>45018</v>
      </c>
      <c r="B93" s="20">
        <f>DATE(YEAR(Daily_Data[[#This Row],[Date]]), MONTH(Daily_Data[[#This Row],[Date]]), 1)</f>
        <v>45017</v>
      </c>
      <c r="C93" s="20" t="str">
        <f>TEXT(Daily_Data[[#This Row],[Month_key]],"mmmm")</f>
        <v>April</v>
      </c>
      <c r="D93" s="20" t="str">
        <f>TEXT(Daily_Data[[#This Row],[Month_key]],"yyyy")</f>
        <v>2023</v>
      </c>
      <c r="E93" s="7">
        <v>14</v>
      </c>
      <c r="F93" s="7">
        <v>14</v>
      </c>
      <c r="G93" s="8">
        <f>Daily_Data[[#This Row],[Rooms_Occupied]]/F93</f>
        <v>1</v>
      </c>
      <c r="H93" s="7">
        <v>1450</v>
      </c>
      <c r="I93" s="7">
        <f>Daily_Data[[#This Row],[Room_rate]]*Daily_Data[[#This Row],[Rooms_Occupied]]</f>
        <v>20300</v>
      </c>
      <c r="J93" s="10">
        <f>Daily_Data[[#This Row],[Total_Sales]] * 0.22</f>
        <v>4466</v>
      </c>
      <c r="K93" s="10">
        <f>INDEX(Expense_master[Monthly_Rent],MATCH(Daily_Data[[#This Row],[Month_key]],Expense_master[Month_Key],0)) / INDEX(Expense_master[Days_in_Month],MATCH(Daily_Data[[#This Row],[Month_key]],Expense_master[Month_Key],0))</f>
        <v>7000</v>
      </c>
      <c r="L93" s="10">
        <f>SUMIFS(Expense_master[Staff_Salary],Expense_master[Month_Key],Daily_Data[[#This Row],[Month_key]]) / SUMIFS(Expense_master[Days_in_Month],Expense_master[Month_Key],Daily_Data[[#This Row],[Month_key]])</f>
        <v>2333.3333333333335</v>
      </c>
      <c r="M93" s="10">
        <f>Daily_Data[[#This Row],[Rooms_Occupied]] * (SUMIFS(Expense_master[Housekeeping_Laundy],Expense_master[Month_Key],Daily_Data[[#This Row],[Month_key]]) / SUMIFS(Occupancy_table[Monthly_rooms_Occupied],Occupancy_table[Month_Key],Daily_Data[[#This Row],[Month_key]]))</f>
        <v>436.13707165109037</v>
      </c>
      <c r="N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1932.8112149532712</v>
      </c>
      <c r="O93" s="10">
        <f>SUMIFS(Expense_master[Monthly_Maintenance],Expense_master[Month_Key],Daily_Data[[#This Row],[Month_key]]) / SUMIFS(Expense_master[Days_in_Month],Expense_master[Month_Key], Daily_Data[[#This Row],[Month_key]])</f>
        <v>666.66666666666663</v>
      </c>
      <c r="P93" s="10">
        <f xml:space="preserve"> Daily_Data[[#This Row],[OTA Commision]] + Daily_Data[[#This Row],[Daily_Rent]]+Daily_Data[[#This Row],[Daily_Staff]]+Daily_Data[[#This Row],[Daily_HK]]+Daily_Data[[#This Row],[Daily_Electricity]] + Daily_Data[[#This Row],[Daily Maintenance]]</f>
        <v>16834.948286604362</v>
      </c>
      <c r="Q93" s="10">
        <f>Daily_Data[[#This Row],[Total_Sales]]-Daily_Data[[#This Row],[Total_Daily_Expense]]</f>
        <v>3465.0517133956382</v>
      </c>
      <c r="R93" s="10">
        <f>Daily_Data[[#This Row],[Total_Sales]]/Daily_Data[[#This Row],[Rooms_Occupied]]</f>
        <v>1450</v>
      </c>
      <c r="S93" s="10">
        <f>Daily_Data[[#This Row],[Total_Sales]] / Daily_Data[[#This Row],[Max_rooms]]</f>
        <v>1450</v>
      </c>
    </row>
    <row r="94" spans="1:19" x14ac:dyDescent="0.25">
      <c r="A94" s="6">
        <v>45019</v>
      </c>
      <c r="B94" s="20">
        <f>DATE(YEAR(Daily_Data[[#This Row],[Date]]), MONTH(Daily_Data[[#This Row],[Date]]), 1)</f>
        <v>45017</v>
      </c>
      <c r="C94" s="20" t="str">
        <f>TEXT(Daily_Data[[#This Row],[Month_key]],"mmmm")</f>
        <v>April</v>
      </c>
      <c r="D94" s="20" t="str">
        <f>TEXT(Daily_Data[[#This Row],[Month_key]],"yyyy")</f>
        <v>2023</v>
      </c>
      <c r="E94" s="7">
        <v>11</v>
      </c>
      <c r="F94" s="7">
        <v>14</v>
      </c>
      <c r="G94" s="8">
        <f>Daily_Data[[#This Row],[Rooms_Occupied]]/F94</f>
        <v>0.7857142857142857</v>
      </c>
      <c r="H94" s="7">
        <v>1668</v>
      </c>
      <c r="I94" s="7">
        <f>Daily_Data[[#This Row],[Room_rate]]*Daily_Data[[#This Row],[Rooms_Occupied]]</f>
        <v>18348</v>
      </c>
      <c r="J94" s="10">
        <f>Daily_Data[[#This Row],[Total_Sales]] * 0.22</f>
        <v>4036.56</v>
      </c>
      <c r="K94" s="10">
        <f>INDEX(Expense_master[Monthly_Rent],MATCH(Daily_Data[[#This Row],[Month_key]],Expense_master[Month_Key],0)) / INDEX(Expense_master[Days_in_Month],MATCH(Daily_Data[[#This Row],[Month_key]],Expense_master[Month_Key],0))</f>
        <v>7000</v>
      </c>
      <c r="L94" s="10">
        <f>SUMIFS(Expense_master[Staff_Salary],Expense_master[Month_Key],Daily_Data[[#This Row],[Month_key]]) / SUMIFS(Expense_master[Days_in_Month],Expense_master[Month_Key],Daily_Data[[#This Row],[Month_key]])</f>
        <v>2333.3333333333335</v>
      </c>
      <c r="M94" s="10">
        <f>Daily_Data[[#This Row],[Rooms_Occupied]] * (SUMIFS(Expense_master[Housekeeping_Laundy],Expense_master[Month_Key],Daily_Data[[#This Row],[Month_key]]) / SUMIFS(Occupancy_table[Monthly_rooms_Occupied],Occupancy_table[Month_Key],Daily_Data[[#This Row],[Month_key]]))</f>
        <v>342.67912772585669</v>
      </c>
      <c r="N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1658.4373831775702</v>
      </c>
      <c r="O94" s="10">
        <f>SUMIFS(Expense_master[Monthly_Maintenance],Expense_master[Month_Key],Daily_Data[[#This Row],[Month_key]]) / SUMIFS(Expense_master[Days_in_Month],Expense_master[Month_Key], Daily_Data[[#This Row],[Month_key]])</f>
        <v>666.66666666666663</v>
      </c>
      <c r="P94" s="10">
        <f xml:space="preserve"> Daily_Data[[#This Row],[OTA Commision]] + Daily_Data[[#This Row],[Daily_Rent]]+Daily_Data[[#This Row],[Daily_Staff]]+Daily_Data[[#This Row],[Daily_HK]]+Daily_Data[[#This Row],[Daily_Electricity]] + Daily_Data[[#This Row],[Daily Maintenance]]</f>
        <v>16037.676510903426</v>
      </c>
      <c r="Q94" s="10">
        <f>Daily_Data[[#This Row],[Total_Sales]]-Daily_Data[[#This Row],[Total_Daily_Expense]]</f>
        <v>2310.3234890965741</v>
      </c>
      <c r="R94" s="10">
        <f>Daily_Data[[#This Row],[Total_Sales]]/Daily_Data[[#This Row],[Rooms_Occupied]]</f>
        <v>1668</v>
      </c>
      <c r="S94" s="10">
        <f>Daily_Data[[#This Row],[Total_Sales]] / Daily_Data[[#This Row],[Max_rooms]]</f>
        <v>1310.5714285714287</v>
      </c>
    </row>
    <row r="95" spans="1:19" x14ac:dyDescent="0.25">
      <c r="A95" s="6">
        <v>45020</v>
      </c>
      <c r="B95" s="20">
        <f>DATE(YEAR(Daily_Data[[#This Row],[Date]]), MONTH(Daily_Data[[#This Row],[Date]]), 1)</f>
        <v>45017</v>
      </c>
      <c r="C95" s="20" t="str">
        <f>TEXT(Daily_Data[[#This Row],[Month_key]],"mmmm")</f>
        <v>April</v>
      </c>
      <c r="D95" s="20" t="str">
        <f>TEXT(Daily_Data[[#This Row],[Month_key]],"yyyy")</f>
        <v>2023</v>
      </c>
      <c r="E95" s="7">
        <v>13</v>
      </c>
      <c r="F95" s="7">
        <v>14</v>
      </c>
      <c r="G95" s="8">
        <f>Daily_Data[[#This Row],[Rooms_Occupied]]/F95</f>
        <v>0.9285714285714286</v>
      </c>
      <c r="H95" s="7">
        <v>1859</v>
      </c>
      <c r="I95" s="7">
        <f>Daily_Data[[#This Row],[Room_rate]]*Daily_Data[[#This Row],[Rooms_Occupied]]</f>
        <v>24167</v>
      </c>
      <c r="J95" s="10">
        <f>Daily_Data[[#This Row],[Total_Sales]] * 0.22</f>
        <v>5316.74</v>
      </c>
      <c r="K95" s="10">
        <f>INDEX(Expense_master[Monthly_Rent],MATCH(Daily_Data[[#This Row],[Month_key]],Expense_master[Month_Key],0)) / INDEX(Expense_master[Days_in_Month],MATCH(Daily_Data[[#This Row],[Month_key]],Expense_master[Month_Key],0))</f>
        <v>7000</v>
      </c>
      <c r="L95" s="10">
        <f>SUMIFS(Expense_master[Staff_Salary],Expense_master[Month_Key],Daily_Data[[#This Row],[Month_key]]) / SUMIFS(Expense_master[Days_in_Month],Expense_master[Month_Key],Daily_Data[[#This Row],[Month_key]])</f>
        <v>2333.3333333333335</v>
      </c>
      <c r="M95" s="10">
        <f>Daily_Data[[#This Row],[Rooms_Occupied]] * (SUMIFS(Expense_master[Housekeeping_Laundy],Expense_master[Month_Key],Daily_Data[[#This Row],[Month_key]]) / SUMIFS(Occupancy_table[Monthly_rooms_Occupied],Occupancy_table[Month_Key],Daily_Data[[#This Row],[Month_key]]))</f>
        <v>404.98442367601251</v>
      </c>
      <c r="N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1841.3532710280376</v>
      </c>
      <c r="O95" s="10">
        <f>SUMIFS(Expense_master[Monthly_Maintenance],Expense_master[Month_Key],Daily_Data[[#This Row],[Month_key]]) / SUMIFS(Expense_master[Days_in_Month],Expense_master[Month_Key], Daily_Data[[#This Row],[Month_key]])</f>
        <v>666.66666666666663</v>
      </c>
      <c r="P95" s="10">
        <f xml:space="preserve"> Daily_Data[[#This Row],[OTA Commision]] + Daily_Data[[#This Row],[Daily_Rent]]+Daily_Data[[#This Row],[Daily_Staff]]+Daily_Data[[#This Row],[Daily_HK]]+Daily_Data[[#This Row],[Daily_Electricity]] + Daily_Data[[#This Row],[Daily Maintenance]]</f>
        <v>17563.07769470405</v>
      </c>
      <c r="Q95" s="10">
        <f>Daily_Data[[#This Row],[Total_Sales]]-Daily_Data[[#This Row],[Total_Daily_Expense]]</f>
        <v>6603.9223052959496</v>
      </c>
      <c r="R95" s="10">
        <f>Daily_Data[[#This Row],[Total_Sales]]/Daily_Data[[#This Row],[Rooms_Occupied]]</f>
        <v>1859</v>
      </c>
      <c r="S95" s="10">
        <f>Daily_Data[[#This Row],[Total_Sales]] / Daily_Data[[#This Row],[Max_rooms]]</f>
        <v>1726.2142857142858</v>
      </c>
    </row>
    <row r="96" spans="1:19" x14ac:dyDescent="0.25">
      <c r="A96" s="6">
        <v>45021</v>
      </c>
      <c r="B96" s="20">
        <f>DATE(YEAR(Daily_Data[[#This Row],[Date]]), MONTH(Daily_Data[[#This Row],[Date]]), 1)</f>
        <v>45017</v>
      </c>
      <c r="C96" s="20" t="str">
        <f>TEXT(Daily_Data[[#This Row],[Month_key]],"mmmm")</f>
        <v>April</v>
      </c>
      <c r="D96" s="20" t="str">
        <f>TEXT(Daily_Data[[#This Row],[Month_key]],"yyyy")</f>
        <v>2023</v>
      </c>
      <c r="E96" s="7">
        <v>8</v>
      </c>
      <c r="F96" s="7">
        <v>14</v>
      </c>
      <c r="G96" s="8">
        <f>Daily_Data[[#This Row],[Rooms_Occupied]]/F96</f>
        <v>0.5714285714285714</v>
      </c>
      <c r="H96" s="7">
        <v>1083</v>
      </c>
      <c r="I96" s="7">
        <f>Daily_Data[[#This Row],[Room_rate]]*Daily_Data[[#This Row],[Rooms_Occupied]]</f>
        <v>8664</v>
      </c>
      <c r="J96" s="10">
        <f>Daily_Data[[#This Row],[Total_Sales]] * 0.22</f>
        <v>1906.08</v>
      </c>
      <c r="K96" s="10">
        <f>INDEX(Expense_master[Monthly_Rent],MATCH(Daily_Data[[#This Row],[Month_key]],Expense_master[Month_Key],0)) / INDEX(Expense_master[Days_in_Month],MATCH(Daily_Data[[#This Row],[Month_key]],Expense_master[Month_Key],0))</f>
        <v>7000</v>
      </c>
      <c r="L96" s="10">
        <f>SUMIFS(Expense_master[Staff_Salary],Expense_master[Month_Key],Daily_Data[[#This Row],[Month_key]]) / SUMIFS(Expense_master[Days_in_Month],Expense_master[Month_Key],Daily_Data[[#This Row],[Month_key]])</f>
        <v>2333.3333333333335</v>
      </c>
      <c r="M96" s="10">
        <f>Daily_Data[[#This Row],[Rooms_Occupied]] * (SUMIFS(Expense_master[Housekeeping_Laundy],Expense_master[Month_Key],Daily_Data[[#This Row],[Month_key]]) / SUMIFS(Occupancy_table[Monthly_rooms_Occupied],Occupancy_table[Month_Key],Daily_Data[[#This Row],[Month_key]]))</f>
        <v>249.22118380062307</v>
      </c>
      <c r="N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96" s="10">
        <f>SUMIFS(Expense_master[Monthly_Maintenance],Expense_master[Month_Key],Daily_Data[[#This Row],[Month_key]]) / SUMIFS(Expense_master[Days_in_Month],Expense_master[Month_Key], Daily_Data[[#This Row],[Month_key]])</f>
        <v>666.66666666666663</v>
      </c>
      <c r="P96" s="10">
        <f xml:space="preserve"> Daily_Data[[#This Row],[OTA Commision]] + Daily_Data[[#This Row],[Daily_Rent]]+Daily_Data[[#This Row],[Daily_Staff]]+Daily_Data[[#This Row],[Daily_HK]]+Daily_Data[[#This Row],[Daily_Electricity]] + Daily_Data[[#This Row],[Daily Maintenance]]</f>
        <v>13539.364735202491</v>
      </c>
      <c r="Q96" s="10">
        <f>Daily_Data[[#This Row],[Total_Sales]]-Daily_Data[[#This Row],[Total_Daily_Expense]]</f>
        <v>-4875.3647352024909</v>
      </c>
      <c r="R96" s="10">
        <f>Daily_Data[[#This Row],[Total_Sales]]/Daily_Data[[#This Row],[Rooms_Occupied]]</f>
        <v>1083</v>
      </c>
      <c r="S96" s="10">
        <f>Daily_Data[[#This Row],[Total_Sales]] / Daily_Data[[#This Row],[Max_rooms]]</f>
        <v>618.85714285714289</v>
      </c>
    </row>
    <row r="97" spans="1:19" x14ac:dyDescent="0.25">
      <c r="A97" s="6">
        <v>45022</v>
      </c>
      <c r="B97" s="20">
        <f>DATE(YEAR(Daily_Data[[#This Row],[Date]]), MONTH(Daily_Data[[#This Row],[Date]]), 1)</f>
        <v>45017</v>
      </c>
      <c r="C97" s="20" t="str">
        <f>TEXT(Daily_Data[[#This Row],[Month_key]],"mmmm")</f>
        <v>April</v>
      </c>
      <c r="D97" s="20" t="str">
        <f>TEXT(Daily_Data[[#This Row],[Month_key]],"yyyy")</f>
        <v>2023</v>
      </c>
      <c r="E97" s="7">
        <v>12</v>
      </c>
      <c r="F97" s="7">
        <v>14</v>
      </c>
      <c r="G97" s="8">
        <f>Daily_Data[[#This Row],[Rooms_Occupied]]/F97</f>
        <v>0.8571428571428571</v>
      </c>
      <c r="H97" s="7">
        <v>1269</v>
      </c>
      <c r="I97" s="7">
        <f>Daily_Data[[#This Row],[Room_rate]]*Daily_Data[[#This Row],[Rooms_Occupied]]</f>
        <v>15228</v>
      </c>
      <c r="J97" s="10">
        <f>Daily_Data[[#This Row],[Total_Sales]] * 0.22</f>
        <v>3350.16</v>
      </c>
      <c r="K97" s="10">
        <f>INDEX(Expense_master[Monthly_Rent],MATCH(Daily_Data[[#This Row],[Month_key]],Expense_master[Month_Key],0)) / INDEX(Expense_master[Days_in_Month],MATCH(Daily_Data[[#This Row],[Month_key]],Expense_master[Month_Key],0))</f>
        <v>7000</v>
      </c>
      <c r="L97" s="10">
        <f>SUMIFS(Expense_master[Staff_Salary],Expense_master[Month_Key],Daily_Data[[#This Row],[Month_key]]) / SUMIFS(Expense_master[Days_in_Month],Expense_master[Month_Key],Daily_Data[[#This Row],[Month_key]])</f>
        <v>2333.3333333333335</v>
      </c>
      <c r="M97" s="10">
        <f>Daily_Data[[#This Row],[Rooms_Occupied]] * (SUMIFS(Expense_master[Housekeeping_Laundy],Expense_master[Month_Key],Daily_Data[[#This Row],[Month_key]]) / SUMIFS(Occupancy_table[Monthly_rooms_Occupied],Occupancy_table[Month_Key],Daily_Data[[#This Row],[Month_key]]))</f>
        <v>373.8317757009346</v>
      </c>
      <c r="N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1749.895327102804</v>
      </c>
      <c r="O97" s="10">
        <f>SUMIFS(Expense_master[Monthly_Maintenance],Expense_master[Month_Key],Daily_Data[[#This Row],[Month_key]]) / SUMIFS(Expense_master[Days_in_Month],Expense_master[Month_Key], Daily_Data[[#This Row],[Month_key]])</f>
        <v>666.66666666666663</v>
      </c>
      <c r="P97" s="10">
        <f xml:space="preserve"> Daily_Data[[#This Row],[OTA Commision]] + Daily_Data[[#This Row],[Daily_Rent]]+Daily_Data[[#This Row],[Daily_Staff]]+Daily_Data[[#This Row],[Daily_HK]]+Daily_Data[[#This Row],[Daily_Electricity]] + Daily_Data[[#This Row],[Daily Maintenance]]</f>
        <v>15473.887102803739</v>
      </c>
      <c r="Q97" s="10">
        <f>Daily_Data[[#This Row],[Total_Sales]]-Daily_Data[[#This Row],[Total_Daily_Expense]]</f>
        <v>-245.88710280373925</v>
      </c>
      <c r="R97" s="10">
        <f>Daily_Data[[#This Row],[Total_Sales]]/Daily_Data[[#This Row],[Rooms_Occupied]]</f>
        <v>1269</v>
      </c>
      <c r="S97" s="10">
        <f>Daily_Data[[#This Row],[Total_Sales]] / Daily_Data[[#This Row],[Max_rooms]]</f>
        <v>1087.7142857142858</v>
      </c>
    </row>
    <row r="98" spans="1:19" x14ac:dyDescent="0.25">
      <c r="A98" s="6">
        <v>45023</v>
      </c>
      <c r="B98" s="20">
        <f>DATE(YEAR(Daily_Data[[#This Row],[Date]]), MONTH(Daily_Data[[#This Row],[Date]]), 1)</f>
        <v>45017</v>
      </c>
      <c r="C98" s="20" t="str">
        <f>TEXT(Daily_Data[[#This Row],[Month_key]],"mmmm")</f>
        <v>April</v>
      </c>
      <c r="D98" s="20" t="str">
        <f>TEXT(Daily_Data[[#This Row],[Month_key]],"yyyy")</f>
        <v>2023</v>
      </c>
      <c r="E98" s="7">
        <v>13</v>
      </c>
      <c r="F98" s="7">
        <v>14</v>
      </c>
      <c r="G98" s="8">
        <f>Daily_Data[[#This Row],[Rooms_Occupied]]/F98</f>
        <v>0.9285714285714286</v>
      </c>
      <c r="H98" s="7">
        <v>1620</v>
      </c>
      <c r="I98" s="7">
        <f>Daily_Data[[#This Row],[Room_rate]]*Daily_Data[[#This Row],[Rooms_Occupied]]</f>
        <v>21060</v>
      </c>
      <c r="J98" s="10">
        <f>Daily_Data[[#This Row],[Total_Sales]] * 0.22</f>
        <v>4633.2</v>
      </c>
      <c r="K98" s="10">
        <f>INDEX(Expense_master[Monthly_Rent],MATCH(Daily_Data[[#This Row],[Month_key]],Expense_master[Month_Key],0)) / INDEX(Expense_master[Days_in_Month],MATCH(Daily_Data[[#This Row],[Month_key]],Expense_master[Month_Key],0))</f>
        <v>7000</v>
      </c>
      <c r="L98" s="10">
        <f>SUMIFS(Expense_master[Staff_Salary],Expense_master[Month_Key],Daily_Data[[#This Row],[Month_key]]) / SUMIFS(Expense_master[Days_in_Month],Expense_master[Month_Key],Daily_Data[[#This Row],[Month_key]])</f>
        <v>2333.3333333333335</v>
      </c>
      <c r="M98" s="10">
        <f>Daily_Data[[#This Row],[Rooms_Occupied]] * (SUMIFS(Expense_master[Housekeeping_Laundy],Expense_master[Month_Key],Daily_Data[[#This Row],[Month_key]]) / SUMIFS(Occupancy_table[Monthly_rooms_Occupied],Occupancy_table[Month_Key],Daily_Data[[#This Row],[Month_key]]))</f>
        <v>404.98442367601251</v>
      </c>
      <c r="N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1841.3532710280376</v>
      </c>
      <c r="O98" s="10">
        <f>SUMIFS(Expense_master[Monthly_Maintenance],Expense_master[Month_Key],Daily_Data[[#This Row],[Month_key]]) / SUMIFS(Expense_master[Days_in_Month],Expense_master[Month_Key], Daily_Data[[#This Row],[Month_key]])</f>
        <v>666.66666666666663</v>
      </c>
      <c r="P98" s="10">
        <f xml:space="preserve"> Daily_Data[[#This Row],[OTA Commision]] + Daily_Data[[#This Row],[Daily_Rent]]+Daily_Data[[#This Row],[Daily_Staff]]+Daily_Data[[#This Row],[Daily_HK]]+Daily_Data[[#This Row],[Daily_Electricity]] + Daily_Data[[#This Row],[Daily Maintenance]]</f>
        <v>16879.537694704053</v>
      </c>
      <c r="Q98" s="10">
        <f>Daily_Data[[#This Row],[Total_Sales]]-Daily_Data[[#This Row],[Total_Daily_Expense]]</f>
        <v>4180.4623052959469</v>
      </c>
      <c r="R98" s="10">
        <f>Daily_Data[[#This Row],[Total_Sales]]/Daily_Data[[#This Row],[Rooms_Occupied]]</f>
        <v>1620</v>
      </c>
      <c r="S98" s="10">
        <f>Daily_Data[[#This Row],[Total_Sales]] / Daily_Data[[#This Row],[Max_rooms]]</f>
        <v>1504.2857142857142</v>
      </c>
    </row>
    <row r="99" spans="1:19" x14ac:dyDescent="0.25">
      <c r="A99" s="6">
        <v>45024</v>
      </c>
      <c r="B99" s="20">
        <f>DATE(YEAR(Daily_Data[[#This Row],[Date]]), MONTH(Daily_Data[[#This Row],[Date]]), 1)</f>
        <v>45017</v>
      </c>
      <c r="C99" s="20" t="str">
        <f>TEXT(Daily_Data[[#This Row],[Month_key]],"mmmm")</f>
        <v>April</v>
      </c>
      <c r="D99" s="20" t="str">
        <f>TEXT(Daily_Data[[#This Row],[Month_key]],"yyyy")</f>
        <v>2023</v>
      </c>
      <c r="E99" s="7">
        <v>8</v>
      </c>
      <c r="F99" s="7">
        <v>14</v>
      </c>
      <c r="G99" s="8">
        <f>Daily_Data[[#This Row],[Rooms_Occupied]]/F99</f>
        <v>0.5714285714285714</v>
      </c>
      <c r="H99" s="7">
        <v>1633</v>
      </c>
      <c r="I99" s="7">
        <f>Daily_Data[[#This Row],[Room_rate]]*Daily_Data[[#This Row],[Rooms_Occupied]]</f>
        <v>13064</v>
      </c>
      <c r="J99" s="10">
        <f>Daily_Data[[#This Row],[Total_Sales]] * 0.22</f>
        <v>2874.08</v>
      </c>
      <c r="K99" s="10">
        <f>INDEX(Expense_master[Monthly_Rent],MATCH(Daily_Data[[#This Row],[Month_key]],Expense_master[Month_Key],0)) / INDEX(Expense_master[Days_in_Month],MATCH(Daily_Data[[#This Row],[Month_key]],Expense_master[Month_Key],0))</f>
        <v>7000</v>
      </c>
      <c r="L99" s="10">
        <f>SUMIFS(Expense_master[Staff_Salary],Expense_master[Month_Key],Daily_Data[[#This Row],[Month_key]]) / SUMIFS(Expense_master[Days_in_Month],Expense_master[Month_Key],Daily_Data[[#This Row],[Month_key]])</f>
        <v>2333.3333333333335</v>
      </c>
      <c r="M99" s="10">
        <f>Daily_Data[[#This Row],[Rooms_Occupied]] * (SUMIFS(Expense_master[Housekeeping_Laundy],Expense_master[Month_Key],Daily_Data[[#This Row],[Month_key]]) / SUMIFS(Occupancy_table[Monthly_rooms_Occupied],Occupancy_table[Month_Key],Daily_Data[[#This Row],[Month_key]]))</f>
        <v>249.22118380062307</v>
      </c>
      <c r="N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99" s="10">
        <f>SUMIFS(Expense_master[Monthly_Maintenance],Expense_master[Month_Key],Daily_Data[[#This Row],[Month_key]]) / SUMIFS(Expense_master[Days_in_Month],Expense_master[Month_Key], Daily_Data[[#This Row],[Month_key]])</f>
        <v>666.66666666666663</v>
      </c>
      <c r="P99" s="10">
        <f xml:space="preserve"> Daily_Data[[#This Row],[OTA Commision]] + Daily_Data[[#This Row],[Daily_Rent]]+Daily_Data[[#This Row],[Daily_Staff]]+Daily_Data[[#This Row],[Daily_HK]]+Daily_Data[[#This Row],[Daily_Electricity]] + Daily_Data[[#This Row],[Daily Maintenance]]</f>
        <v>14507.364735202491</v>
      </c>
      <c r="Q99" s="10">
        <f>Daily_Data[[#This Row],[Total_Sales]]-Daily_Data[[#This Row],[Total_Daily_Expense]]</f>
        <v>-1443.3647352024909</v>
      </c>
      <c r="R99" s="10">
        <f>Daily_Data[[#This Row],[Total_Sales]]/Daily_Data[[#This Row],[Rooms_Occupied]]</f>
        <v>1633</v>
      </c>
      <c r="S99" s="10">
        <f>Daily_Data[[#This Row],[Total_Sales]] / Daily_Data[[#This Row],[Max_rooms]]</f>
        <v>933.14285714285711</v>
      </c>
    </row>
    <row r="100" spans="1:19" x14ac:dyDescent="0.25">
      <c r="A100" s="6">
        <v>45025</v>
      </c>
      <c r="B100" s="20">
        <f>DATE(YEAR(Daily_Data[[#This Row],[Date]]), MONTH(Daily_Data[[#This Row],[Date]]), 1)</f>
        <v>45017</v>
      </c>
      <c r="C100" s="20" t="str">
        <f>TEXT(Daily_Data[[#This Row],[Month_key]],"mmmm")</f>
        <v>April</v>
      </c>
      <c r="D100" s="20" t="str">
        <f>TEXT(Daily_Data[[#This Row],[Month_key]],"yyyy")</f>
        <v>2023</v>
      </c>
      <c r="E100" s="7">
        <v>13</v>
      </c>
      <c r="F100" s="7">
        <v>14</v>
      </c>
      <c r="G100" s="8">
        <f>Daily_Data[[#This Row],[Rooms_Occupied]]/F100</f>
        <v>0.9285714285714286</v>
      </c>
      <c r="H100" s="7">
        <v>1003</v>
      </c>
      <c r="I100" s="7">
        <f>Daily_Data[[#This Row],[Room_rate]]*Daily_Data[[#This Row],[Rooms_Occupied]]</f>
        <v>13039</v>
      </c>
      <c r="J100" s="10">
        <f>Daily_Data[[#This Row],[Total_Sales]] * 0.22</f>
        <v>2868.58</v>
      </c>
      <c r="K100" s="10">
        <f>INDEX(Expense_master[Monthly_Rent],MATCH(Daily_Data[[#This Row],[Month_key]],Expense_master[Month_Key],0)) / INDEX(Expense_master[Days_in_Month],MATCH(Daily_Data[[#This Row],[Month_key]],Expense_master[Month_Key],0))</f>
        <v>7000</v>
      </c>
      <c r="L100" s="10">
        <f>SUMIFS(Expense_master[Staff_Salary],Expense_master[Month_Key],Daily_Data[[#This Row],[Month_key]]) / SUMIFS(Expense_master[Days_in_Month],Expense_master[Month_Key],Daily_Data[[#This Row],[Month_key]])</f>
        <v>2333.3333333333335</v>
      </c>
      <c r="M100" s="10">
        <f>Daily_Data[[#This Row],[Rooms_Occupied]] * (SUMIFS(Expense_master[Housekeeping_Laundy],Expense_master[Month_Key],Daily_Data[[#This Row],[Month_key]]) / SUMIFS(Occupancy_table[Monthly_rooms_Occupied],Occupancy_table[Month_Key],Daily_Data[[#This Row],[Month_key]]))</f>
        <v>404.98442367601251</v>
      </c>
      <c r="N1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1841.3532710280376</v>
      </c>
      <c r="O100" s="10">
        <f>SUMIFS(Expense_master[Monthly_Maintenance],Expense_master[Month_Key],Daily_Data[[#This Row],[Month_key]]) / SUMIFS(Expense_master[Days_in_Month],Expense_master[Month_Key], Daily_Data[[#This Row],[Month_key]])</f>
        <v>666.66666666666663</v>
      </c>
      <c r="P100" s="10">
        <f xml:space="preserve"> Daily_Data[[#This Row],[OTA Commision]] + Daily_Data[[#This Row],[Daily_Rent]]+Daily_Data[[#This Row],[Daily_Staff]]+Daily_Data[[#This Row],[Daily_HK]]+Daily_Data[[#This Row],[Daily_Electricity]] + Daily_Data[[#This Row],[Daily Maintenance]]</f>
        <v>15114.917694704051</v>
      </c>
      <c r="Q100" s="10">
        <f>Daily_Data[[#This Row],[Total_Sales]]-Daily_Data[[#This Row],[Total_Daily_Expense]]</f>
        <v>-2075.9176947040505</v>
      </c>
      <c r="R100" s="10">
        <f>Daily_Data[[#This Row],[Total_Sales]]/Daily_Data[[#This Row],[Rooms_Occupied]]</f>
        <v>1003</v>
      </c>
      <c r="S100" s="10">
        <f>Daily_Data[[#This Row],[Total_Sales]] / Daily_Data[[#This Row],[Max_rooms]]</f>
        <v>931.35714285714289</v>
      </c>
    </row>
    <row r="101" spans="1:19" x14ac:dyDescent="0.25">
      <c r="A101" s="6">
        <v>45026</v>
      </c>
      <c r="B101" s="20">
        <f>DATE(YEAR(Daily_Data[[#This Row],[Date]]), MONTH(Daily_Data[[#This Row],[Date]]), 1)</f>
        <v>45017</v>
      </c>
      <c r="C101" s="20" t="str">
        <f>TEXT(Daily_Data[[#This Row],[Month_key]],"mmmm")</f>
        <v>April</v>
      </c>
      <c r="D101" s="20" t="str">
        <f>TEXT(Daily_Data[[#This Row],[Month_key]],"yyyy")</f>
        <v>2023</v>
      </c>
      <c r="E101" s="7">
        <v>11</v>
      </c>
      <c r="F101" s="7">
        <v>14</v>
      </c>
      <c r="G101" s="8">
        <f>Daily_Data[[#This Row],[Rooms_Occupied]]/F101</f>
        <v>0.7857142857142857</v>
      </c>
      <c r="H101" s="7">
        <v>1708</v>
      </c>
      <c r="I101" s="7">
        <f>Daily_Data[[#This Row],[Room_rate]]*Daily_Data[[#This Row],[Rooms_Occupied]]</f>
        <v>18788</v>
      </c>
      <c r="J101" s="10">
        <f>Daily_Data[[#This Row],[Total_Sales]] * 0.22</f>
        <v>4133.3599999999997</v>
      </c>
      <c r="K101" s="10">
        <f>INDEX(Expense_master[Monthly_Rent],MATCH(Daily_Data[[#This Row],[Month_key]],Expense_master[Month_Key],0)) / INDEX(Expense_master[Days_in_Month],MATCH(Daily_Data[[#This Row],[Month_key]],Expense_master[Month_Key],0))</f>
        <v>7000</v>
      </c>
      <c r="L101" s="10">
        <f>SUMIFS(Expense_master[Staff_Salary],Expense_master[Month_Key],Daily_Data[[#This Row],[Month_key]]) / SUMIFS(Expense_master[Days_in_Month],Expense_master[Month_Key],Daily_Data[[#This Row],[Month_key]])</f>
        <v>2333.3333333333335</v>
      </c>
      <c r="M101" s="10">
        <f>Daily_Data[[#This Row],[Rooms_Occupied]] * (SUMIFS(Expense_master[Housekeeping_Laundy],Expense_master[Month_Key],Daily_Data[[#This Row],[Month_key]]) / SUMIFS(Occupancy_table[Monthly_rooms_Occupied],Occupancy_table[Month_Key],Daily_Data[[#This Row],[Month_key]]))</f>
        <v>342.67912772585669</v>
      </c>
      <c r="N1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1658.4373831775702</v>
      </c>
      <c r="O101" s="10">
        <f>SUMIFS(Expense_master[Monthly_Maintenance],Expense_master[Month_Key],Daily_Data[[#This Row],[Month_key]]) / SUMIFS(Expense_master[Days_in_Month],Expense_master[Month_Key], Daily_Data[[#This Row],[Month_key]])</f>
        <v>666.66666666666663</v>
      </c>
      <c r="P101" s="10">
        <f xml:space="preserve"> Daily_Data[[#This Row],[OTA Commision]] + Daily_Data[[#This Row],[Daily_Rent]]+Daily_Data[[#This Row],[Daily_Staff]]+Daily_Data[[#This Row],[Daily_HK]]+Daily_Data[[#This Row],[Daily_Electricity]] + Daily_Data[[#This Row],[Daily Maintenance]]</f>
        <v>16134.476510903427</v>
      </c>
      <c r="Q101" s="10">
        <f>Daily_Data[[#This Row],[Total_Sales]]-Daily_Data[[#This Row],[Total_Daily_Expense]]</f>
        <v>2653.523489096573</v>
      </c>
      <c r="R101" s="10">
        <f>Daily_Data[[#This Row],[Total_Sales]]/Daily_Data[[#This Row],[Rooms_Occupied]]</f>
        <v>1708</v>
      </c>
      <c r="S101" s="10">
        <f>Daily_Data[[#This Row],[Total_Sales]] / Daily_Data[[#This Row],[Max_rooms]]</f>
        <v>1342</v>
      </c>
    </row>
    <row r="102" spans="1:19" x14ac:dyDescent="0.25">
      <c r="A102" s="6">
        <v>45027</v>
      </c>
      <c r="B102" s="20">
        <f>DATE(YEAR(Daily_Data[[#This Row],[Date]]), MONTH(Daily_Data[[#This Row],[Date]]), 1)</f>
        <v>45017</v>
      </c>
      <c r="C102" s="20" t="str">
        <f>TEXT(Daily_Data[[#This Row],[Month_key]],"mmmm")</f>
        <v>April</v>
      </c>
      <c r="D102" s="20" t="str">
        <f>TEXT(Daily_Data[[#This Row],[Month_key]],"yyyy")</f>
        <v>2023</v>
      </c>
      <c r="E102" s="7">
        <v>11</v>
      </c>
      <c r="F102" s="7">
        <v>14</v>
      </c>
      <c r="G102" s="8">
        <f>Daily_Data[[#This Row],[Rooms_Occupied]]/F102</f>
        <v>0.7857142857142857</v>
      </c>
      <c r="H102" s="7">
        <v>1813</v>
      </c>
      <c r="I102" s="7">
        <f>Daily_Data[[#This Row],[Room_rate]]*Daily_Data[[#This Row],[Rooms_Occupied]]</f>
        <v>19943</v>
      </c>
      <c r="J102" s="10">
        <f>Daily_Data[[#This Row],[Total_Sales]] * 0.22</f>
        <v>4387.46</v>
      </c>
      <c r="K102" s="10">
        <f>INDEX(Expense_master[Monthly_Rent],MATCH(Daily_Data[[#This Row],[Month_key]],Expense_master[Month_Key],0)) / INDEX(Expense_master[Days_in_Month],MATCH(Daily_Data[[#This Row],[Month_key]],Expense_master[Month_Key],0))</f>
        <v>7000</v>
      </c>
      <c r="L102" s="10">
        <f>SUMIFS(Expense_master[Staff_Salary],Expense_master[Month_Key],Daily_Data[[#This Row],[Month_key]]) / SUMIFS(Expense_master[Days_in_Month],Expense_master[Month_Key],Daily_Data[[#This Row],[Month_key]])</f>
        <v>2333.3333333333335</v>
      </c>
      <c r="M102" s="10">
        <f>Daily_Data[[#This Row],[Rooms_Occupied]] * (SUMIFS(Expense_master[Housekeeping_Laundy],Expense_master[Month_Key],Daily_Data[[#This Row],[Month_key]]) / SUMIFS(Occupancy_table[Monthly_rooms_Occupied],Occupancy_table[Month_Key],Daily_Data[[#This Row],[Month_key]]))</f>
        <v>342.67912772585669</v>
      </c>
      <c r="N1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1658.4373831775702</v>
      </c>
      <c r="O102" s="10">
        <f>SUMIFS(Expense_master[Monthly_Maintenance],Expense_master[Month_Key],Daily_Data[[#This Row],[Month_key]]) / SUMIFS(Expense_master[Days_in_Month],Expense_master[Month_Key], Daily_Data[[#This Row],[Month_key]])</f>
        <v>666.66666666666663</v>
      </c>
      <c r="P102" s="10">
        <f xml:space="preserve"> Daily_Data[[#This Row],[OTA Commision]] + Daily_Data[[#This Row],[Daily_Rent]]+Daily_Data[[#This Row],[Daily_Staff]]+Daily_Data[[#This Row],[Daily_HK]]+Daily_Data[[#This Row],[Daily_Electricity]] + Daily_Data[[#This Row],[Daily Maintenance]]</f>
        <v>16388.576510903426</v>
      </c>
      <c r="Q102" s="10">
        <f>Daily_Data[[#This Row],[Total_Sales]]-Daily_Data[[#This Row],[Total_Daily_Expense]]</f>
        <v>3554.4234890965745</v>
      </c>
      <c r="R102" s="10">
        <f>Daily_Data[[#This Row],[Total_Sales]]/Daily_Data[[#This Row],[Rooms_Occupied]]</f>
        <v>1813</v>
      </c>
      <c r="S102" s="10">
        <f>Daily_Data[[#This Row],[Total_Sales]] / Daily_Data[[#This Row],[Max_rooms]]</f>
        <v>1424.5</v>
      </c>
    </row>
    <row r="103" spans="1:19" x14ac:dyDescent="0.25">
      <c r="A103" s="6">
        <v>45028</v>
      </c>
      <c r="B103" s="20">
        <f>DATE(YEAR(Daily_Data[[#This Row],[Date]]), MONTH(Daily_Data[[#This Row],[Date]]), 1)</f>
        <v>45017</v>
      </c>
      <c r="C103" s="20" t="str">
        <f>TEXT(Daily_Data[[#This Row],[Month_key]],"mmmm")</f>
        <v>April</v>
      </c>
      <c r="D103" s="20" t="str">
        <f>TEXT(Daily_Data[[#This Row],[Month_key]],"yyyy")</f>
        <v>2023</v>
      </c>
      <c r="E103" s="7">
        <v>9</v>
      </c>
      <c r="F103" s="7">
        <v>14</v>
      </c>
      <c r="G103" s="8">
        <f>Daily_Data[[#This Row],[Rooms_Occupied]]/F103</f>
        <v>0.6428571428571429</v>
      </c>
      <c r="H103" s="7">
        <v>1276</v>
      </c>
      <c r="I103" s="7">
        <f>Daily_Data[[#This Row],[Room_rate]]*Daily_Data[[#This Row],[Rooms_Occupied]]</f>
        <v>11484</v>
      </c>
      <c r="J103" s="10">
        <f>Daily_Data[[#This Row],[Total_Sales]] * 0.22</f>
        <v>2526.48</v>
      </c>
      <c r="K103" s="10">
        <f>INDEX(Expense_master[Monthly_Rent],MATCH(Daily_Data[[#This Row],[Month_key]],Expense_master[Month_Key],0)) / INDEX(Expense_master[Days_in_Month],MATCH(Daily_Data[[#This Row],[Month_key]],Expense_master[Month_Key],0))</f>
        <v>7000</v>
      </c>
      <c r="L103" s="10">
        <f>SUMIFS(Expense_master[Staff_Salary],Expense_master[Month_Key],Daily_Data[[#This Row],[Month_key]]) / SUMIFS(Expense_master[Days_in_Month],Expense_master[Month_Key],Daily_Data[[#This Row],[Month_key]])</f>
        <v>2333.3333333333335</v>
      </c>
      <c r="M103" s="10">
        <f>Daily_Data[[#This Row],[Rooms_Occupied]] * (SUMIFS(Expense_master[Housekeeping_Laundy],Expense_master[Month_Key],Daily_Data[[#This Row],[Month_key]]) / SUMIFS(Occupancy_table[Monthly_rooms_Occupied],Occupancy_table[Month_Key],Daily_Data[[#This Row],[Month_key]]))</f>
        <v>280.37383177570098</v>
      </c>
      <c r="N1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1475.5214953271029</v>
      </c>
      <c r="O103" s="10">
        <f>SUMIFS(Expense_master[Monthly_Maintenance],Expense_master[Month_Key],Daily_Data[[#This Row],[Month_key]]) / SUMIFS(Expense_master[Days_in_Month],Expense_master[Month_Key], Daily_Data[[#This Row],[Month_key]])</f>
        <v>666.66666666666663</v>
      </c>
      <c r="P103" s="10">
        <f xml:space="preserve"> Daily_Data[[#This Row],[OTA Commision]] + Daily_Data[[#This Row],[Daily_Rent]]+Daily_Data[[#This Row],[Daily_Staff]]+Daily_Data[[#This Row],[Daily_HK]]+Daily_Data[[#This Row],[Daily_Electricity]] + Daily_Data[[#This Row],[Daily Maintenance]]</f>
        <v>14282.375327102804</v>
      </c>
      <c r="Q103" s="10">
        <f>Daily_Data[[#This Row],[Total_Sales]]-Daily_Data[[#This Row],[Total_Daily_Expense]]</f>
        <v>-2798.3753271028036</v>
      </c>
      <c r="R103" s="10">
        <f>Daily_Data[[#This Row],[Total_Sales]]/Daily_Data[[#This Row],[Rooms_Occupied]]</f>
        <v>1276</v>
      </c>
      <c r="S103" s="10">
        <f>Daily_Data[[#This Row],[Total_Sales]] / Daily_Data[[#This Row],[Max_rooms]]</f>
        <v>820.28571428571433</v>
      </c>
    </row>
    <row r="104" spans="1:19" x14ac:dyDescent="0.25">
      <c r="A104" s="6">
        <v>45029</v>
      </c>
      <c r="B104" s="20">
        <f>DATE(YEAR(Daily_Data[[#This Row],[Date]]), MONTH(Daily_Data[[#This Row],[Date]]), 1)</f>
        <v>45017</v>
      </c>
      <c r="C104" s="20" t="str">
        <f>TEXT(Daily_Data[[#This Row],[Month_key]],"mmmm")</f>
        <v>April</v>
      </c>
      <c r="D104" s="20" t="str">
        <f>TEXT(Daily_Data[[#This Row],[Month_key]],"yyyy")</f>
        <v>2023</v>
      </c>
      <c r="E104" s="7">
        <v>12</v>
      </c>
      <c r="F104" s="7">
        <v>14</v>
      </c>
      <c r="G104" s="8">
        <f>Daily_Data[[#This Row],[Rooms_Occupied]]/F104</f>
        <v>0.8571428571428571</v>
      </c>
      <c r="H104" s="7">
        <v>1199</v>
      </c>
      <c r="I104" s="7">
        <f>Daily_Data[[#This Row],[Room_rate]]*Daily_Data[[#This Row],[Rooms_Occupied]]</f>
        <v>14388</v>
      </c>
      <c r="J104" s="10">
        <f>Daily_Data[[#This Row],[Total_Sales]] * 0.22</f>
        <v>3165.36</v>
      </c>
      <c r="K104" s="10">
        <f>INDEX(Expense_master[Monthly_Rent],MATCH(Daily_Data[[#This Row],[Month_key]],Expense_master[Month_Key],0)) / INDEX(Expense_master[Days_in_Month],MATCH(Daily_Data[[#This Row],[Month_key]],Expense_master[Month_Key],0))</f>
        <v>7000</v>
      </c>
      <c r="L104" s="10">
        <f>SUMIFS(Expense_master[Staff_Salary],Expense_master[Month_Key],Daily_Data[[#This Row],[Month_key]]) / SUMIFS(Expense_master[Days_in_Month],Expense_master[Month_Key],Daily_Data[[#This Row],[Month_key]])</f>
        <v>2333.3333333333335</v>
      </c>
      <c r="M104" s="10">
        <f>Daily_Data[[#This Row],[Rooms_Occupied]] * (SUMIFS(Expense_master[Housekeeping_Laundy],Expense_master[Month_Key],Daily_Data[[#This Row],[Month_key]]) / SUMIFS(Occupancy_table[Monthly_rooms_Occupied],Occupancy_table[Month_Key],Daily_Data[[#This Row],[Month_key]]))</f>
        <v>373.8317757009346</v>
      </c>
      <c r="N1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1749.895327102804</v>
      </c>
      <c r="O104" s="10">
        <f>SUMIFS(Expense_master[Monthly_Maintenance],Expense_master[Month_Key],Daily_Data[[#This Row],[Month_key]]) / SUMIFS(Expense_master[Days_in_Month],Expense_master[Month_Key], Daily_Data[[#This Row],[Month_key]])</f>
        <v>666.66666666666663</v>
      </c>
      <c r="P104" s="10">
        <f xml:space="preserve"> Daily_Data[[#This Row],[OTA Commision]] + Daily_Data[[#This Row],[Daily_Rent]]+Daily_Data[[#This Row],[Daily_Staff]]+Daily_Data[[#This Row],[Daily_HK]]+Daily_Data[[#This Row],[Daily_Electricity]] + Daily_Data[[#This Row],[Daily Maintenance]]</f>
        <v>15289.08710280374</v>
      </c>
      <c r="Q104" s="10">
        <f>Daily_Data[[#This Row],[Total_Sales]]-Daily_Data[[#This Row],[Total_Daily_Expense]]</f>
        <v>-901.08710280373998</v>
      </c>
      <c r="R104" s="10">
        <f>Daily_Data[[#This Row],[Total_Sales]]/Daily_Data[[#This Row],[Rooms_Occupied]]</f>
        <v>1199</v>
      </c>
      <c r="S104" s="10">
        <f>Daily_Data[[#This Row],[Total_Sales]] / Daily_Data[[#This Row],[Max_rooms]]</f>
        <v>1027.7142857142858</v>
      </c>
    </row>
    <row r="105" spans="1:19" x14ac:dyDescent="0.25">
      <c r="A105" s="6">
        <v>45030</v>
      </c>
      <c r="B105" s="20">
        <f>DATE(YEAR(Daily_Data[[#This Row],[Date]]), MONTH(Daily_Data[[#This Row],[Date]]), 1)</f>
        <v>45017</v>
      </c>
      <c r="C105" s="20" t="str">
        <f>TEXT(Daily_Data[[#This Row],[Month_key]],"mmmm")</f>
        <v>April</v>
      </c>
      <c r="D105" s="20" t="str">
        <f>TEXT(Daily_Data[[#This Row],[Month_key]],"yyyy")</f>
        <v>2023</v>
      </c>
      <c r="E105" s="7">
        <v>14</v>
      </c>
      <c r="F105" s="7">
        <v>14</v>
      </c>
      <c r="G105" s="8">
        <f>Daily_Data[[#This Row],[Rooms_Occupied]]/F105</f>
        <v>1</v>
      </c>
      <c r="H105" s="7">
        <v>1432</v>
      </c>
      <c r="I105" s="7">
        <f>Daily_Data[[#This Row],[Room_rate]]*Daily_Data[[#This Row],[Rooms_Occupied]]</f>
        <v>20048</v>
      </c>
      <c r="J105" s="10">
        <f>Daily_Data[[#This Row],[Total_Sales]] * 0.22</f>
        <v>4410.5600000000004</v>
      </c>
      <c r="K105" s="10">
        <f>INDEX(Expense_master[Monthly_Rent],MATCH(Daily_Data[[#This Row],[Month_key]],Expense_master[Month_Key],0)) / INDEX(Expense_master[Days_in_Month],MATCH(Daily_Data[[#This Row],[Month_key]],Expense_master[Month_Key],0))</f>
        <v>7000</v>
      </c>
      <c r="L105" s="10">
        <f>SUMIFS(Expense_master[Staff_Salary],Expense_master[Month_Key],Daily_Data[[#This Row],[Month_key]]) / SUMIFS(Expense_master[Days_in_Month],Expense_master[Month_Key],Daily_Data[[#This Row],[Month_key]])</f>
        <v>2333.3333333333335</v>
      </c>
      <c r="M105" s="10">
        <f>Daily_Data[[#This Row],[Rooms_Occupied]] * (SUMIFS(Expense_master[Housekeeping_Laundy],Expense_master[Month_Key],Daily_Data[[#This Row],[Month_key]]) / SUMIFS(Occupancy_table[Monthly_rooms_Occupied],Occupancy_table[Month_Key],Daily_Data[[#This Row],[Month_key]]))</f>
        <v>436.13707165109037</v>
      </c>
      <c r="N1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1932.8112149532712</v>
      </c>
      <c r="O105" s="10">
        <f>SUMIFS(Expense_master[Monthly_Maintenance],Expense_master[Month_Key],Daily_Data[[#This Row],[Month_key]]) / SUMIFS(Expense_master[Days_in_Month],Expense_master[Month_Key], Daily_Data[[#This Row],[Month_key]])</f>
        <v>666.66666666666663</v>
      </c>
      <c r="P105" s="10">
        <f xml:space="preserve"> Daily_Data[[#This Row],[OTA Commision]] + Daily_Data[[#This Row],[Daily_Rent]]+Daily_Data[[#This Row],[Daily_Staff]]+Daily_Data[[#This Row],[Daily_HK]]+Daily_Data[[#This Row],[Daily_Electricity]] + Daily_Data[[#This Row],[Daily Maintenance]]</f>
        <v>16779.508286604363</v>
      </c>
      <c r="Q105" s="10">
        <f>Daily_Data[[#This Row],[Total_Sales]]-Daily_Data[[#This Row],[Total_Daily_Expense]]</f>
        <v>3268.4917133956369</v>
      </c>
      <c r="R105" s="10">
        <f>Daily_Data[[#This Row],[Total_Sales]]/Daily_Data[[#This Row],[Rooms_Occupied]]</f>
        <v>1432</v>
      </c>
      <c r="S105" s="10">
        <f>Daily_Data[[#This Row],[Total_Sales]] / Daily_Data[[#This Row],[Max_rooms]]</f>
        <v>1432</v>
      </c>
    </row>
    <row r="106" spans="1:19" x14ac:dyDescent="0.25">
      <c r="A106" s="6">
        <v>45031</v>
      </c>
      <c r="B106" s="20">
        <f>DATE(YEAR(Daily_Data[[#This Row],[Date]]), MONTH(Daily_Data[[#This Row],[Date]]), 1)</f>
        <v>45017</v>
      </c>
      <c r="C106" s="20" t="str">
        <f>TEXT(Daily_Data[[#This Row],[Month_key]],"mmmm")</f>
        <v>April</v>
      </c>
      <c r="D106" s="20" t="str">
        <f>TEXT(Daily_Data[[#This Row],[Month_key]],"yyyy")</f>
        <v>2023</v>
      </c>
      <c r="E106" s="7">
        <v>9</v>
      </c>
      <c r="F106" s="7">
        <v>14</v>
      </c>
      <c r="G106" s="8">
        <f>Daily_Data[[#This Row],[Rooms_Occupied]]/F106</f>
        <v>0.6428571428571429</v>
      </c>
      <c r="H106" s="7">
        <v>1606</v>
      </c>
      <c r="I106" s="7">
        <f>Daily_Data[[#This Row],[Room_rate]]*Daily_Data[[#This Row],[Rooms_Occupied]]</f>
        <v>14454</v>
      </c>
      <c r="J106" s="10">
        <f>Daily_Data[[#This Row],[Total_Sales]] * 0.22</f>
        <v>3179.88</v>
      </c>
      <c r="K106" s="10">
        <f>INDEX(Expense_master[Monthly_Rent],MATCH(Daily_Data[[#This Row],[Month_key]],Expense_master[Month_Key],0)) / INDEX(Expense_master[Days_in_Month],MATCH(Daily_Data[[#This Row],[Month_key]],Expense_master[Month_Key],0))</f>
        <v>7000</v>
      </c>
      <c r="L106" s="10">
        <f>SUMIFS(Expense_master[Staff_Salary],Expense_master[Month_Key],Daily_Data[[#This Row],[Month_key]]) / SUMIFS(Expense_master[Days_in_Month],Expense_master[Month_Key],Daily_Data[[#This Row],[Month_key]])</f>
        <v>2333.3333333333335</v>
      </c>
      <c r="M106" s="10">
        <f>Daily_Data[[#This Row],[Rooms_Occupied]] * (SUMIFS(Expense_master[Housekeeping_Laundy],Expense_master[Month_Key],Daily_Data[[#This Row],[Month_key]]) / SUMIFS(Occupancy_table[Monthly_rooms_Occupied],Occupancy_table[Month_Key],Daily_Data[[#This Row],[Month_key]]))</f>
        <v>280.37383177570098</v>
      </c>
      <c r="N1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1475.5214953271029</v>
      </c>
      <c r="O106" s="10">
        <f>SUMIFS(Expense_master[Monthly_Maintenance],Expense_master[Month_Key],Daily_Data[[#This Row],[Month_key]]) / SUMIFS(Expense_master[Days_in_Month],Expense_master[Month_Key], Daily_Data[[#This Row],[Month_key]])</f>
        <v>666.66666666666663</v>
      </c>
      <c r="P106" s="10">
        <f xml:space="preserve"> Daily_Data[[#This Row],[OTA Commision]] + Daily_Data[[#This Row],[Daily_Rent]]+Daily_Data[[#This Row],[Daily_Staff]]+Daily_Data[[#This Row],[Daily_HK]]+Daily_Data[[#This Row],[Daily_Electricity]] + Daily_Data[[#This Row],[Daily Maintenance]]</f>
        <v>14935.775327102805</v>
      </c>
      <c r="Q106" s="10">
        <f>Daily_Data[[#This Row],[Total_Sales]]-Daily_Data[[#This Row],[Total_Daily_Expense]]</f>
        <v>-481.77532710280502</v>
      </c>
      <c r="R106" s="10">
        <f>Daily_Data[[#This Row],[Total_Sales]]/Daily_Data[[#This Row],[Rooms_Occupied]]</f>
        <v>1606</v>
      </c>
      <c r="S106" s="10">
        <f>Daily_Data[[#This Row],[Total_Sales]] / Daily_Data[[#This Row],[Max_rooms]]</f>
        <v>1032.4285714285713</v>
      </c>
    </row>
    <row r="107" spans="1:19" x14ac:dyDescent="0.25">
      <c r="A107" s="6">
        <v>45032</v>
      </c>
      <c r="B107" s="20">
        <f>DATE(YEAR(Daily_Data[[#This Row],[Date]]), MONTH(Daily_Data[[#This Row],[Date]]), 1)</f>
        <v>45017</v>
      </c>
      <c r="C107" s="20" t="str">
        <f>TEXT(Daily_Data[[#This Row],[Month_key]],"mmmm")</f>
        <v>April</v>
      </c>
      <c r="D107" s="20" t="str">
        <f>TEXT(Daily_Data[[#This Row],[Month_key]],"yyyy")</f>
        <v>2023</v>
      </c>
      <c r="E107" s="7">
        <v>8</v>
      </c>
      <c r="F107" s="7">
        <v>14</v>
      </c>
      <c r="G107" s="8">
        <f>Daily_Data[[#This Row],[Rooms_Occupied]]/F107</f>
        <v>0.5714285714285714</v>
      </c>
      <c r="H107" s="7">
        <v>1992</v>
      </c>
      <c r="I107" s="7">
        <f>Daily_Data[[#This Row],[Room_rate]]*Daily_Data[[#This Row],[Rooms_Occupied]]</f>
        <v>15936</v>
      </c>
      <c r="J107" s="10">
        <f>Daily_Data[[#This Row],[Total_Sales]] * 0.22</f>
        <v>3505.92</v>
      </c>
      <c r="K107" s="10">
        <f>INDEX(Expense_master[Monthly_Rent],MATCH(Daily_Data[[#This Row],[Month_key]],Expense_master[Month_Key],0)) / INDEX(Expense_master[Days_in_Month],MATCH(Daily_Data[[#This Row],[Month_key]],Expense_master[Month_Key],0))</f>
        <v>7000</v>
      </c>
      <c r="L107" s="10">
        <f>SUMIFS(Expense_master[Staff_Salary],Expense_master[Month_Key],Daily_Data[[#This Row],[Month_key]]) / SUMIFS(Expense_master[Days_in_Month],Expense_master[Month_Key],Daily_Data[[#This Row],[Month_key]])</f>
        <v>2333.3333333333335</v>
      </c>
      <c r="M107" s="10">
        <f>Daily_Data[[#This Row],[Rooms_Occupied]] * (SUMIFS(Expense_master[Housekeeping_Laundy],Expense_master[Month_Key],Daily_Data[[#This Row],[Month_key]]) / SUMIFS(Occupancy_table[Monthly_rooms_Occupied],Occupancy_table[Month_Key],Daily_Data[[#This Row],[Month_key]]))</f>
        <v>249.22118380062307</v>
      </c>
      <c r="N1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107" s="10">
        <f>SUMIFS(Expense_master[Monthly_Maintenance],Expense_master[Month_Key],Daily_Data[[#This Row],[Month_key]]) / SUMIFS(Expense_master[Days_in_Month],Expense_master[Month_Key], Daily_Data[[#This Row],[Month_key]])</f>
        <v>666.66666666666663</v>
      </c>
      <c r="P107" s="10">
        <f xml:space="preserve"> Daily_Data[[#This Row],[OTA Commision]] + Daily_Data[[#This Row],[Daily_Rent]]+Daily_Data[[#This Row],[Daily_Staff]]+Daily_Data[[#This Row],[Daily_HK]]+Daily_Data[[#This Row],[Daily_Electricity]] + Daily_Data[[#This Row],[Daily Maintenance]]</f>
        <v>15139.204735202491</v>
      </c>
      <c r="Q107" s="10">
        <f>Daily_Data[[#This Row],[Total_Sales]]-Daily_Data[[#This Row],[Total_Daily_Expense]]</f>
        <v>796.79526479750893</v>
      </c>
      <c r="R107" s="10">
        <f>Daily_Data[[#This Row],[Total_Sales]]/Daily_Data[[#This Row],[Rooms_Occupied]]</f>
        <v>1992</v>
      </c>
      <c r="S107" s="10">
        <f>Daily_Data[[#This Row],[Total_Sales]] / Daily_Data[[#This Row],[Max_rooms]]</f>
        <v>1138.2857142857142</v>
      </c>
    </row>
    <row r="108" spans="1:19" x14ac:dyDescent="0.25">
      <c r="A108" s="6">
        <v>45033</v>
      </c>
      <c r="B108" s="20">
        <f>DATE(YEAR(Daily_Data[[#This Row],[Date]]), MONTH(Daily_Data[[#This Row],[Date]]), 1)</f>
        <v>45017</v>
      </c>
      <c r="C108" s="20" t="str">
        <f>TEXT(Daily_Data[[#This Row],[Month_key]],"mmmm")</f>
        <v>April</v>
      </c>
      <c r="D108" s="20" t="str">
        <f>TEXT(Daily_Data[[#This Row],[Month_key]],"yyyy")</f>
        <v>2023</v>
      </c>
      <c r="E108" s="7">
        <v>11</v>
      </c>
      <c r="F108" s="7">
        <v>14</v>
      </c>
      <c r="G108" s="8">
        <f>Daily_Data[[#This Row],[Rooms_Occupied]]/F108</f>
        <v>0.7857142857142857</v>
      </c>
      <c r="H108" s="7">
        <v>1306</v>
      </c>
      <c r="I108" s="7">
        <f>Daily_Data[[#This Row],[Room_rate]]*Daily_Data[[#This Row],[Rooms_Occupied]]</f>
        <v>14366</v>
      </c>
      <c r="J108" s="10">
        <f>Daily_Data[[#This Row],[Total_Sales]] * 0.22</f>
        <v>3160.52</v>
      </c>
      <c r="K108" s="10">
        <f>INDEX(Expense_master[Monthly_Rent],MATCH(Daily_Data[[#This Row],[Month_key]],Expense_master[Month_Key],0)) / INDEX(Expense_master[Days_in_Month],MATCH(Daily_Data[[#This Row],[Month_key]],Expense_master[Month_Key],0))</f>
        <v>7000</v>
      </c>
      <c r="L108" s="10">
        <f>SUMIFS(Expense_master[Staff_Salary],Expense_master[Month_Key],Daily_Data[[#This Row],[Month_key]]) / SUMIFS(Expense_master[Days_in_Month],Expense_master[Month_Key],Daily_Data[[#This Row],[Month_key]])</f>
        <v>2333.3333333333335</v>
      </c>
      <c r="M108" s="10">
        <f>Daily_Data[[#This Row],[Rooms_Occupied]] * (SUMIFS(Expense_master[Housekeeping_Laundy],Expense_master[Month_Key],Daily_Data[[#This Row],[Month_key]]) / SUMIFS(Occupancy_table[Monthly_rooms_Occupied],Occupancy_table[Month_Key],Daily_Data[[#This Row],[Month_key]]))</f>
        <v>342.67912772585669</v>
      </c>
      <c r="N1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1658.4373831775702</v>
      </c>
      <c r="O108" s="10">
        <f>SUMIFS(Expense_master[Monthly_Maintenance],Expense_master[Month_Key],Daily_Data[[#This Row],[Month_key]]) / SUMIFS(Expense_master[Days_in_Month],Expense_master[Month_Key], Daily_Data[[#This Row],[Month_key]])</f>
        <v>666.66666666666663</v>
      </c>
      <c r="P108" s="10">
        <f xml:space="preserve"> Daily_Data[[#This Row],[OTA Commision]] + Daily_Data[[#This Row],[Daily_Rent]]+Daily_Data[[#This Row],[Daily_Staff]]+Daily_Data[[#This Row],[Daily_HK]]+Daily_Data[[#This Row],[Daily_Electricity]] + Daily_Data[[#This Row],[Daily Maintenance]]</f>
        <v>15161.636510903427</v>
      </c>
      <c r="Q108" s="10">
        <f>Daily_Data[[#This Row],[Total_Sales]]-Daily_Data[[#This Row],[Total_Daily_Expense]]</f>
        <v>-795.63651090342682</v>
      </c>
      <c r="R108" s="10">
        <f>Daily_Data[[#This Row],[Total_Sales]]/Daily_Data[[#This Row],[Rooms_Occupied]]</f>
        <v>1306</v>
      </c>
      <c r="S108" s="10">
        <f>Daily_Data[[#This Row],[Total_Sales]] / Daily_Data[[#This Row],[Max_rooms]]</f>
        <v>1026.1428571428571</v>
      </c>
    </row>
    <row r="109" spans="1:19" x14ac:dyDescent="0.25">
      <c r="A109" s="6">
        <v>45034</v>
      </c>
      <c r="B109" s="20">
        <f>DATE(YEAR(Daily_Data[[#This Row],[Date]]), MONTH(Daily_Data[[#This Row],[Date]]), 1)</f>
        <v>45017</v>
      </c>
      <c r="C109" s="20" t="str">
        <f>TEXT(Daily_Data[[#This Row],[Month_key]],"mmmm")</f>
        <v>April</v>
      </c>
      <c r="D109" s="20" t="str">
        <f>TEXT(Daily_Data[[#This Row],[Month_key]],"yyyy")</f>
        <v>2023</v>
      </c>
      <c r="E109" s="7">
        <v>14</v>
      </c>
      <c r="F109" s="7">
        <v>14</v>
      </c>
      <c r="G109" s="8">
        <f>Daily_Data[[#This Row],[Rooms_Occupied]]/F109</f>
        <v>1</v>
      </c>
      <c r="H109" s="7">
        <v>1801</v>
      </c>
      <c r="I109" s="7">
        <f>Daily_Data[[#This Row],[Room_rate]]*Daily_Data[[#This Row],[Rooms_Occupied]]</f>
        <v>25214</v>
      </c>
      <c r="J109" s="10">
        <f>Daily_Data[[#This Row],[Total_Sales]] * 0.22</f>
        <v>5547.08</v>
      </c>
      <c r="K109" s="10">
        <f>INDEX(Expense_master[Monthly_Rent],MATCH(Daily_Data[[#This Row],[Month_key]],Expense_master[Month_Key],0)) / INDEX(Expense_master[Days_in_Month],MATCH(Daily_Data[[#This Row],[Month_key]],Expense_master[Month_Key],0))</f>
        <v>7000</v>
      </c>
      <c r="L109" s="10">
        <f>SUMIFS(Expense_master[Staff_Salary],Expense_master[Month_Key],Daily_Data[[#This Row],[Month_key]]) / SUMIFS(Expense_master[Days_in_Month],Expense_master[Month_Key],Daily_Data[[#This Row],[Month_key]])</f>
        <v>2333.3333333333335</v>
      </c>
      <c r="M109" s="10">
        <f>Daily_Data[[#This Row],[Rooms_Occupied]] * (SUMIFS(Expense_master[Housekeeping_Laundy],Expense_master[Month_Key],Daily_Data[[#This Row],[Month_key]]) / SUMIFS(Occupancy_table[Monthly_rooms_Occupied],Occupancy_table[Month_Key],Daily_Data[[#This Row],[Month_key]]))</f>
        <v>436.13707165109037</v>
      </c>
      <c r="N1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1932.8112149532712</v>
      </c>
      <c r="O109" s="10">
        <f>SUMIFS(Expense_master[Monthly_Maintenance],Expense_master[Month_Key],Daily_Data[[#This Row],[Month_key]]) / SUMIFS(Expense_master[Days_in_Month],Expense_master[Month_Key], Daily_Data[[#This Row],[Month_key]])</f>
        <v>666.66666666666663</v>
      </c>
      <c r="P109" s="10">
        <f xml:space="preserve"> Daily_Data[[#This Row],[OTA Commision]] + Daily_Data[[#This Row],[Daily_Rent]]+Daily_Data[[#This Row],[Daily_Staff]]+Daily_Data[[#This Row],[Daily_HK]]+Daily_Data[[#This Row],[Daily_Electricity]] + Daily_Data[[#This Row],[Daily Maintenance]]</f>
        <v>17916.028286604364</v>
      </c>
      <c r="Q109" s="10">
        <f>Daily_Data[[#This Row],[Total_Sales]]-Daily_Data[[#This Row],[Total_Daily_Expense]]</f>
        <v>7297.9717133956365</v>
      </c>
      <c r="R109" s="10">
        <f>Daily_Data[[#This Row],[Total_Sales]]/Daily_Data[[#This Row],[Rooms_Occupied]]</f>
        <v>1801</v>
      </c>
      <c r="S109" s="10">
        <f>Daily_Data[[#This Row],[Total_Sales]] / Daily_Data[[#This Row],[Max_rooms]]</f>
        <v>1801</v>
      </c>
    </row>
    <row r="110" spans="1:19" x14ac:dyDescent="0.25">
      <c r="A110" s="6">
        <v>45035</v>
      </c>
      <c r="B110" s="20">
        <f>DATE(YEAR(Daily_Data[[#This Row],[Date]]), MONTH(Daily_Data[[#This Row],[Date]]), 1)</f>
        <v>45017</v>
      </c>
      <c r="C110" s="20" t="str">
        <f>TEXT(Daily_Data[[#This Row],[Month_key]],"mmmm")</f>
        <v>April</v>
      </c>
      <c r="D110" s="20" t="str">
        <f>TEXT(Daily_Data[[#This Row],[Month_key]],"yyyy")</f>
        <v>2023</v>
      </c>
      <c r="E110" s="7">
        <v>8</v>
      </c>
      <c r="F110" s="7">
        <v>14</v>
      </c>
      <c r="G110" s="8">
        <f>Daily_Data[[#This Row],[Rooms_Occupied]]/F110</f>
        <v>0.5714285714285714</v>
      </c>
      <c r="H110" s="7">
        <v>1762</v>
      </c>
      <c r="I110" s="7">
        <f>Daily_Data[[#This Row],[Room_rate]]*Daily_Data[[#This Row],[Rooms_Occupied]]</f>
        <v>14096</v>
      </c>
      <c r="J110" s="10">
        <f>Daily_Data[[#This Row],[Total_Sales]] * 0.22</f>
        <v>3101.12</v>
      </c>
      <c r="K110" s="10">
        <f>INDEX(Expense_master[Monthly_Rent],MATCH(Daily_Data[[#This Row],[Month_key]],Expense_master[Month_Key],0)) / INDEX(Expense_master[Days_in_Month],MATCH(Daily_Data[[#This Row],[Month_key]],Expense_master[Month_Key],0))</f>
        <v>7000</v>
      </c>
      <c r="L110" s="10">
        <f>SUMIFS(Expense_master[Staff_Salary],Expense_master[Month_Key],Daily_Data[[#This Row],[Month_key]]) / SUMIFS(Expense_master[Days_in_Month],Expense_master[Month_Key],Daily_Data[[#This Row],[Month_key]])</f>
        <v>2333.3333333333335</v>
      </c>
      <c r="M110" s="10">
        <f>Daily_Data[[#This Row],[Rooms_Occupied]] * (SUMIFS(Expense_master[Housekeeping_Laundy],Expense_master[Month_Key],Daily_Data[[#This Row],[Month_key]]) / SUMIFS(Occupancy_table[Monthly_rooms_Occupied],Occupancy_table[Month_Key],Daily_Data[[#This Row],[Month_key]]))</f>
        <v>249.22118380062307</v>
      </c>
      <c r="N1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110" s="10">
        <f>SUMIFS(Expense_master[Monthly_Maintenance],Expense_master[Month_Key],Daily_Data[[#This Row],[Month_key]]) / SUMIFS(Expense_master[Days_in_Month],Expense_master[Month_Key], Daily_Data[[#This Row],[Month_key]])</f>
        <v>666.66666666666663</v>
      </c>
      <c r="P110" s="10">
        <f xml:space="preserve"> Daily_Data[[#This Row],[OTA Commision]] + Daily_Data[[#This Row],[Daily_Rent]]+Daily_Data[[#This Row],[Daily_Staff]]+Daily_Data[[#This Row],[Daily_HK]]+Daily_Data[[#This Row],[Daily_Electricity]] + Daily_Data[[#This Row],[Daily Maintenance]]</f>
        <v>14734.40473520249</v>
      </c>
      <c r="Q110" s="10">
        <f>Daily_Data[[#This Row],[Total_Sales]]-Daily_Data[[#This Row],[Total_Daily_Expense]]</f>
        <v>-638.40473520248997</v>
      </c>
      <c r="R110" s="10">
        <f>Daily_Data[[#This Row],[Total_Sales]]/Daily_Data[[#This Row],[Rooms_Occupied]]</f>
        <v>1762</v>
      </c>
      <c r="S110" s="10">
        <f>Daily_Data[[#This Row],[Total_Sales]] / Daily_Data[[#This Row],[Max_rooms]]</f>
        <v>1006.8571428571429</v>
      </c>
    </row>
    <row r="111" spans="1:19" x14ac:dyDescent="0.25">
      <c r="A111" s="6">
        <v>45036</v>
      </c>
      <c r="B111" s="20">
        <f>DATE(YEAR(Daily_Data[[#This Row],[Date]]), MONTH(Daily_Data[[#This Row],[Date]]), 1)</f>
        <v>45017</v>
      </c>
      <c r="C111" s="20" t="str">
        <f>TEXT(Daily_Data[[#This Row],[Month_key]],"mmmm")</f>
        <v>April</v>
      </c>
      <c r="D111" s="20" t="str">
        <f>TEXT(Daily_Data[[#This Row],[Month_key]],"yyyy")</f>
        <v>2023</v>
      </c>
      <c r="E111" s="7">
        <v>8</v>
      </c>
      <c r="F111" s="7">
        <v>14</v>
      </c>
      <c r="G111" s="8">
        <f>Daily_Data[[#This Row],[Rooms_Occupied]]/F111</f>
        <v>0.5714285714285714</v>
      </c>
      <c r="H111" s="7">
        <v>1659</v>
      </c>
      <c r="I111" s="7">
        <f>Daily_Data[[#This Row],[Room_rate]]*Daily_Data[[#This Row],[Rooms_Occupied]]</f>
        <v>13272</v>
      </c>
      <c r="J111" s="10">
        <f>Daily_Data[[#This Row],[Total_Sales]] * 0.22</f>
        <v>2919.84</v>
      </c>
      <c r="K111" s="10">
        <f>INDEX(Expense_master[Monthly_Rent],MATCH(Daily_Data[[#This Row],[Month_key]],Expense_master[Month_Key],0)) / INDEX(Expense_master[Days_in_Month],MATCH(Daily_Data[[#This Row],[Month_key]],Expense_master[Month_Key],0))</f>
        <v>7000</v>
      </c>
      <c r="L111" s="10">
        <f>SUMIFS(Expense_master[Staff_Salary],Expense_master[Month_Key],Daily_Data[[#This Row],[Month_key]]) / SUMIFS(Expense_master[Days_in_Month],Expense_master[Month_Key],Daily_Data[[#This Row],[Month_key]])</f>
        <v>2333.3333333333335</v>
      </c>
      <c r="M111" s="10">
        <f>Daily_Data[[#This Row],[Rooms_Occupied]] * (SUMIFS(Expense_master[Housekeeping_Laundy],Expense_master[Month_Key],Daily_Data[[#This Row],[Month_key]]) / SUMIFS(Occupancy_table[Monthly_rooms_Occupied],Occupancy_table[Month_Key],Daily_Data[[#This Row],[Month_key]]))</f>
        <v>249.22118380062307</v>
      </c>
      <c r="N1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111" s="10">
        <f>SUMIFS(Expense_master[Monthly_Maintenance],Expense_master[Month_Key],Daily_Data[[#This Row],[Month_key]]) / SUMIFS(Expense_master[Days_in_Month],Expense_master[Month_Key], Daily_Data[[#This Row],[Month_key]])</f>
        <v>666.66666666666663</v>
      </c>
      <c r="P111" s="10">
        <f xml:space="preserve"> Daily_Data[[#This Row],[OTA Commision]] + Daily_Data[[#This Row],[Daily_Rent]]+Daily_Data[[#This Row],[Daily_Staff]]+Daily_Data[[#This Row],[Daily_HK]]+Daily_Data[[#This Row],[Daily_Electricity]] + Daily_Data[[#This Row],[Daily Maintenance]]</f>
        <v>14553.124735202491</v>
      </c>
      <c r="Q111" s="10">
        <f>Daily_Data[[#This Row],[Total_Sales]]-Daily_Data[[#This Row],[Total_Daily_Expense]]</f>
        <v>-1281.1247352024911</v>
      </c>
      <c r="R111" s="10">
        <f>Daily_Data[[#This Row],[Total_Sales]]/Daily_Data[[#This Row],[Rooms_Occupied]]</f>
        <v>1659</v>
      </c>
      <c r="S111" s="10">
        <f>Daily_Data[[#This Row],[Total_Sales]] / Daily_Data[[#This Row],[Max_rooms]]</f>
        <v>948</v>
      </c>
    </row>
    <row r="112" spans="1:19" x14ac:dyDescent="0.25">
      <c r="A112" s="6">
        <v>45037</v>
      </c>
      <c r="B112" s="20">
        <f>DATE(YEAR(Daily_Data[[#This Row],[Date]]), MONTH(Daily_Data[[#This Row],[Date]]), 1)</f>
        <v>45017</v>
      </c>
      <c r="C112" s="20" t="str">
        <f>TEXT(Daily_Data[[#This Row],[Month_key]],"mmmm")</f>
        <v>April</v>
      </c>
      <c r="D112" s="20" t="str">
        <f>TEXT(Daily_Data[[#This Row],[Month_key]],"yyyy")</f>
        <v>2023</v>
      </c>
      <c r="E112" s="7">
        <v>9</v>
      </c>
      <c r="F112" s="7">
        <v>14</v>
      </c>
      <c r="G112" s="8">
        <f>Daily_Data[[#This Row],[Rooms_Occupied]]/F112</f>
        <v>0.6428571428571429</v>
      </c>
      <c r="H112" s="7">
        <v>1877</v>
      </c>
      <c r="I112" s="7">
        <f>Daily_Data[[#This Row],[Room_rate]]*Daily_Data[[#This Row],[Rooms_Occupied]]</f>
        <v>16893</v>
      </c>
      <c r="J112" s="10">
        <f>Daily_Data[[#This Row],[Total_Sales]] * 0.22</f>
        <v>3716.46</v>
      </c>
      <c r="K112" s="10">
        <f>INDEX(Expense_master[Monthly_Rent],MATCH(Daily_Data[[#This Row],[Month_key]],Expense_master[Month_Key],0)) / INDEX(Expense_master[Days_in_Month],MATCH(Daily_Data[[#This Row],[Month_key]],Expense_master[Month_Key],0))</f>
        <v>7000</v>
      </c>
      <c r="L112" s="10">
        <f>SUMIFS(Expense_master[Staff_Salary],Expense_master[Month_Key],Daily_Data[[#This Row],[Month_key]]) / SUMIFS(Expense_master[Days_in_Month],Expense_master[Month_Key],Daily_Data[[#This Row],[Month_key]])</f>
        <v>2333.3333333333335</v>
      </c>
      <c r="M112" s="10">
        <f>Daily_Data[[#This Row],[Rooms_Occupied]] * (SUMIFS(Expense_master[Housekeeping_Laundy],Expense_master[Month_Key],Daily_Data[[#This Row],[Month_key]]) / SUMIFS(Occupancy_table[Monthly_rooms_Occupied],Occupancy_table[Month_Key],Daily_Data[[#This Row],[Month_key]]))</f>
        <v>280.37383177570098</v>
      </c>
      <c r="N1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1475.5214953271029</v>
      </c>
      <c r="O112" s="10">
        <f>SUMIFS(Expense_master[Monthly_Maintenance],Expense_master[Month_Key],Daily_Data[[#This Row],[Month_key]]) / SUMIFS(Expense_master[Days_in_Month],Expense_master[Month_Key], Daily_Data[[#This Row],[Month_key]])</f>
        <v>666.66666666666663</v>
      </c>
      <c r="P112" s="10">
        <f xml:space="preserve"> Daily_Data[[#This Row],[OTA Commision]] + Daily_Data[[#This Row],[Daily_Rent]]+Daily_Data[[#This Row],[Daily_Staff]]+Daily_Data[[#This Row],[Daily_HK]]+Daily_Data[[#This Row],[Daily_Electricity]] + Daily_Data[[#This Row],[Daily Maintenance]]</f>
        <v>15472.355327102803</v>
      </c>
      <c r="Q112" s="10">
        <f>Daily_Data[[#This Row],[Total_Sales]]-Daily_Data[[#This Row],[Total_Daily_Expense]]</f>
        <v>1420.6446728971969</v>
      </c>
      <c r="R112" s="10">
        <f>Daily_Data[[#This Row],[Total_Sales]]/Daily_Data[[#This Row],[Rooms_Occupied]]</f>
        <v>1877</v>
      </c>
      <c r="S112" s="10">
        <f>Daily_Data[[#This Row],[Total_Sales]] / Daily_Data[[#This Row],[Max_rooms]]</f>
        <v>1206.6428571428571</v>
      </c>
    </row>
    <row r="113" spans="1:19" x14ac:dyDescent="0.25">
      <c r="A113" s="6">
        <v>45038</v>
      </c>
      <c r="B113" s="20">
        <f>DATE(YEAR(Daily_Data[[#This Row],[Date]]), MONTH(Daily_Data[[#This Row],[Date]]), 1)</f>
        <v>45017</v>
      </c>
      <c r="C113" s="20" t="str">
        <f>TEXT(Daily_Data[[#This Row],[Month_key]],"mmmm")</f>
        <v>April</v>
      </c>
      <c r="D113" s="20" t="str">
        <f>TEXT(Daily_Data[[#This Row],[Month_key]],"yyyy")</f>
        <v>2023</v>
      </c>
      <c r="E113" s="7">
        <v>9</v>
      </c>
      <c r="F113" s="7">
        <v>14</v>
      </c>
      <c r="G113" s="8">
        <f>Daily_Data[[#This Row],[Rooms_Occupied]]/F113</f>
        <v>0.6428571428571429</v>
      </c>
      <c r="H113" s="7">
        <v>1155</v>
      </c>
      <c r="I113" s="7">
        <f>Daily_Data[[#This Row],[Room_rate]]*Daily_Data[[#This Row],[Rooms_Occupied]]</f>
        <v>10395</v>
      </c>
      <c r="J113" s="10">
        <f>Daily_Data[[#This Row],[Total_Sales]] * 0.22</f>
        <v>2286.9</v>
      </c>
      <c r="K113" s="10">
        <f>INDEX(Expense_master[Monthly_Rent],MATCH(Daily_Data[[#This Row],[Month_key]],Expense_master[Month_Key],0)) / INDEX(Expense_master[Days_in_Month],MATCH(Daily_Data[[#This Row],[Month_key]],Expense_master[Month_Key],0))</f>
        <v>7000</v>
      </c>
      <c r="L113" s="10">
        <f>SUMIFS(Expense_master[Staff_Salary],Expense_master[Month_Key],Daily_Data[[#This Row],[Month_key]]) / SUMIFS(Expense_master[Days_in_Month],Expense_master[Month_Key],Daily_Data[[#This Row],[Month_key]])</f>
        <v>2333.3333333333335</v>
      </c>
      <c r="M113" s="10">
        <f>Daily_Data[[#This Row],[Rooms_Occupied]] * (SUMIFS(Expense_master[Housekeeping_Laundy],Expense_master[Month_Key],Daily_Data[[#This Row],[Month_key]]) / SUMIFS(Occupancy_table[Monthly_rooms_Occupied],Occupancy_table[Month_Key],Daily_Data[[#This Row],[Month_key]]))</f>
        <v>280.37383177570098</v>
      </c>
      <c r="N1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1475.5214953271029</v>
      </c>
      <c r="O113" s="10">
        <f>SUMIFS(Expense_master[Monthly_Maintenance],Expense_master[Month_Key],Daily_Data[[#This Row],[Month_key]]) / SUMIFS(Expense_master[Days_in_Month],Expense_master[Month_Key], Daily_Data[[#This Row],[Month_key]])</f>
        <v>666.66666666666663</v>
      </c>
      <c r="P113" s="10">
        <f xml:space="preserve"> Daily_Data[[#This Row],[OTA Commision]] + Daily_Data[[#This Row],[Daily_Rent]]+Daily_Data[[#This Row],[Daily_Staff]]+Daily_Data[[#This Row],[Daily_HK]]+Daily_Data[[#This Row],[Daily_Electricity]] + Daily_Data[[#This Row],[Daily Maintenance]]</f>
        <v>14042.795327102804</v>
      </c>
      <c r="Q113" s="10">
        <f>Daily_Data[[#This Row],[Total_Sales]]-Daily_Data[[#This Row],[Total_Daily_Expense]]</f>
        <v>-3647.7953271028036</v>
      </c>
      <c r="R113" s="10">
        <f>Daily_Data[[#This Row],[Total_Sales]]/Daily_Data[[#This Row],[Rooms_Occupied]]</f>
        <v>1155</v>
      </c>
      <c r="S113" s="10">
        <f>Daily_Data[[#This Row],[Total_Sales]] / Daily_Data[[#This Row],[Max_rooms]]</f>
        <v>742.5</v>
      </c>
    </row>
    <row r="114" spans="1:19" x14ac:dyDescent="0.25">
      <c r="A114" s="6">
        <v>45039</v>
      </c>
      <c r="B114" s="20">
        <f>DATE(YEAR(Daily_Data[[#This Row],[Date]]), MONTH(Daily_Data[[#This Row],[Date]]), 1)</f>
        <v>45017</v>
      </c>
      <c r="C114" s="20" t="str">
        <f>TEXT(Daily_Data[[#This Row],[Month_key]],"mmmm")</f>
        <v>April</v>
      </c>
      <c r="D114" s="20" t="str">
        <f>TEXT(Daily_Data[[#This Row],[Month_key]],"yyyy")</f>
        <v>2023</v>
      </c>
      <c r="E114" s="7">
        <v>14</v>
      </c>
      <c r="F114" s="7">
        <v>14</v>
      </c>
      <c r="G114" s="8">
        <f>Daily_Data[[#This Row],[Rooms_Occupied]]/F114</f>
        <v>1</v>
      </c>
      <c r="H114" s="7">
        <v>1862</v>
      </c>
      <c r="I114" s="7">
        <f>Daily_Data[[#This Row],[Room_rate]]*Daily_Data[[#This Row],[Rooms_Occupied]]</f>
        <v>26068</v>
      </c>
      <c r="J114" s="10">
        <f>Daily_Data[[#This Row],[Total_Sales]] * 0.22</f>
        <v>5734.96</v>
      </c>
      <c r="K114" s="10">
        <f>INDEX(Expense_master[Monthly_Rent],MATCH(Daily_Data[[#This Row],[Month_key]],Expense_master[Month_Key],0)) / INDEX(Expense_master[Days_in_Month],MATCH(Daily_Data[[#This Row],[Month_key]],Expense_master[Month_Key],0))</f>
        <v>7000</v>
      </c>
      <c r="L114" s="10">
        <f>SUMIFS(Expense_master[Staff_Salary],Expense_master[Month_Key],Daily_Data[[#This Row],[Month_key]]) / SUMIFS(Expense_master[Days_in_Month],Expense_master[Month_Key],Daily_Data[[#This Row],[Month_key]])</f>
        <v>2333.3333333333335</v>
      </c>
      <c r="M114" s="10">
        <f>Daily_Data[[#This Row],[Rooms_Occupied]] * (SUMIFS(Expense_master[Housekeeping_Laundy],Expense_master[Month_Key],Daily_Data[[#This Row],[Month_key]]) / SUMIFS(Occupancy_table[Monthly_rooms_Occupied],Occupancy_table[Month_Key],Daily_Data[[#This Row],[Month_key]]))</f>
        <v>436.13707165109037</v>
      </c>
      <c r="N1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1932.8112149532712</v>
      </c>
      <c r="O114" s="10">
        <f>SUMIFS(Expense_master[Monthly_Maintenance],Expense_master[Month_Key],Daily_Data[[#This Row],[Month_key]]) / SUMIFS(Expense_master[Days_in_Month],Expense_master[Month_Key], Daily_Data[[#This Row],[Month_key]])</f>
        <v>666.66666666666663</v>
      </c>
      <c r="P114" s="10">
        <f xml:space="preserve"> Daily_Data[[#This Row],[OTA Commision]] + Daily_Data[[#This Row],[Daily_Rent]]+Daily_Data[[#This Row],[Daily_Staff]]+Daily_Data[[#This Row],[Daily_HK]]+Daily_Data[[#This Row],[Daily_Electricity]] + Daily_Data[[#This Row],[Daily Maintenance]]</f>
        <v>18103.908286604361</v>
      </c>
      <c r="Q114" s="10">
        <f>Daily_Data[[#This Row],[Total_Sales]]-Daily_Data[[#This Row],[Total_Daily_Expense]]</f>
        <v>7964.0917133956391</v>
      </c>
      <c r="R114" s="10">
        <f>Daily_Data[[#This Row],[Total_Sales]]/Daily_Data[[#This Row],[Rooms_Occupied]]</f>
        <v>1862</v>
      </c>
      <c r="S114" s="10">
        <f>Daily_Data[[#This Row],[Total_Sales]] / Daily_Data[[#This Row],[Max_rooms]]</f>
        <v>1862</v>
      </c>
    </row>
    <row r="115" spans="1:19" x14ac:dyDescent="0.25">
      <c r="A115" s="6">
        <v>45040</v>
      </c>
      <c r="B115" s="20">
        <f>DATE(YEAR(Daily_Data[[#This Row],[Date]]), MONTH(Daily_Data[[#This Row],[Date]]), 1)</f>
        <v>45017</v>
      </c>
      <c r="C115" s="20" t="str">
        <f>TEXT(Daily_Data[[#This Row],[Month_key]],"mmmm")</f>
        <v>April</v>
      </c>
      <c r="D115" s="20" t="str">
        <f>TEXT(Daily_Data[[#This Row],[Month_key]],"yyyy")</f>
        <v>2023</v>
      </c>
      <c r="E115" s="7">
        <v>10</v>
      </c>
      <c r="F115" s="7">
        <v>14</v>
      </c>
      <c r="G115" s="8">
        <f>Daily_Data[[#This Row],[Rooms_Occupied]]/F115</f>
        <v>0.7142857142857143</v>
      </c>
      <c r="H115" s="7">
        <v>1131</v>
      </c>
      <c r="I115" s="7">
        <f>Daily_Data[[#This Row],[Room_rate]]*Daily_Data[[#This Row],[Rooms_Occupied]]</f>
        <v>11310</v>
      </c>
      <c r="J115" s="10">
        <f>Daily_Data[[#This Row],[Total_Sales]] * 0.22</f>
        <v>2488.1999999999998</v>
      </c>
      <c r="K115" s="10">
        <f>INDEX(Expense_master[Monthly_Rent],MATCH(Daily_Data[[#This Row],[Month_key]],Expense_master[Month_Key],0)) / INDEX(Expense_master[Days_in_Month],MATCH(Daily_Data[[#This Row],[Month_key]],Expense_master[Month_Key],0))</f>
        <v>7000</v>
      </c>
      <c r="L115" s="10">
        <f>SUMIFS(Expense_master[Staff_Salary],Expense_master[Month_Key],Daily_Data[[#This Row],[Month_key]]) / SUMIFS(Expense_master[Days_in_Month],Expense_master[Month_Key],Daily_Data[[#This Row],[Month_key]])</f>
        <v>2333.3333333333335</v>
      </c>
      <c r="M115" s="10">
        <f>Daily_Data[[#This Row],[Rooms_Occupied]] * (SUMIFS(Expense_master[Housekeeping_Laundy],Expense_master[Month_Key],Daily_Data[[#This Row],[Month_key]]) / SUMIFS(Occupancy_table[Monthly_rooms_Occupied],Occupancy_table[Month_Key],Daily_Data[[#This Row],[Month_key]]))</f>
        <v>311.52647975077883</v>
      </c>
      <c r="N1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1566.9794392523365</v>
      </c>
      <c r="O115" s="10">
        <f>SUMIFS(Expense_master[Monthly_Maintenance],Expense_master[Month_Key],Daily_Data[[#This Row],[Month_key]]) / SUMIFS(Expense_master[Days_in_Month],Expense_master[Month_Key], Daily_Data[[#This Row],[Month_key]])</f>
        <v>666.66666666666663</v>
      </c>
      <c r="P115" s="10">
        <f xml:space="preserve"> Daily_Data[[#This Row],[OTA Commision]] + Daily_Data[[#This Row],[Daily_Rent]]+Daily_Data[[#This Row],[Daily_Staff]]+Daily_Data[[#This Row],[Daily_HK]]+Daily_Data[[#This Row],[Daily_Electricity]] + Daily_Data[[#This Row],[Daily Maintenance]]</f>
        <v>14366.705919003116</v>
      </c>
      <c r="Q115" s="10">
        <f>Daily_Data[[#This Row],[Total_Sales]]-Daily_Data[[#This Row],[Total_Daily_Expense]]</f>
        <v>-3056.7059190031159</v>
      </c>
      <c r="R115" s="10">
        <f>Daily_Data[[#This Row],[Total_Sales]]/Daily_Data[[#This Row],[Rooms_Occupied]]</f>
        <v>1131</v>
      </c>
      <c r="S115" s="10">
        <f>Daily_Data[[#This Row],[Total_Sales]] / Daily_Data[[#This Row],[Max_rooms]]</f>
        <v>807.85714285714289</v>
      </c>
    </row>
    <row r="116" spans="1:19" x14ac:dyDescent="0.25">
      <c r="A116" s="6">
        <v>45041</v>
      </c>
      <c r="B116" s="20">
        <f>DATE(YEAR(Daily_Data[[#This Row],[Date]]), MONTH(Daily_Data[[#This Row],[Date]]), 1)</f>
        <v>45017</v>
      </c>
      <c r="C116" s="20" t="str">
        <f>TEXT(Daily_Data[[#This Row],[Month_key]],"mmmm")</f>
        <v>April</v>
      </c>
      <c r="D116" s="20" t="str">
        <f>TEXT(Daily_Data[[#This Row],[Month_key]],"yyyy")</f>
        <v>2023</v>
      </c>
      <c r="E116" s="7">
        <v>8</v>
      </c>
      <c r="F116" s="7">
        <v>14</v>
      </c>
      <c r="G116" s="8">
        <f>Daily_Data[[#This Row],[Rooms_Occupied]]/F116</f>
        <v>0.5714285714285714</v>
      </c>
      <c r="H116" s="7">
        <v>1517</v>
      </c>
      <c r="I116" s="7">
        <f>Daily_Data[[#This Row],[Room_rate]]*Daily_Data[[#This Row],[Rooms_Occupied]]</f>
        <v>12136</v>
      </c>
      <c r="J116" s="10">
        <f>Daily_Data[[#This Row],[Total_Sales]] * 0.22</f>
        <v>2669.92</v>
      </c>
      <c r="K116" s="10">
        <f>INDEX(Expense_master[Monthly_Rent],MATCH(Daily_Data[[#This Row],[Month_key]],Expense_master[Month_Key],0)) / INDEX(Expense_master[Days_in_Month],MATCH(Daily_Data[[#This Row],[Month_key]],Expense_master[Month_Key],0))</f>
        <v>7000</v>
      </c>
      <c r="L116" s="10">
        <f>SUMIFS(Expense_master[Staff_Salary],Expense_master[Month_Key],Daily_Data[[#This Row],[Month_key]]) / SUMIFS(Expense_master[Days_in_Month],Expense_master[Month_Key],Daily_Data[[#This Row],[Month_key]])</f>
        <v>2333.3333333333335</v>
      </c>
      <c r="M116" s="10">
        <f>Daily_Data[[#This Row],[Rooms_Occupied]] * (SUMIFS(Expense_master[Housekeeping_Laundy],Expense_master[Month_Key],Daily_Data[[#This Row],[Month_key]]) / SUMIFS(Occupancy_table[Monthly_rooms_Occupied],Occupancy_table[Month_Key],Daily_Data[[#This Row],[Month_key]]))</f>
        <v>249.22118380062307</v>
      </c>
      <c r="N1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116" s="10">
        <f>SUMIFS(Expense_master[Monthly_Maintenance],Expense_master[Month_Key],Daily_Data[[#This Row],[Month_key]]) / SUMIFS(Expense_master[Days_in_Month],Expense_master[Month_Key], Daily_Data[[#This Row],[Month_key]])</f>
        <v>666.66666666666663</v>
      </c>
      <c r="P116" s="10">
        <f xml:space="preserve"> Daily_Data[[#This Row],[OTA Commision]] + Daily_Data[[#This Row],[Daily_Rent]]+Daily_Data[[#This Row],[Daily_Staff]]+Daily_Data[[#This Row],[Daily_HK]]+Daily_Data[[#This Row],[Daily_Electricity]] + Daily_Data[[#This Row],[Daily Maintenance]]</f>
        <v>14303.204735202491</v>
      </c>
      <c r="Q116" s="10">
        <f>Daily_Data[[#This Row],[Total_Sales]]-Daily_Data[[#This Row],[Total_Daily_Expense]]</f>
        <v>-2167.2047352024911</v>
      </c>
      <c r="R116" s="10">
        <f>Daily_Data[[#This Row],[Total_Sales]]/Daily_Data[[#This Row],[Rooms_Occupied]]</f>
        <v>1517</v>
      </c>
      <c r="S116" s="10">
        <f>Daily_Data[[#This Row],[Total_Sales]] / Daily_Data[[#This Row],[Max_rooms]]</f>
        <v>866.85714285714289</v>
      </c>
    </row>
    <row r="117" spans="1:19" x14ac:dyDescent="0.25">
      <c r="A117" s="6">
        <v>45042</v>
      </c>
      <c r="B117" s="20">
        <f>DATE(YEAR(Daily_Data[[#This Row],[Date]]), MONTH(Daily_Data[[#This Row],[Date]]), 1)</f>
        <v>45017</v>
      </c>
      <c r="C117" s="20" t="str">
        <f>TEXT(Daily_Data[[#This Row],[Month_key]],"mmmm")</f>
        <v>April</v>
      </c>
      <c r="D117" s="20" t="str">
        <f>TEXT(Daily_Data[[#This Row],[Month_key]],"yyyy")</f>
        <v>2023</v>
      </c>
      <c r="E117" s="7">
        <v>9</v>
      </c>
      <c r="F117" s="7">
        <v>14</v>
      </c>
      <c r="G117" s="8">
        <f>Daily_Data[[#This Row],[Rooms_Occupied]]/F117</f>
        <v>0.6428571428571429</v>
      </c>
      <c r="H117" s="7">
        <v>1492</v>
      </c>
      <c r="I117" s="7">
        <f>Daily_Data[[#This Row],[Room_rate]]*Daily_Data[[#This Row],[Rooms_Occupied]]</f>
        <v>13428</v>
      </c>
      <c r="J117" s="10">
        <f>Daily_Data[[#This Row],[Total_Sales]] * 0.22</f>
        <v>2954.16</v>
      </c>
      <c r="K117" s="10">
        <f>INDEX(Expense_master[Monthly_Rent],MATCH(Daily_Data[[#This Row],[Month_key]],Expense_master[Month_Key],0)) / INDEX(Expense_master[Days_in_Month],MATCH(Daily_Data[[#This Row],[Month_key]],Expense_master[Month_Key],0))</f>
        <v>7000</v>
      </c>
      <c r="L117" s="10">
        <f>SUMIFS(Expense_master[Staff_Salary],Expense_master[Month_Key],Daily_Data[[#This Row],[Month_key]]) / SUMIFS(Expense_master[Days_in_Month],Expense_master[Month_Key],Daily_Data[[#This Row],[Month_key]])</f>
        <v>2333.3333333333335</v>
      </c>
      <c r="M117" s="10">
        <f>Daily_Data[[#This Row],[Rooms_Occupied]] * (SUMIFS(Expense_master[Housekeeping_Laundy],Expense_master[Month_Key],Daily_Data[[#This Row],[Month_key]]) / SUMIFS(Occupancy_table[Monthly_rooms_Occupied],Occupancy_table[Month_Key],Daily_Data[[#This Row],[Month_key]]))</f>
        <v>280.37383177570098</v>
      </c>
      <c r="N1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1475.5214953271029</v>
      </c>
      <c r="O117" s="10">
        <f>SUMIFS(Expense_master[Monthly_Maintenance],Expense_master[Month_Key],Daily_Data[[#This Row],[Month_key]]) / SUMIFS(Expense_master[Days_in_Month],Expense_master[Month_Key], Daily_Data[[#This Row],[Month_key]])</f>
        <v>666.66666666666663</v>
      </c>
      <c r="P117" s="10">
        <f xml:space="preserve"> Daily_Data[[#This Row],[OTA Commision]] + Daily_Data[[#This Row],[Daily_Rent]]+Daily_Data[[#This Row],[Daily_Staff]]+Daily_Data[[#This Row],[Daily_HK]]+Daily_Data[[#This Row],[Daily_Electricity]] + Daily_Data[[#This Row],[Daily Maintenance]]</f>
        <v>14710.055327102804</v>
      </c>
      <c r="Q117" s="10">
        <f>Daily_Data[[#This Row],[Total_Sales]]-Daily_Data[[#This Row],[Total_Daily_Expense]]</f>
        <v>-1282.0553271028039</v>
      </c>
      <c r="R117" s="10">
        <f>Daily_Data[[#This Row],[Total_Sales]]/Daily_Data[[#This Row],[Rooms_Occupied]]</f>
        <v>1492</v>
      </c>
      <c r="S117" s="10">
        <f>Daily_Data[[#This Row],[Total_Sales]] / Daily_Data[[#This Row],[Max_rooms]]</f>
        <v>959.14285714285711</v>
      </c>
    </row>
    <row r="118" spans="1:19" x14ac:dyDescent="0.25">
      <c r="A118" s="6">
        <v>45043</v>
      </c>
      <c r="B118" s="20">
        <f>DATE(YEAR(Daily_Data[[#This Row],[Date]]), MONTH(Daily_Data[[#This Row],[Date]]), 1)</f>
        <v>45017</v>
      </c>
      <c r="C118" s="20" t="str">
        <f>TEXT(Daily_Data[[#This Row],[Month_key]],"mmmm")</f>
        <v>April</v>
      </c>
      <c r="D118" s="20" t="str">
        <f>TEXT(Daily_Data[[#This Row],[Month_key]],"yyyy")</f>
        <v>2023</v>
      </c>
      <c r="E118" s="7">
        <v>8</v>
      </c>
      <c r="F118" s="7">
        <v>14</v>
      </c>
      <c r="G118" s="8">
        <f>Daily_Data[[#This Row],[Rooms_Occupied]]/F118</f>
        <v>0.5714285714285714</v>
      </c>
      <c r="H118" s="7">
        <v>1071</v>
      </c>
      <c r="I118" s="7">
        <f>Daily_Data[[#This Row],[Room_rate]]*Daily_Data[[#This Row],[Rooms_Occupied]]</f>
        <v>8568</v>
      </c>
      <c r="J118" s="10">
        <f>Daily_Data[[#This Row],[Total_Sales]] * 0.22</f>
        <v>1884.96</v>
      </c>
      <c r="K118" s="10">
        <f>INDEX(Expense_master[Monthly_Rent],MATCH(Daily_Data[[#This Row],[Month_key]],Expense_master[Month_Key],0)) / INDEX(Expense_master[Days_in_Month],MATCH(Daily_Data[[#This Row],[Month_key]],Expense_master[Month_Key],0))</f>
        <v>7000</v>
      </c>
      <c r="L118" s="10">
        <f>SUMIFS(Expense_master[Staff_Salary],Expense_master[Month_Key],Daily_Data[[#This Row],[Month_key]]) / SUMIFS(Expense_master[Days_in_Month],Expense_master[Month_Key],Daily_Data[[#This Row],[Month_key]])</f>
        <v>2333.3333333333335</v>
      </c>
      <c r="M118" s="10">
        <f>Daily_Data[[#This Row],[Rooms_Occupied]] * (SUMIFS(Expense_master[Housekeeping_Laundy],Expense_master[Month_Key],Daily_Data[[#This Row],[Month_key]]) / SUMIFS(Occupancy_table[Monthly_rooms_Occupied],Occupancy_table[Month_Key],Daily_Data[[#This Row],[Month_key]]))</f>
        <v>249.22118380062307</v>
      </c>
      <c r="N1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1384.0635514018693</v>
      </c>
      <c r="O118" s="10">
        <f>SUMIFS(Expense_master[Monthly_Maintenance],Expense_master[Month_Key],Daily_Data[[#This Row],[Month_key]]) / SUMIFS(Expense_master[Days_in_Month],Expense_master[Month_Key], Daily_Data[[#This Row],[Month_key]])</f>
        <v>666.66666666666663</v>
      </c>
      <c r="P118" s="10">
        <f xml:space="preserve"> Daily_Data[[#This Row],[OTA Commision]] + Daily_Data[[#This Row],[Daily_Rent]]+Daily_Data[[#This Row],[Daily_Staff]]+Daily_Data[[#This Row],[Daily_HK]]+Daily_Data[[#This Row],[Daily_Electricity]] + Daily_Data[[#This Row],[Daily Maintenance]]</f>
        <v>13518.24473520249</v>
      </c>
      <c r="Q118" s="10">
        <f>Daily_Data[[#This Row],[Total_Sales]]-Daily_Data[[#This Row],[Total_Daily_Expense]]</f>
        <v>-4950.2447352024901</v>
      </c>
      <c r="R118" s="10">
        <f>Daily_Data[[#This Row],[Total_Sales]]/Daily_Data[[#This Row],[Rooms_Occupied]]</f>
        <v>1071</v>
      </c>
      <c r="S118" s="10">
        <f>Daily_Data[[#This Row],[Total_Sales]] / Daily_Data[[#This Row],[Max_rooms]]</f>
        <v>612</v>
      </c>
    </row>
    <row r="119" spans="1:19" x14ac:dyDescent="0.25">
      <c r="A119" s="6">
        <v>45044</v>
      </c>
      <c r="B119" s="20">
        <f>DATE(YEAR(Daily_Data[[#This Row],[Date]]), MONTH(Daily_Data[[#This Row],[Date]]), 1)</f>
        <v>45017</v>
      </c>
      <c r="C119" s="20" t="str">
        <f>TEXT(Daily_Data[[#This Row],[Month_key]],"mmmm")</f>
        <v>April</v>
      </c>
      <c r="D119" s="20" t="str">
        <f>TEXT(Daily_Data[[#This Row],[Month_key]],"yyyy")</f>
        <v>2023</v>
      </c>
      <c r="E119" s="7">
        <v>12</v>
      </c>
      <c r="F119" s="7">
        <v>14</v>
      </c>
      <c r="G119" s="8">
        <f>Daily_Data[[#This Row],[Rooms_Occupied]]/F119</f>
        <v>0.8571428571428571</v>
      </c>
      <c r="H119" s="7">
        <v>1877</v>
      </c>
      <c r="I119" s="7">
        <f>Daily_Data[[#This Row],[Room_rate]]*Daily_Data[[#This Row],[Rooms_Occupied]]</f>
        <v>22524</v>
      </c>
      <c r="J119" s="10">
        <f>Daily_Data[[#This Row],[Total_Sales]] * 0.22</f>
        <v>4955.28</v>
      </c>
      <c r="K119" s="10">
        <f>INDEX(Expense_master[Monthly_Rent],MATCH(Daily_Data[[#This Row],[Month_key]],Expense_master[Month_Key],0)) / INDEX(Expense_master[Days_in_Month],MATCH(Daily_Data[[#This Row],[Month_key]],Expense_master[Month_Key],0))</f>
        <v>7000</v>
      </c>
      <c r="L119" s="10">
        <f>SUMIFS(Expense_master[Staff_Salary],Expense_master[Month_Key],Daily_Data[[#This Row],[Month_key]]) / SUMIFS(Expense_master[Days_in_Month],Expense_master[Month_Key],Daily_Data[[#This Row],[Month_key]])</f>
        <v>2333.3333333333335</v>
      </c>
      <c r="M119" s="10">
        <f>Daily_Data[[#This Row],[Rooms_Occupied]] * (SUMIFS(Expense_master[Housekeeping_Laundy],Expense_master[Month_Key],Daily_Data[[#This Row],[Month_key]]) / SUMIFS(Occupancy_table[Monthly_rooms_Occupied],Occupancy_table[Month_Key],Daily_Data[[#This Row],[Month_key]]))</f>
        <v>373.8317757009346</v>
      </c>
      <c r="N1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1749.895327102804</v>
      </c>
      <c r="O119" s="10">
        <f>SUMIFS(Expense_master[Monthly_Maintenance],Expense_master[Month_Key],Daily_Data[[#This Row],[Month_key]]) / SUMIFS(Expense_master[Days_in_Month],Expense_master[Month_Key], Daily_Data[[#This Row],[Month_key]])</f>
        <v>666.66666666666663</v>
      </c>
      <c r="P119" s="10">
        <f xml:space="preserve"> Daily_Data[[#This Row],[OTA Commision]] + Daily_Data[[#This Row],[Daily_Rent]]+Daily_Data[[#This Row],[Daily_Staff]]+Daily_Data[[#This Row],[Daily_HK]]+Daily_Data[[#This Row],[Daily_Electricity]] + Daily_Data[[#This Row],[Daily Maintenance]]</f>
        <v>17079.007102803738</v>
      </c>
      <c r="Q119" s="10">
        <f>Daily_Data[[#This Row],[Total_Sales]]-Daily_Data[[#This Row],[Total_Daily_Expense]]</f>
        <v>5444.9928971962618</v>
      </c>
      <c r="R119" s="10">
        <f>Daily_Data[[#This Row],[Total_Sales]]/Daily_Data[[#This Row],[Rooms_Occupied]]</f>
        <v>1877</v>
      </c>
      <c r="S119" s="10">
        <f>Daily_Data[[#This Row],[Total_Sales]] / Daily_Data[[#This Row],[Max_rooms]]</f>
        <v>1608.8571428571429</v>
      </c>
    </row>
    <row r="120" spans="1:19" x14ac:dyDescent="0.25">
      <c r="A120" s="6">
        <v>45045</v>
      </c>
      <c r="B120" s="20">
        <f>DATE(YEAR(Daily_Data[[#This Row],[Date]]), MONTH(Daily_Data[[#This Row],[Date]]), 1)</f>
        <v>45017</v>
      </c>
      <c r="C120" s="20" t="str">
        <f>TEXT(Daily_Data[[#This Row],[Month_key]],"mmmm")</f>
        <v>April</v>
      </c>
      <c r="D120" s="20" t="str">
        <f>TEXT(Daily_Data[[#This Row],[Month_key]],"yyyy")</f>
        <v>2023</v>
      </c>
      <c r="E120" s="7">
        <v>12</v>
      </c>
      <c r="F120" s="7">
        <v>14</v>
      </c>
      <c r="G120" s="8">
        <f>Daily_Data[[#This Row],[Rooms_Occupied]]/F120</f>
        <v>0.8571428571428571</v>
      </c>
      <c r="H120" s="7">
        <v>1348</v>
      </c>
      <c r="I120" s="7">
        <f>Daily_Data[[#This Row],[Room_rate]]*Daily_Data[[#This Row],[Rooms_Occupied]]</f>
        <v>16176</v>
      </c>
      <c r="J120" s="10">
        <f>Daily_Data[[#This Row],[Total_Sales]] * 0.22</f>
        <v>3558.72</v>
      </c>
      <c r="K120" s="10">
        <f>INDEX(Expense_master[Monthly_Rent],MATCH(Daily_Data[[#This Row],[Month_key]],Expense_master[Month_Key],0)) / INDEX(Expense_master[Days_in_Month],MATCH(Daily_Data[[#This Row],[Month_key]],Expense_master[Month_Key],0))</f>
        <v>7000</v>
      </c>
      <c r="L120" s="10">
        <f>SUMIFS(Expense_master[Staff_Salary],Expense_master[Month_Key],Daily_Data[[#This Row],[Month_key]]) / SUMIFS(Expense_master[Days_in_Month],Expense_master[Month_Key],Daily_Data[[#This Row],[Month_key]])</f>
        <v>2333.3333333333335</v>
      </c>
      <c r="M120" s="10">
        <f>Daily_Data[[#This Row],[Rooms_Occupied]] * (SUMIFS(Expense_master[Housekeeping_Laundy],Expense_master[Month_Key],Daily_Data[[#This Row],[Month_key]]) / SUMIFS(Occupancy_table[Monthly_rooms_Occupied],Occupancy_table[Month_Key],Daily_Data[[#This Row],[Month_key]]))</f>
        <v>373.8317757009346</v>
      </c>
      <c r="N1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1749.895327102804</v>
      </c>
      <c r="O120" s="10">
        <f>SUMIFS(Expense_master[Monthly_Maintenance],Expense_master[Month_Key],Daily_Data[[#This Row],[Month_key]]) / SUMIFS(Expense_master[Days_in_Month],Expense_master[Month_Key], Daily_Data[[#This Row],[Month_key]])</f>
        <v>666.66666666666663</v>
      </c>
      <c r="P120" s="10">
        <f xml:space="preserve"> Daily_Data[[#This Row],[OTA Commision]] + Daily_Data[[#This Row],[Daily_Rent]]+Daily_Data[[#This Row],[Daily_Staff]]+Daily_Data[[#This Row],[Daily_HK]]+Daily_Data[[#This Row],[Daily_Electricity]] + Daily_Data[[#This Row],[Daily Maintenance]]</f>
        <v>15682.447102803739</v>
      </c>
      <c r="Q120" s="10">
        <f>Daily_Data[[#This Row],[Total_Sales]]-Daily_Data[[#This Row],[Total_Daily_Expense]]</f>
        <v>493.55289719626126</v>
      </c>
      <c r="R120" s="10">
        <f>Daily_Data[[#This Row],[Total_Sales]]/Daily_Data[[#This Row],[Rooms_Occupied]]</f>
        <v>1348</v>
      </c>
      <c r="S120" s="10">
        <f>Daily_Data[[#This Row],[Total_Sales]] / Daily_Data[[#This Row],[Max_rooms]]</f>
        <v>1155.4285714285713</v>
      </c>
    </row>
    <row r="121" spans="1:19" x14ac:dyDescent="0.25">
      <c r="A121" s="6">
        <v>45046</v>
      </c>
      <c r="B121" s="20">
        <f>DATE(YEAR(Daily_Data[[#This Row],[Date]]), MONTH(Daily_Data[[#This Row],[Date]]), 1)</f>
        <v>45017</v>
      </c>
      <c r="C121" s="20" t="str">
        <f>TEXT(Daily_Data[[#This Row],[Month_key]],"mmmm")</f>
        <v>April</v>
      </c>
      <c r="D121" s="20" t="str">
        <f>TEXT(Daily_Data[[#This Row],[Month_key]],"yyyy")</f>
        <v>2023</v>
      </c>
      <c r="E121" s="7">
        <v>12</v>
      </c>
      <c r="F121" s="7">
        <v>14</v>
      </c>
      <c r="G121" s="8">
        <f>Daily_Data[[#This Row],[Rooms_Occupied]]/F121</f>
        <v>0.8571428571428571</v>
      </c>
      <c r="H121" s="7">
        <v>1867</v>
      </c>
      <c r="I121" s="7">
        <f>Daily_Data[[#This Row],[Room_rate]]*Daily_Data[[#This Row],[Rooms_Occupied]]</f>
        <v>22404</v>
      </c>
      <c r="J121" s="10">
        <f>Daily_Data[[#This Row],[Total_Sales]] * 0.22</f>
        <v>4928.88</v>
      </c>
      <c r="K121" s="10">
        <f>INDEX(Expense_master[Monthly_Rent],MATCH(Daily_Data[[#This Row],[Month_key]],Expense_master[Month_Key],0)) / INDEX(Expense_master[Days_in_Month],MATCH(Daily_Data[[#This Row],[Month_key]],Expense_master[Month_Key],0))</f>
        <v>7000</v>
      </c>
      <c r="L121" s="10">
        <f>SUMIFS(Expense_master[Staff_Salary],Expense_master[Month_Key],Daily_Data[[#This Row],[Month_key]]) / SUMIFS(Expense_master[Days_in_Month],Expense_master[Month_Key],Daily_Data[[#This Row],[Month_key]])</f>
        <v>2333.3333333333335</v>
      </c>
      <c r="M121" s="10">
        <f>Daily_Data[[#This Row],[Rooms_Occupied]] * (SUMIFS(Expense_master[Housekeeping_Laundy],Expense_master[Month_Key],Daily_Data[[#This Row],[Month_key]]) / SUMIFS(Occupancy_table[Monthly_rooms_Occupied],Occupancy_table[Month_Key],Daily_Data[[#This Row],[Month_key]]))</f>
        <v>373.8317757009346</v>
      </c>
      <c r="N1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1749.895327102804</v>
      </c>
      <c r="O121" s="10">
        <f>SUMIFS(Expense_master[Monthly_Maintenance],Expense_master[Month_Key],Daily_Data[[#This Row],[Month_key]]) / SUMIFS(Expense_master[Days_in_Month],Expense_master[Month_Key], Daily_Data[[#This Row],[Month_key]])</f>
        <v>666.66666666666663</v>
      </c>
      <c r="P121" s="10">
        <f xml:space="preserve"> Daily_Data[[#This Row],[OTA Commision]] + Daily_Data[[#This Row],[Daily_Rent]]+Daily_Data[[#This Row],[Daily_Staff]]+Daily_Data[[#This Row],[Daily_HK]]+Daily_Data[[#This Row],[Daily_Electricity]] + Daily_Data[[#This Row],[Daily Maintenance]]</f>
        <v>17052.607102803744</v>
      </c>
      <c r="Q121" s="10">
        <f>Daily_Data[[#This Row],[Total_Sales]]-Daily_Data[[#This Row],[Total_Daily_Expense]]</f>
        <v>5351.3928971962559</v>
      </c>
      <c r="R121" s="10">
        <f>Daily_Data[[#This Row],[Total_Sales]]/Daily_Data[[#This Row],[Rooms_Occupied]]</f>
        <v>1867</v>
      </c>
      <c r="S121" s="10">
        <f>Daily_Data[[#This Row],[Total_Sales]] / Daily_Data[[#This Row],[Max_rooms]]</f>
        <v>1600.2857142857142</v>
      </c>
    </row>
    <row r="122" spans="1:19" x14ac:dyDescent="0.25">
      <c r="A122" s="6">
        <v>45047</v>
      </c>
      <c r="B122" s="20">
        <f>DATE(YEAR(Daily_Data[[#This Row],[Date]]), MONTH(Daily_Data[[#This Row],[Date]]), 1)</f>
        <v>45047</v>
      </c>
      <c r="C122" s="20" t="str">
        <f>TEXT(Daily_Data[[#This Row],[Month_key]],"mmmm")</f>
        <v>May</v>
      </c>
      <c r="D122" s="20" t="str">
        <f>TEXT(Daily_Data[[#This Row],[Month_key]],"yyyy")</f>
        <v>2023</v>
      </c>
      <c r="E122" s="7">
        <v>10</v>
      </c>
      <c r="F122" s="7">
        <v>14</v>
      </c>
      <c r="G122" s="8">
        <f>Daily_Data[[#This Row],[Rooms_Occupied]]/F122</f>
        <v>0.7142857142857143</v>
      </c>
      <c r="H122" s="7">
        <v>1946</v>
      </c>
      <c r="I122" s="7">
        <f>Daily_Data[[#This Row],[Room_rate]]*Daily_Data[[#This Row],[Rooms_Occupied]]</f>
        <v>19460</v>
      </c>
      <c r="J122" s="10">
        <f>Daily_Data[[#This Row],[Total_Sales]] * 0.22</f>
        <v>4281.2</v>
      </c>
      <c r="K122" s="10">
        <f>INDEX(Expense_master[Monthly_Rent],MATCH(Daily_Data[[#This Row],[Month_key]],Expense_master[Month_Key],0)) / INDEX(Expense_master[Days_in_Month],MATCH(Daily_Data[[#This Row],[Month_key]],Expense_master[Month_Key],0))</f>
        <v>6774.1935483870966</v>
      </c>
      <c r="L122" s="10">
        <f>SUMIFS(Expense_master[Staff_Salary],Expense_master[Month_Key],Daily_Data[[#This Row],[Month_key]]) / SUMIFS(Expense_master[Days_in_Month],Expense_master[Month_Key],Daily_Data[[#This Row],[Month_key]])</f>
        <v>2258.0645161290322</v>
      </c>
      <c r="M122" s="10">
        <f>Daily_Data[[#This Row],[Rooms_Occupied]] * (SUMIFS(Expense_master[Housekeeping_Laundy],Expense_master[Month_Key],Daily_Data[[#This Row],[Month_key]]) / SUMIFS(Occupancy_table[Monthly_rooms_Occupied],Occupancy_table[Month_Key],Daily_Data[[#This Row],[Month_key]]))</f>
        <v>274.72527472527469</v>
      </c>
      <c r="N1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1507.2460120524638</v>
      </c>
      <c r="O122" s="10">
        <f>SUMIFS(Expense_master[Monthly_Maintenance],Expense_master[Month_Key],Daily_Data[[#This Row],[Month_key]]) / SUMIFS(Expense_master[Days_in_Month],Expense_master[Month_Key], Daily_Data[[#This Row],[Month_key]])</f>
        <v>645.16129032258061</v>
      </c>
      <c r="P122" s="10">
        <f xml:space="preserve"> Daily_Data[[#This Row],[OTA Commision]] + Daily_Data[[#This Row],[Daily_Rent]]+Daily_Data[[#This Row],[Daily_Staff]]+Daily_Data[[#This Row],[Daily_HK]]+Daily_Data[[#This Row],[Daily_Electricity]] + Daily_Data[[#This Row],[Daily Maintenance]]</f>
        <v>15740.590641616449</v>
      </c>
      <c r="Q122" s="10">
        <f>Daily_Data[[#This Row],[Total_Sales]]-Daily_Data[[#This Row],[Total_Daily_Expense]]</f>
        <v>3719.4093583835511</v>
      </c>
      <c r="R122" s="10">
        <f>Daily_Data[[#This Row],[Total_Sales]]/Daily_Data[[#This Row],[Rooms_Occupied]]</f>
        <v>1946</v>
      </c>
      <c r="S122" s="10">
        <f>Daily_Data[[#This Row],[Total_Sales]] / Daily_Data[[#This Row],[Max_rooms]]</f>
        <v>1390</v>
      </c>
    </row>
    <row r="123" spans="1:19" x14ac:dyDescent="0.25">
      <c r="A123" s="6">
        <v>45048</v>
      </c>
      <c r="B123" s="20">
        <f>DATE(YEAR(Daily_Data[[#This Row],[Date]]), MONTH(Daily_Data[[#This Row],[Date]]), 1)</f>
        <v>45047</v>
      </c>
      <c r="C123" s="20" t="str">
        <f>TEXT(Daily_Data[[#This Row],[Month_key]],"mmmm")</f>
        <v>May</v>
      </c>
      <c r="D123" s="20" t="str">
        <f>TEXT(Daily_Data[[#This Row],[Month_key]],"yyyy")</f>
        <v>2023</v>
      </c>
      <c r="E123" s="7">
        <v>14</v>
      </c>
      <c r="F123" s="7">
        <v>14</v>
      </c>
      <c r="G123" s="8">
        <f>Daily_Data[[#This Row],[Rooms_Occupied]]/F123</f>
        <v>1</v>
      </c>
      <c r="H123" s="7">
        <v>1736</v>
      </c>
      <c r="I123" s="7">
        <f>Daily_Data[[#This Row],[Room_rate]]*Daily_Data[[#This Row],[Rooms_Occupied]]</f>
        <v>24304</v>
      </c>
      <c r="J123" s="10">
        <f>Daily_Data[[#This Row],[Total_Sales]] * 0.22</f>
        <v>5346.88</v>
      </c>
      <c r="K123" s="10">
        <f>INDEX(Expense_master[Monthly_Rent],MATCH(Daily_Data[[#This Row],[Month_key]],Expense_master[Month_Key],0)) / INDEX(Expense_master[Days_in_Month],MATCH(Daily_Data[[#This Row],[Month_key]],Expense_master[Month_Key],0))</f>
        <v>6774.1935483870966</v>
      </c>
      <c r="L123" s="10">
        <f>SUMIFS(Expense_master[Staff_Salary],Expense_master[Month_Key],Daily_Data[[#This Row],[Month_key]]) / SUMIFS(Expense_master[Days_in_Month],Expense_master[Month_Key],Daily_Data[[#This Row],[Month_key]])</f>
        <v>2258.0645161290322</v>
      </c>
      <c r="M123" s="10">
        <f>Daily_Data[[#This Row],[Rooms_Occupied]] * (SUMIFS(Expense_master[Housekeeping_Laundy],Expense_master[Month_Key],Daily_Data[[#This Row],[Month_key]]) / SUMIFS(Occupancy_table[Monthly_rooms_Occupied],Occupancy_table[Month_Key],Daily_Data[[#This Row],[Month_key]]))</f>
        <v>384.61538461538458</v>
      </c>
      <c r="N1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1845.4218362282877</v>
      </c>
      <c r="O123" s="10">
        <f>SUMIFS(Expense_master[Monthly_Maintenance],Expense_master[Month_Key],Daily_Data[[#This Row],[Month_key]]) / SUMIFS(Expense_master[Days_in_Month],Expense_master[Month_Key], Daily_Data[[#This Row],[Month_key]])</f>
        <v>645.16129032258061</v>
      </c>
      <c r="P123" s="10">
        <f xml:space="preserve"> Daily_Data[[#This Row],[OTA Commision]] + Daily_Data[[#This Row],[Daily_Rent]]+Daily_Data[[#This Row],[Daily_Staff]]+Daily_Data[[#This Row],[Daily_HK]]+Daily_Data[[#This Row],[Daily_Electricity]] + Daily_Data[[#This Row],[Daily Maintenance]]</f>
        <v>17254.33657568238</v>
      </c>
      <c r="Q123" s="10">
        <f>Daily_Data[[#This Row],[Total_Sales]]-Daily_Data[[#This Row],[Total_Daily_Expense]]</f>
        <v>7049.6634243176195</v>
      </c>
      <c r="R123" s="10">
        <f>Daily_Data[[#This Row],[Total_Sales]]/Daily_Data[[#This Row],[Rooms_Occupied]]</f>
        <v>1736</v>
      </c>
      <c r="S123" s="10">
        <f>Daily_Data[[#This Row],[Total_Sales]] / Daily_Data[[#This Row],[Max_rooms]]</f>
        <v>1736</v>
      </c>
    </row>
    <row r="124" spans="1:19" x14ac:dyDescent="0.25">
      <c r="A124" s="6">
        <v>45049</v>
      </c>
      <c r="B124" s="20">
        <f>DATE(YEAR(Daily_Data[[#This Row],[Date]]), MONTH(Daily_Data[[#This Row],[Date]]), 1)</f>
        <v>45047</v>
      </c>
      <c r="C124" s="20" t="str">
        <f>TEXT(Daily_Data[[#This Row],[Month_key]],"mmmm")</f>
        <v>May</v>
      </c>
      <c r="D124" s="20" t="str">
        <f>TEXT(Daily_Data[[#This Row],[Month_key]],"yyyy")</f>
        <v>2023</v>
      </c>
      <c r="E124" s="7">
        <v>10</v>
      </c>
      <c r="F124" s="7">
        <v>14</v>
      </c>
      <c r="G124" s="8">
        <f>Daily_Data[[#This Row],[Rooms_Occupied]]/F124</f>
        <v>0.7142857142857143</v>
      </c>
      <c r="H124" s="7">
        <v>1259</v>
      </c>
      <c r="I124" s="7">
        <f>Daily_Data[[#This Row],[Room_rate]]*Daily_Data[[#This Row],[Rooms_Occupied]]</f>
        <v>12590</v>
      </c>
      <c r="J124" s="10">
        <f>Daily_Data[[#This Row],[Total_Sales]] * 0.22</f>
        <v>2769.8</v>
      </c>
      <c r="K124" s="10">
        <f>INDEX(Expense_master[Monthly_Rent],MATCH(Daily_Data[[#This Row],[Month_key]],Expense_master[Month_Key],0)) / INDEX(Expense_master[Days_in_Month],MATCH(Daily_Data[[#This Row],[Month_key]],Expense_master[Month_Key],0))</f>
        <v>6774.1935483870966</v>
      </c>
      <c r="L124" s="10">
        <f>SUMIFS(Expense_master[Staff_Salary],Expense_master[Month_Key],Daily_Data[[#This Row],[Month_key]]) / SUMIFS(Expense_master[Days_in_Month],Expense_master[Month_Key],Daily_Data[[#This Row],[Month_key]])</f>
        <v>2258.0645161290322</v>
      </c>
      <c r="M124" s="10">
        <f>Daily_Data[[#This Row],[Rooms_Occupied]] * (SUMIFS(Expense_master[Housekeeping_Laundy],Expense_master[Month_Key],Daily_Data[[#This Row],[Month_key]]) / SUMIFS(Occupancy_table[Monthly_rooms_Occupied],Occupancy_table[Month_Key],Daily_Data[[#This Row],[Month_key]]))</f>
        <v>274.72527472527469</v>
      </c>
      <c r="N1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1507.2460120524638</v>
      </c>
      <c r="O124" s="10">
        <f>SUMIFS(Expense_master[Monthly_Maintenance],Expense_master[Month_Key],Daily_Data[[#This Row],[Month_key]]) / SUMIFS(Expense_master[Days_in_Month],Expense_master[Month_Key], Daily_Data[[#This Row],[Month_key]])</f>
        <v>645.16129032258061</v>
      </c>
      <c r="P124" s="10">
        <f xml:space="preserve"> Daily_Data[[#This Row],[OTA Commision]] + Daily_Data[[#This Row],[Daily_Rent]]+Daily_Data[[#This Row],[Daily_Staff]]+Daily_Data[[#This Row],[Daily_HK]]+Daily_Data[[#This Row],[Daily_Electricity]] + Daily_Data[[#This Row],[Daily Maintenance]]</f>
        <v>14229.190641616451</v>
      </c>
      <c r="Q124" s="10">
        <f>Daily_Data[[#This Row],[Total_Sales]]-Daily_Data[[#This Row],[Total_Daily_Expense]]</f>
        <v>-1639.1906416164511</v>
      </c>
      <c r="R124" s="10">
        <f>Daily_Data[[#This Row],[Total_Sales]]/Daily_Data[[#This Row],[Rooms_Occupied]]</f>
        <v>1259</v>
      </c>
      <c r="S124" s="10">
        <f>Daily_Data[[#This Row],[Total_Sales]] / Daily_Data[[#This Row],[Max_rooms]]</f>
        <v>899.28571428571433</v>
      </c>
    </row>
    <row r="125" spans="1:19" x14ac:dyDescent="0.25">
      <c r="A125" s="6">
        <v>45050</v>
      </c>
      <c r="B125" s="20">
        <f>DATE(YEAR(Daily_Data[[#This Row],[Date]]), MONTH(Daily_Data[[#This Row],[Date]]), 1)</f>
        <v>45047</v>
      </c>
      <c r="C125" s="20" t="str">
        <f>TEXT(Daily_Data[[#This Row],[Month_key]],"mmmm")</f>
        <v>May</v>
      </c>
      <c r="D125" s="20" t="str">
        <f>TEXT(Daily_Data[[#This Row],[Month_key]],"yyyy")</f>
        <v>2023</v>
      </c>
      <c r="E125" s="7">
        <v>10</v>
      </c>
      <c r="F125" s="7">
        <v>14</v>
      </c>
      <c r="G125" s="8">
        <f>Daily_Data[[#This Row],[Rooms_Occupied]]/F125</f>
        <v>0.7142857142857143</v>
      </c>
      <c r="H125" s="7">
        <v>1774</v>
      </c>
      <c r="I125" s="7">
        <f>Daily_Data[[#This Row],[Room_rate]]*Daily_Data[[#This Row],[Rooms_Occupied]]</f>
        <v>17740</v>
      </c>
      <c r="J125" s="10">
        <f>Daily_Data[[#This Row],[Total_Sales]] * 0.22</f>
        <v>3902.8</v>
      </c>
      <c r="K125" s="10">
        <f>INDEX(Expense_master[Monthly_Rent],MATCH(Daily_Data[[#This Row],[Month_key]],Expense_master[Month_Key],0)) / INDEX(Expense_master[Days_in_Month],MATCH(Daily_Data[[#This Row],[Month_key]],Expense_master[Month_Key],0))</f>
        <v>6774.1935483870966</v>
      </c>
      <c r="L125" s="10">
        <f>SUMIFS(Expense_master[Staff_Salary],Expense_master[Month_Key],Daily_Data[[#This Row],[Month_key]]) / SUMIFS(Expense_master[Days_in_Month],Expense_master[Month_Key],Daily_Data[[#This Row],[Month_key]])</f>
        <v>2258.0645161290322</v>
      </c>
      <c r="M125" s="10">
        <f>Daily_Data[[#This Row],[Rooms_Occupied]] * (SUMIFS(Expense_master[Housekeeping_Laundy],Expense_master[Month_Key],Daily_Data[[#This Row],[Month_key]]) / SUMIFS(Occupancy_table[Monthly_rooms_Occupied],Occupancy_table[Month_Key],Daily_Data[[#This Row],[Month_key]]))</f>
        <v>274.72527472527469</v>
      </c>
      <c r="N1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1507.2460120524638</v>
      </c>
      <c r="O125" s="10">
        <f>SUMIFS(Expense_master[Monthly_Maintenance],Expense_master[Month_Key],Daily_Data[[#This Row],[Month_key]]) / SUMIFS(Expense_master[Days_in_Month],Expense_master[Month_Key], Daily_Data[[#This Row],[Month_key]])</f>
        <v>645.16129032258061</v>
      </c>
      <c r="P125" s="10">
        <f xml:space="preserve"> Daily_Data[[#This Row],[OTA Commision]] + Daily_Data[[#This Row],[Daily_Rent]]+Daily_Data[[#This Row],[Daily_Staff]]+Daily_Data[[#This Row],[Daily_HK]]+Daily_Data[[#This Row],[Daily_Electricity]] + Daily_Data[[#This Row],[Daily Maintenance]]</f>
        <v>15362.190641616451</v>
      </c>
      <c r="Q125" s="10">
        <f>Daily_Data[[#This Row],[Total_Sales]]-Daily_Data[[#This Row],[Total_Daily_Expense]]</f>
        <v>2377.8093583835489</v>
      </c>
      <c r="R125" s="10">
        <f>Daily_Data[[#This Row],[Total_Sales]]/Daily_Data[[#This Row],[Rooms_Occupied]]</f>
        <v>1774</v>
      </c>
      <c r="S125" s="10">
        <f>Daily_Data[[#This Row],[Total_Sales]] / Daily_Data[[#This Row],[Max_rooms]]</f>
        <v>1267.1428571428571</v>
      </c>
    </row>
    <row r="126" spans="1:19" x14ac:dyDescent="0.25">
      <c r="A126" s="6">
        <v>45051</v>
      </c>
      <c r="B126" s="20">
        <f>DATE(YEAR(Daily_Data[[#This Row],[Date]]), MONTH(Daily_Data[[#This Row],[Date]]), 1)</f>
        <v>45047</v>
      </c>
      <c r="C126" s="20" t="str">
        <f>TEXT(Daily_Data[[#This Row],[Month_key]],"mmmm")</f>
        <v>May</v>
      </c>
      <c r="D126" s="20" t="str">
        <f>TEXT(Daily_Data[[#This Row],[Month_key]],"yyyy")</f>
        <v>2023</v>
      </c>
      <c r="E126" s="7">
        <v>12</v>
      </c>
      <c r="F126" s="7">
        <v>14</v>
      </c>
      <c r="G126" s="8">
        <f>Daily_Data[[#This Row],[Rooms_Occupied]]/F126</f>
        <v>0.8571428571428571</v>
      </c>
      <c r="H126" s="7">
        <v>1970</v>
      </c>
      <c r="I126" s="7">
        <f>Daily_Data[[#This Row],[Room_rate]]*Daily_Data[[#This Row],[Rooms_Occupied]]</f>
        <v>23640</v>
      </c>
      <c r="J126" s="10">
        <f>Daily_Data[[#This Row],[Total_Sales]] * 0.22</f>
        <v>5200.8</v>
      </c>
      <c r="K126" s="10">
        <f>INDEX(Expense_master[Monthly_Rent],MATCH(Daily_Data[[#This Row],[Month_key]],Expense_master[Month_Key],0)) / INDEX(Expense_master[Days_in_Month],MATCH(Daily_Data[[#This Row],[Month_key]],Expense_master[Month_Key],0))</f>
        <v>6774.1935483870966</v>
      </c>
      <c r="L126" s="10">
        <f>SUMIFS(Expense_master[Staff_Salary],Expense_master[Month_Key],Daily_Data[[#This Row],[Month_key]]) / SUMIFS(Expense_master[Days_in_Month],Expense_master[Month_Key],Daily_Data[[#This Row],[Month_key]])</f>
        <v>2258.0645161290322</v>
      </c>
      <c r="M126" s="10">
        <f>Daily_Data[[#This Row],[Rooms_Occupied]] * (SUMIFS(Expense_master[Housekeeping_Laundy],Expense_master[Month_Key],Daily_Data[[#This Row],[Month_key]]) / SUMIFS(Occupancy_table[Monthly_rooms_Occupied],Occupancy_table[Month_Key],Daily_Data[[#This Row],[Month_key]]))</f>
        <v>329.67032967032964</v>
      </c>
      <c r="N1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26" s="10">
        <f>SUMIFS(Expense_master[Monthly_Maintenance],Expense_master[Month_Key],Daily_Data[[#This Row],[Month_key]]) / SUMIFS(Expense_master[Days_in_Month],Expense_master[Month_Key], Daily_Data[[#This Row],[Month_key]])</f>
        <v>645.16129032258061</v>
      </c>
      <c r="P126" s="10">
        <f xml:space="preserve"> Daily_Data[[#This Row],[OTA Commision]] + Daily_Data[[#This Row],[Daily_Rent]]+Daily_Data[[#This Row],[Daily_Staff]]+Daily_Data[[#This Row],[Daily_HK]]+Daily_Data[[#This Row],[Daily_Electricity]] + Daily_Data[[#This Row],[Daily Maintenance]]</f>
        <v>16884.223608649416</v>
      </c>
      <c r="Q126" s="10">
        <f>Daily_Data[[#This Row],[Total_Sales]]-Daily_Data[[#This Row],[Total_Daily_Expense]]</f>
        <v>6755.7763913505842</v>
      </c>
      <c r="R126" s="10">
        <f>Daily_Data[[#This Row],[Total_Sales]]/Daily_Data[[#This Row],[Rooms_Occupied]]</f>
        <v>1970</v>
      </c>
      <c r="S126" s="10">
        <f>Daily_Data[[#This Row],[Total_Sales]] / Daily_Data[[#This Row],[Max_rooms]]</f>
        <v>1688.5714285714287</v>
      </c>
    </row>
    <row r="127" spans="1:19" x14ac:dyDescent="0.25">
      <c r="A127" s="6">
        <v>45052</v>
      </c>
      <c r="B127" s="20">
        <f>DATE(YEAR(Daily_Data[[#This Row],[Date]]), MONTH(Daily_Data[[#This Row],[Date]]), 1)</f>
        <v>45047</v>
      </c>
      <c r="C127" s="20" t="str">
        <f>TEXT(Daily_Data[[#This Row],[Month_key]],"mmmm")</f>
        <v>May</v>
      </c>
      <c r="D127" s="20" t="str">
        <f>TEXT(Daily_Data[[#This Row],[Month_key]],"yyyy")</f>
        <v>2023</v>
      </c>
      <c r="E127" s="7">
        <v>13</v>
      </c>
      <c r="F127" s="7">
        <v>14</v>
      </c>
      <c r="G127" s="8">
        <f>Daily_Data[[#This Row],[Rooms_Occupied]]/F127</f>
        <v>0.9285714285714286</v>
      </c>
      <c r="H127" s="7">
        <v>1553</v>
      </c>
      <c r="I127" s="7">
        <f>Daily_Data[[#This Row],[Room_rate]]*Daily_Data[[#This Row],[Rooms_Occupied]]</f>
        <v>20189</v>
      </c>
      <c r="J127" s="10">
        <f>Daily_Data[[#This Row],[Total_Sales]] * 0.22</f>
        <v>4441.58</v>
      </c>
      <c r="K127" s="10">
        <f>INDEX(Expense_master[Monthly_Rent],MATCH(Daily_Data[[#This Row],[Month_key]],Expense_master[Month_Key],0)) / INDEX(Expense_master[Days_in_Month],MATCH(Daily_Data[[#This Row],[Month_key]],Expense_master[Month_Key],0))</f>
        <v>6774.1935483870966</v>
      </c>
      <c r="L127" s="10">
        <f>SUMIFS(Expense_master[Staff_Salary],Expense_master[Month_Key],Daily_Data[[#This Row],[Month_key]]) / SUMIFS(Expense_master[Days_in_Month],Expense_master[Month_Key],Daily_Data[[#This Row],[Month_key]])</f>
        <v>2258.0645161290322</v>
      </c>
      <c r="M127" s="10">
        <f>Daily_Data[[#This Row],[Rooms_Occupied]] * (SUMIFS(Expense_master[Housekeeping_Laundy],Expense_master[Month_Key],Daily_Data[[#This Row],[Month_key]]) / SUMIFS(Occupancy_table[Monthly_rooms_Occupied],Occupancy_table[Month_Key],Daily_Data[[#This Row],[Month_key]]))</f>
        <v>357.14285714285711</v>
      </c>
      <c r="N1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27" s="10">
        <f>SUMIFS(Expense_master[Monthly_Maintenance],Expense_master[Month_Key],Daily_Data[[#This Row],[Month_key]]) / SUMIFS(Expense_master[Days_in_Month],Expense_master[Month_Key], Daily_Data[[#This Row],[Month_key]])</f>
        <v>645.16129032258061</v>
      </c>
      <c r="P127" s="10">
        <f xml:space="preserve"> Daily_Data[[#This Row],[OTA Commision]] + Daily_Data[[#This Row],[Daily_Rent]]+Daily_Data[[#This Row],[Daily_Staff]]+Daily_Data[[#This Row],[Daily_HK]]+Daily_Data[[#This Row],[Daily_Electricity]] + Daily_Data[[#This Row],[Daily Maintenance]]</f>
        <v>16237.0200921659</v>
      </c>
      <c r="Q127" s="10">
        <f>Daily_Data[[#This Row],[Total_Sales]]-Daily_Data[[#This Row],[Total_Daily_Expense]]</f>
        <v>3951.9799078341002</v>
      </c>
      <c r="R127" s="10">
        <f>Daily_Data[[#This Row],[Total_Sales]]/Daily_Data[[#This Row],[Rooms_Occupied]]</f>
        <v>1553</v>
      </c>
      <c r="S127" s="10">
        <f>Daily_Data[[#This Row],[Total_Sales]] / Daily_Data[[#This Row],[Max_rooms]]</f>
        <v>1442.0714285714287</v>
      </c>
    </row>
    <row r="128" spans="1:19" x14ac:dyDescent="0.25">
      <c r="A128" s="6">
        <v>45053</v>
      </c>
      <c r="B128" s="20">
        <f>DATE(YEAR(Daily_Data[[#This Row],[Date]]), MONTH(Daily_Data[[#This Row],[Date]]), 1)</f>
        <v>45047</v>
      </c>
      <c r="C128" s="20" t="str">
        <f>TEXT(Daily_Data[[#This Row],[Month_key]],"mmmm")</f>
        <v>May</v>
      </c>
      <c r="D128" s="20" t="str">
        <f>TEXT(Daily_Data[[#This Row],[Month_key]],"yyyy")</f>
        <v>2023</v>
      </c>
      <c r="E128" s="7">
        <v>12</v>
      </c>
      <c r="F128" s="7">
        <v>14</v>
      </c>
      <c r="G128" s="8">
        <f>Daily_Data[[#This Row],[Rooms_Occupied]]/F128</f>
        <v>0.8571428571428571</v>
      </c>
      <c r="H128" s="7">
        <v>1370</v>
      </c>
      <c r="I128" s="7">
        <f>Daily_Data[[#This Row],[Room_rate]]*Daily_Data[[#This Row],[Rooms_Occupied]]</f>
        <v>16440</v>
      </c>
      <c r="J128" s="10">
        <f>Daily_Data[[#This Row],[Total_Sales]] * 0.22</f>
        <v>3616.8</v>
      </c>
      <c r="K128" s="10">
        <f>INDEX(Expense_master[Monthly_Rent],MATCH(Daily_Data[[#This Row],[Month_key]],Expense_master[Month_Key],0)) / INDEX(Expense_master[Days_in_Month],MATCH(Daily_Data[[#This Row],[Month_key]],Expense_master[Month_Key],0))</f>
        <v>6774.1935483870966</v>
      </c>
      <c r="L128" s="10">
        <f>SUMIFS(Expense_master[Staff_Salary],Expense_master[Month_Key],Daily_Data[[#This Row],[Month_key]]) / SUMIFS(Expense_master[Days_in_Month],Expense_master[Month_Key],Daily_Data[[#This Row],[Month_key]])</f>
        <v>2258.0645161290322</v>
      </c>
      <c r="M128" s="10">
        <f>Daily_Data[[#This Row],[Rooms_Occupied]] * (SUMIFS(Expense_master[Housekeeping_Laundy],Expense_master[Month_Key],Daily_Data[[#This Row],[Month_key]]) / SUMIFS(Occupancy_table[Monthly_rooms_Occupied],Occupancy_table[Month_Key],Daily_Data[[#This Row],[Month_key]]))</f>
        <v>329.67032967032964</v>
      </c>
      <c r="N1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28" s="10">
        <f>SUMIFS(Expense_master[Monthly_Maintenance],Expense_master[Month_Key],Daily_Data[[#This Row],[Month_key]]) / SUMIFS(Expense_master[Days_in_Month],Expense_master[Month_Key], Daily_Data[[#This Row],[Month_key]])</f>
        <v>645.16129032258061</v>
      </c>
      <c r="P128" s="10">
        <f xml:space="preserve"> Daily_Data[[#This Row],[OTA Commision]] + Daily_Data[[#This Row],[Daily_Rent]]+Daily_Data[[#This Row],[Daily_Staff]]+Daily_Data[[#This Row],[Daily_HK]]+Daily_Data[[#This Row],[Daily_Electricity]] + Daily_Data[[#This Row],[Daily Maintenance]]</f>
        <v>15300.223608649416</v>
      </c>
      <c r="Q128" s="10">
        <f>Daily_Data[[#This Row],[Total_Sales]]-Daily_Data[[#This Row],[Total_Daily_Expense]]</f>
        <v>1139.7763913505842</v>
      </c>
      <c r="R128" s="10">
        <f>Daily_Data[[#This Row],[Total_Sales]]/Daily_Data[[#This Row],[Rooms_Occupied]]</f>
        <v>1370</v>
      </c>
      <c r="S128" s="10">
        <f>Daily_Data[[#This Row],[Total_Sales]] / Daily_Data[[#This Row],[Max_rooms]]</f>
        <v>1174.2857142857142</v>
      </c>
    </row>
    <row r="129" spans="1:19" x14ac:dyDescent="0.25">
      <c r="A129" s="6">
        <v>45054</v>
      </c>
      <c r="B129" s="20">
        <f>DATE(YEAR(Daily_Data[[#This Row],[Date]]), MONTH(Daily_Data[[#This Row],[Date]]), 1)</f>
        <v>45047</v>
      </c>
      <c r="C129" s="20" t="str">
        <f>TEXT(Daily_Data[[#This Row],[Month_key]],"mmmm")</f>
        <v>May</v>
      </c>
      <c r="D129" s="20" t="str">
        <f>TEXT(Daily_Data[[#This Row],[Month_key]],"yyyy")</f>
        <v>2023</v>
      </c>
      <c r="E129" s="7">
        <v>14</v>
      </c>
      <c r="F129" s="7">
        <v>14</v>
      </c>
      <c r="G129" s="8">
        <f>Daily_Data[[#This Row],[Rooms_Occupied]]/F129</f>
        <v>1</v>
      </c>
      <c r="H129" s="7">
        <v>1458</v>
      </c>
      <c r="I129" s="7">
        <f>Daily_Data[[#This Row],[Room_rate]]*Daily_Data[[#This Row],[Rooms_Occupied]]</f>
        <v>20412</v>
      </c>
      <c r="J129" s="10">
        <f>Daily_Data[[#This Row],[Total_Sales]] * 0.22</f>
        <v>4490.6400000000003</v>
      </c>
      <c r="K129" s="10">
        <f>INDEX(Expense_master[Monthly_Rent],MATCH(Daily_Data[[#This Row],[Month_key]],Expense_master[Month_Key],0)) / INDEX(Expense_master[Days_in_Month],MATCH(Daily_Data[[#This Row],[Month_key]],Expense_master[Month_Key],0))</f>
        <v>6774.1935483870966</v>
      </c>
      <c r="L129" s="10">
        <f>SUMIFS(Expense_master[Staff_Salary],Expense_master[Month_Key],Daily_Data[[#This Row],[Month_key]]) / SUMIFS(Expense_master[Days_in_Month],Expense_master[Month_Key],Daily_Data[[#This Row],[Month_key]])</f>
        <v>2258.0645161290322</v>
      </c>
      <c r="M129" s="10">
        <f>Daily_Data[[#This Row],[Rooms_Occupied]] * (SUMIFS(Expense_master[Housekeeping_Laundy],Expense_master[Month_Key],Daily_Data[[#This Row],[Month_key]]) / SUMIFS(Occupancy_table[Monthly_rooms_Occupied],Occupancy_table[Month_Key],Daily_Data[[#This Row],[Month_key]]))</f>
        <v>384.61538461538458</v>
      </c>
      <c r="N1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1845.4218362282877</v>
      </c>
      <c r="O129" s="10">
        <f>SUMIFS(Expense_master[Monthly_Maintenance],Expense_master[Month_Key],Daily_Data[[#This Row],[Month_key]]) / SUMIFS(Expense_master[Days_in_Month],Expense_master[Month_Key], Daily_Data[[#This Row],[Month_key]])</f>
        <v>645.16129032258061</v>
      </c>
      <c r="P129" s="10">
        <f xml:space="preserve"> Daily_Data[[#This Row],[OTA Commision]] + Daily_Data[[#This Row],[Daily_Rent]]+Daily_Data[[#This Row],[Daily_Staff]]+Daily_Data[[#This Row],[Daily_HK]]+Daily_Data[[#This Row],[Daily_Electricity]] + Daily_Data[[#This Row],[Daily Maintenance]]</f>
        <v>16398.096575682383</v>
      </c>
      <c r="Q129" s="10">
        <f>Daily_Data[[#This Row],[Total_Sales]]-Daily_Data[[#This Row],[Total_Daily_Expense]]</f>
        <v>4013.9034243176175</v>
      </c>
      <c r="R129" s="10">
        <f>Daily_Data[[#This Row],[Total_Sales]]/Daily_Data[[#This Row],[Rooms_Occupied]]</f>
        <v>1458</v>
      </c>
      <c r="S129" s="10">
        <f>Daily_Data[[#This Row],[Total_Sales]] / Daily_Data[[#This Row],[Max_rooms]]</f>
        <v>1458</v>
      </c>
    </row>
    <row r="130" spans="1:19" x14ac:dyDescent="0.25">
      <c r="A130" s="6">
        <v>45055</v>
      </c>
      <c r="B130" s="20">
        <f>DATE(YEAR(Daily_Data[[#This Row],[Date]]), MONTH(Daily_Data[[#This Row],[Date]]), 1)</f>
        <v>45047</v>
      </c>
      <c r="C130" s="20" t="str">
        <f>TEXT(Daily_Data[[#This Row],[Month_key]],"mmmm")</f>
        <v>May</v>
      </c>
      <c r="D130" s="20" t="str">
        <f>TEXT(Daily_Data[[#This Row],[Month_key]],"yyyy")</f>
        <v>2023</v>
      </c>
      <c r="E130" s="7">
        <v>13</v>
      </c>
      <c r="F130" s="7">
        <v>14</v>
      </c>
      <c r="G130" s="8">
        <f>Daily_Data[[#This Row],[Rooms_Occupied]]/F130</f>
        <v>0.9285714285714286</v>
      </c>
      <c r="H130" s="7">
        <v>1803</v>
      </c>
      <c r="I130" s="7">
        <f>Daily_Data[[#This Row],[Room_rate]]*Daily_Data[[#This Row],[Rooms_Occupied]]</f>
        <v>23439</v>
      </c>
      <c r="J130" s="10">
        <f>Daily_Data[[#This Row],[Total_Sales]] * 0.22</f>
        <v>5156.58</v>
      </c>
      <c r="K130" s="10">
        <f>INDEX(Expense_master[Monthly_Rent],MATCH(Daily_Data[[#This Row],[Month_key]],Expense_master[Month_Key],0)) / INDEX(Expense_master[Days_in_Month],MATCH(Daily_Data[[#This Row],[Month_key]],Expense_master[Month_Key],0))</f>
        <v>6774.1935483870966</v>
      </c>
      <c r="L130" s="10">
        <f>SUMIFS(Expense_master[Staff_Salary],Expense_master[Month_Key],Daily_Data[[#This Row],[Month_key]]) / SUMIFS(Expense_master[Days_in_Month],Expense_master[Month_Key],Daily_Data[[#This Row],[Month_key]])</f>
        <v>2258.0645161290322</v>
      </c>
      <c r="M130" s="10">
        <f>Daily_Data[[#This Row],[Rooms_Occupied]] * (SUMIFS(Expense_master[Housekeeping_Laundy],Expense_master[Month_Key],Daily_Data[[#This Row],[Month_key]]) / SUMIFS(Occupancy_table[Monthly_rooms_Occupied],Occupancy_table[Month_Key],Daily_Data[[#This Row],[Month_key]]))</f>
        <v>357.14285714285711</v>
      </c>
      <c r="N1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30" s="10">
        <f>SUMIFS(Expense_master[Monthly_Maintenance],Expense_master[Month_Key],Daily_Data[[#This Row],[Month_key]]) / SUMIFS(Expense_master[Days_in_Month],Expense_master[Month_Key], Daily_Data[[#This Row],[Month_key]])</f>
        <v>645.16129032258061</v>
      </c>
      <c r="P130" s="10">
        <f xml:space="preserve"> Daily_Data[[#This Row],[OTA Commision]] + Daily_Data[[#This Row],[Daily_Rent]]+Daily_Data[[#This Row],[Daily_Staff]]+Daily_Data[[#This Row],[Daily_HK]]+Daily_Data[[#This Row],[Daily_Electricity]] + Daily_Data[[#This Row],[Daily Maintenance]]</f>
        <v>16952.020092165898</v>
      </c>
      <c r="Q130" s="10">
        <f>Daily_Data[[#This Row],[Total_Sales]]-Daily_Data[[#This Row],[Total_Daily_Expense]]</f>
        <v>6486.9799078341021</v>
      </c>
      <c r="R130" s="10">
        <f>Daily_Data[[#This Row],[Total_Sales]]/Daily_Data[[#This Row],[Rooms_Occupied]]</f>
        <v>1803</v>
      </c>
      <c r="S130" s="10">
        <f>Daily_Data[[#This Row],[Total_Sales]] / Daily_Data[[#This Row],[Max_rooms]]</f>
        <v>1674.2142857142858</v>
      </c>
    </row>
    <row r="131" spans="1:19" x14ac:dyDescent="0.25">
      <c r="A131" s="6">
        <v>45056</v>
      </c>
      <c r="B131" s="20">
        <f>DATE(YEAR(Daily_Data[[#This Row],[Date]]), MONTH(Daily_Data[[#This Row],[Date]]), 1)</f>
        <v>45047</v>
      </c>
      <c r="C131" s="20" t="str">
        <f>TEXT(Daily_Data[[#This Row],[Month_key]],"mmmm")</f>
        <v>May</v>
      </c>
      <c r="D131" s="20" t="str">
        <f>TEXT(Daily_Data[[#This Row],[Month_key]],"yyyy")</f>
        <v>2023</v>
      </c>
      <c r="E131" s="7">
        <v>13</v>
      </c>
      <c r="F131" s="7">
        <v>14</v>
      </c>
      <c r="G131" s="8">
        <f>Daily_Data[[#This Row],[Rooms_Occupied]]/F131</f>
        <v>0.9285714285714286</v>
      </c>
      <c r="H131" s="7">
        <v>1142</v>
      </c>
      <c r="I131" s="7">
        <f>Daily_Data[[#This Row],[Room_rate]]*Daily_Data[[#This Row],[Rooms_Occupied]]</f>
        <v>14846</v>
      </c>
      <c r="J131" s="10">
        <f>Daily_Data[[#This Row],[Total_Sales]] * 0.22</f>
        <v>3266.12</v>
      </c>
      <c r="K131" s="10">
        <f>INDEX(Expense_master[Monthly_Rent],MATCH(Daily_Data[[#This Row],[Month_key]],Expense_master[Month_Key],0)) / INDEX(Expense_master[Days_in_Month],MATCH(Daily_Data[[#This Row],[Month_key]],Expense_master[Month_Key],0))</f>
        <v>6774.1935483870966</v>
      </c>
      <c r="L131" s="10">
        <f>SUMIFS(Expense_master[Staff_Salary],Expense_master[Month_Key],Daily_Data[[#This Row],[Month_key]]) / SUMIFS(Expense_master[Days_in_Month],Expense_master[Month_Key],Daily_Data[[#This Row],[Month_key]])</f>
        <v>2258.0645161290322</v>
      </c>
      <c r="M131" s="10">
        <f>Daily_Data[[#This Row],[Rooms_Occupied]] * (SUMIFS(Expense_master[Housekeeping_Laundy],Expense_master[Month_Key],Daily_Data[[#This Row],[Month_key]]) / SUMIFS(Occupancy_table[Monthly_rooms_Occupied],Occupancy_table[Month_Key],Daily_Data[[#This Row],[Month_key]]))</f>
        <v>357.14285714285711</v>
      </c>
      <c r="N1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31" s="10">
        <f>SUMIFS(Expense_master[Monthly_Maintenance],Expense_master[Month_Key],Daily_Data[[#This Row],[Month_key]]) / SUMIFS(Expense_master[Days_in_Month],Expense_master[Month_Key], Daily_Data[[#This Row],[Month_key]])</f>
        <v>645.16129032258061</v>
      </c>
      <c r="P131" s="10">
        <f xml:space="preserve"> Daily_Data[[#This Row],[OTA Commision]] + Daily_Data[[#This Row],[Daily_Rent]]+Daily_Data[[#This Row],[Daily_Staff]]+Daily_Data[[#This Row],[Daily_HK]]+Daily_Data[[#This Row],[Daily_Electricity]] + Daily_Data[[#This Row],[Daily Maintenance]]</f>
        <v>15061.560092165901</v>
      </c>
      <c r="Q131" s="10">
        <f>Daily_Data[[#This Row],[Total_Sales]]-Daily_Data[[#This Row],[Total_Daily_Expense]]</f>
        <v>-215.56009216590064</v>
      </c>
      <c r="R131" s="10">
        <f>Daily_Data[[#This Row],[Total_Sales]]/Daily_Data[[#This Row],[Rooms_Occupied]]</f>
        <v>1142</v>
      </c>
      <c r="S131" s="10">
        <f>Daily_Data[[#This Row],[Total_Sales]] / Daily_Data[[#This Row],[Max_rooms]]</f>
        <v>1060.4285714285713</v>
      </c>
    </row>
    <row r="132" spans="1:19" x14ac:dyDescent="0.25">
      <c r="A132" s="6">
        <v>45057</v>
      </c>
      <c r="B132" s="20">
        <f>DATE(YEAR(Daily_Data[[#This Row],[Date]]), MONTH(Daily_Data[[#This Row],[Date]]), 1)</f>
        <v>45047</v>
      </c>
      <c r="C132" s="20" t="str">
        <f>TEXT(Daily_Data[[#This Row],[Month_key]],"mmmm")</f>
        <v>May</v>
      </c>
      <c r="D132" s="20" t="str">
        <f>TEXT(Daily_Data[[#This Row],[Month_key]],"yyyy")</f>
        <v>2023</v>
      </c>
      <c r="E132" s="7">
        <v>11</v>
      </c>
      <c r="F132" s="7">
        <v>14</v>
      </c>
      <c r="G132" s="8">
        <f>Daily_Data[[#This Row],[Rooms_Occupied]]/F132</f>
        <v>0.7857142857142857</v>
      </c>
      <c r="H132" s="7">
        <v>1214</v>
      </c>
      <c r="I132" s="7">
        <f>Daily_Data[[#This Row],[Room_rate]]*Daily_Data[[#This Row],[Rooms_Occupied]]</f>
        <v>13354</v>
      </c>
      <c r="J132" s="10">
        <f>Daily_Data[[#This Row],[Total_Sales]] * 0.22</f>
        <v>2937.88</v>
      </c>
      <c r="K132" s="10">
        <f>INDEX(Expense_master[Monthly_Rent],MATCH(Daily_Data[[#This Row],[Month_key]],Expense_master[Month_Key],0)) / INDEX(Expense_master[Days_in_Month],MATCH(Daily_Data[[#This Row],[Month_key]],Expense_master[Month_Key],0))</f>
        <v>6774.1935483870966</v>
      </c>
      <c r="L132" s="10">
        <f>SUMIFS(Expense_master[Staff_Salary],Expense_master[Month_Key],Daily_Data[[#This Row],[Month_key]]) / SUMIFS(Expense_master[Days_in_Month],Expense_master[Month_Key],Daily_Data[[#This Row],[Month_key]])</f>
        <v>2258.0645161290322</v>
      </c>
      <c r="M132" s="10">
        <f>Daily_Data[[#This Row],[Rooms_Occupied]] * (SUMIFS(Expense_master[Housekeeping_Laundy],Expense_master[Month_Key],Daily_Data[[#This Row],[Month_key]]) / SUMIFS(Occupancy_table[Monthly_rooms_Occupied],Occupancy_table[Month_Key],Daily_Data[[#This Row],[Month_key]]))</f>
        <v>302.19780219780216</v>
      </c>
      <c r="N1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1591.7899680964197</v>
      </c>
      <c r="O132" s="10">
        <f>SUMIFS(Expense_master[Monthly_Maintenance],Expense_master[Month_Key],Daily_Data[[#This Row],[Month_key]]) / SUMIFS(Expense_master[Days_in_Month],Expense_master[Month_Key], Daily_Data[[#This Row],[Month_key]])</f>
        <v>645.16129032258061</v>
      </c>
      <c r="P132" s="10">
        <f xml:space="preserve"> Daily_Data[[#This Row],[OTA Commision]] + Daily_Data[[#This Row],[Daily_Rent]]+Daily_Data[[#This Row],[Daily_Staff]]+Daily_Data[[#This Row],[Daily_HK]]+Daily_Data[[#This Row],[Daily_Electricity]] + Daily_Data[[#This Row],[Daily Maintenance]]</f>
        <v>14509.287125132932</v>
      </c>
      <c r="Q132" s="10">
        <f>Daily_Data[[#This Row],[Total_Sales]]-Daily_Data[[#This Row],[Total_Daily_Expense]]</f>
        <v>-1155.2871251329325</v>
      </c>
      <c r="R132" s="10">
        <f>Daily_Data[[#This Row],[Total_Sales]]/Daily_Data[[#This Row],[Rooms_Occupied]]</f>
        <v>1214</v>
      </c>
      <c r="S132" s="10">
        <f>Daily_Data[[#This Row],[Total_Sales]] / Daily_Data[[#This Row],[Max_rooms]]</f>
        <v>953.85714285714289</v>
      </c>
    </row>
    <row r="133" spans="1:19" x14ac:dyDescent="0.25">
      <c r="A133" s="6">
        <v>45058</v>
      </c>
      <c r="B133" s="20">
        <f>DATE(YEAR(Daily_Data[[#This Row],[Date]]), MONTH(Daily_Data[[#This Row],[Date]]), 1)</f>
        <v>45047</v>
      </c>
      <c r="C133" s="20" t="str">
        <f>TEXT(Daily_Data[[#This Row],[Month_key]],"mmmm")</f>
        <v>May</v>
      </c>
      <c r="D133" s="20" t="str">
        <f>TEXT(Daily_Data[[#This Row],[Month_key]],"yyyy")</f>
        <v>2023</v>
      </c>
      <c r="E133" s="7">
        <v>14</v>
      </c>
      <c r="F133" s="7">
        <v>14</v>
      </c>
      <c r="G133" s="8">
        <f>Daily_Data[[#This Row],[Rooms_Occupied]]/F133</f>
        <v>1</v>
      </c>
      <c r="H133" s="7">
        <v>1756</v>
      </c>
      <c r="I133" s="7">
        <f>Daily_Data[[#This Row],[Room_rate]]*Daily_Data[[#This Row],[Rooms_Occupied]]</f>
        <v>24584</v>
      </c>
      <c r="J133" s="10">
        <f>Daily_Data[[#This Row],[Total_Sales]] * 0.22</f>
        <v>5408.4800000000005</v>
      </c>
      <c r="K133" s="10">
        <f>INDEX(Expense_master[Monthly_Rent],MATCH(Daily_Data[[#This Row],[Month_key]],Expense_master[Month_Key],0)) / INDEX(Expense_master[Days_in_Month],MATCH(Daily_Data[[#This Row],[Month_key]],Expense_master[Month_Key],0))</f>
        <v>6774.1935483870966</v>
      </c>
      <c r="L133" s="10">
        <f>SUMIFS(Expense_master[Staff_Salary],Expense_master[Month_Key],Daily_Data[[#This Row],[Month_key]]) / SUMIFS(Expense_master[Days_in_Month],Expense_master[Month_Key],Daily_Data[[#This Row],[Month_key]])</f>
        <v>2258.0645161290322</v>
      </c>
      <c r="M133" s="10">
        <f>Daily_Data[[#This Row],[Rooms_Occupied]] * (SUMIFS(Expense_master[Housekeeping_Laundy],Expense_master[Month_Key],Daily_Data[[#This Row],[Month_key]]) / SUMIFS(Occupancy_table[Monthly_rooms_Occupied],Occupancy_table[Month_Key],Daily_Data[[#This Row],[Month_key]]))</f>
        <v>384.61538461538458</v>
      </c>
      <c r="N1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1845.4218362282877</v>
      </c>
      <c r="O133" s="10">
        <f>SUMIFS(Expense_master[Monthly_Maintenance],Expense_master[Month_Key],Daily_Data[[#This Row],[Month_key]]) / SUMIFS(Expense_master[Days_in_Month],Expense_master[Month_Key], Daily_Data[[#This Row],[Month_key]])</f>
        <v>645.16129032258061</v>
      </c>
      <c r="P133" s="10">
        <f xml:space="preserve"> Daily_Data[[#This Row],[OTA Commision]] + Daily_Data[[#This Row],[Daily_Rent]]+Daily_Data[[#This Row],[Daily_Staff]]+Daily_Data[[#This Row],[Daily_HK]]+Daily_Data[[#This Row],[Daily_Electricity]] + Daily_Data[[#This Row],[Daily Maintenance]]</f>
        <v>17315.936575682383</v>
      </c>
      <c r="Q133" s="10">
        <f>Daily_Data[[#This Row],[Total_Sales]]-Daily_Data[[#This Row],[Total_Daily_Expense]]</f>
        <v>7268.0634243176173</v>
      </c>
      <c r="R133" s="10">
        <f>Daily_Data[[#This Row],[Total_Sales]]/Daily_Data[[#This Row],[Rooms_Occupied]]</f>
        <v>1756</v>
      </c>
      <c r="S133" s="10">
        <f>Daily_Data[[#This Row],[Total_Sales]] / Daily_Data[[#This Row],[Max_rooms]]</f>
        <v>1756</v>
      </c>
    </row>
    <row r="134" spans="1:19" x14ac:dyDescent="0.25">
      <c r="A134" s="6">
        <v>45059</v>
      </c>
      <c r="B134" s="20">
        <f>DATE(YEAR(Daily_Data[[#This Row],[Date]]), MONTH(Daily_Data[[#This Row],[Date]]), 1)</f>
        <v>45047</v>
      </c>
      <c r="C134" s="20" t="str">
        <f>TEXT(Daily_Data[[#This Row],[Month_key]],"mmmm")</f>
        <v>May</v>
      </c>
      <c r="D134" s="20" t="str">
        <f>TEXT(Daily_Data[[#This Row],[Month_key]],"yyyy")</f>
        <v>2023</v>
      </c>
      <c r="E134" s="7">
        <v>13</v>
      </c>
      <c r="F134" s="7">
        <v>14</v>
      </c>
      <c r="G134" s="8">
        <f>Daily_Data[[#This Row],[Rooms_Occupied]]/F134</f>
        <v>0.9285714285714286</v>
      </c>
      <c r="H134" s="7">
        <v>1113</v>
      </c>
      <c r="I134" s="7">
        <f>Daily_Data[[#This Row],[Room_rate]]*Daily_Data[[#This Row],[Rooms_Occupied]]</f>
        <v>14469</v>
      </c>
      <c r="J134" s="10">
        <f>Daily_Data[[#This Row],[Total_Sales]] * 0.22</f>
        <v>3183.18</v>
      </c>
      <c r="K134" s="10">
        <f>INDEX(Expense_master[Monthly_Rent],MATCH(Daily_Data[[#This Row],[Month_key]],Expense_master[Month_Key],0)) / INDEX(Expense_master[Days_in_Month],MATCH(Daily_Data[[#This Row],[Month_key]],Expense_master[Month_Key],0))</f>
        <v>6774.1935483870966</v>
      </c>
      <c r="L134" s="10">
        <f>SUMIFS(Expense_master[Staff_Salary],Expense_master[Month_Key],Daily_Data[[#This Row],[Month_key]]) / SUMIFS(Expense_master[Days_in_Month],Expense_master[Month_Key],Daily_Data[[#This Row],[Month_key]])</f>
        <v>2258.0645161290322</v>
      </c>
      <c r="M134" s="10">
        <f>Daily_Data[[#This Row],[Rooms_Occupied]] * (SUMIFS(Expense_master[Housekeeping_Laundy],Expense_master[Month_Key],Daily_Data[[#This Row],[Month_key]]) / SUMIFS(Occupancy_table[Monthly_rooms_Occupied],Occupancy_table[Month_Key],Daily_Data[[#This Row],[Month_key]]))</f>
        <v>357.14285714285711</v>
      </c>
      <c r="N1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34" s="10">
        <f>SUMIFS(Expense_master[Monthly_Maintenance],Expense_master[Month_Key],Daily_Data[[#This Row],[Month_key]]) / SUMIFS(Expense_master[Days_in_Month],Expense_master[Month_Key], Daily_Data[[#This Row],[Month_key]])</f>
        <v>645.16129032258061</v>
      </c>
      <c r="P134" s="10">
        <f xml:space="preserve"> Daily_Data[[#This Row],[OTA Commision]] + Daily_Data[[#This Row],[Daily_Rent]]+Daily_Data[[#This Row],[Daily_Staff]]+Daily_Data[[#This Row],[Daily_HK]]+Daily_Data[[#This Row],[Daily_Electricity]] + Daily_Data[[#This Row],[Daily Maintenance]]</f>
        <v>14978.620092165898</v>
      </c>
      <c r="Q134" s="10">
        <f>Daily_Data[[#This Row],[Total_Sales]]-Daily_Data[[#This Row],[Total_Daily_Expense]]</f>
        <v>-509.62009216589831</v>
      </c>
      <c r="R134" s="10">
        <f>Daily_Data[[#This Row],[Total_Sales]]/Daily_Data[[#This Row],[Rooms_Occupied]]</f>
        <v>1113</v>
      </c>
      <c r="S134" s="10">
        <f>Daily_Data[[#This Row],[Total_Sales]] / Daily_Data[[#This Row],[Max_rooms]]</f>
        <v>1033.5</v>
      </c>
    </row>
    <row r="135" spans="1:19" x14ac:dyDescent="0.25">
      <c r="A135" s="6">
        <v>45060</v>
      </c>
      <c r="B135" s="20">
        <f>DATE(YEAR(Daily_Data[[#This Row],[Date]]), MONTH(Daily_Data[[#This Row],[Date]]), 1)</f>
        <v>45047</v>
      </c>
      <c r="C135" s="20" t="str">
        <f>TEXT(Daily_Data[[#This Row],[Month_key]],"mmmm")</f>
        <v>May</v>
      </c>
      <c r="D135" s="20" t="str">
        <f>TEXT(Daily_Data[[#This Row],[Month_key]],"yyyy")</f>
        <v>2023</v>
      </c>
      <c r="E135" s="7">
        <v>12</v>
      </c>
      <c r="F135" s="7">
        <v>14</v>
      </c>
      <c r="G135" s="8">
        <f>Daily_Data[[#This Row],[Rooms_Occupied]]/F135</f>
        <v>0.8571428571428571</v>
      </c>
      <c r="H135" s="7">
        <v>1895</v>
      </c>
      <c r="I135" s="7">
        <f>Daily_Data[[#This Row],[Room_rate]]*Daily_Data[[#This Row],[Rooms_Occupied]]</f>
        <v>22740</v>
      </c>
      <c r="J135" s="10">
        <f>Daily_Data[[#This Row],[Total_Sales]] * 0.22</f>
        <v>5002.8</v>
      </c>
      <c r="K135" s="10">
        <f>INDEX(Expense_master[Monthly_Rent],MATCH(Daily_Data[[#This Row],[Month_key]],Expense_master[Month_Key],0)) / INDEX(Expense_master[Days_in_Month],MATCH(Daily_Data[[#This Row],[Month_key]],Expense_master[Month_Key],0))</f>
        <v>6774.1935483870966</v>
      </c>
      <c r="L135" s="10">
        <f>SUMIFS(Expense_master[Staff_Salary],Expense_master[Month_Key],Daily_Data[[#This Row],[Month_key]]) / SUMIFS(Expense_master[Days_in_Month],Expense_master[Month_Key],Daily_Data[[#This Row],[Month_key]])</f>
        <v>2258.0645161290322</v>
      </c>
      <c r="M135" s="10">
        <f>Daily_Data[[#This Row],[Rooms_Occupied]] * (SUMIFS(Expense_master[Housekeeping_Laundy],Expense_master[Month_Key],Daily_Data[[#This Row],[Month_key]]) / SUMIFS(Occupancy_table[Monthly_rooms_Occupied],Occupancy_table[Month_Key],Daily_Data[[#This Row],[Month_key]]))</f>
        <v>329.67032967032964</v>
      </c>
      <c r="N1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35" s="10">
        <f>SUMIFS(Expense_master[Monthly_Maintenance],Expense_master[Month_Key],Daily_Data[[#This Row],[Month_key]]) / SUMIFS(Expense_master[Days_in_Month],Expense_master[Month_Key], Daily_Data[[#This Row],[Month_key]])</f>
        <v>645.16129032258061</v>
      </c>
      <c r="P135" s="10">
        <f xml:space="preserve"> Daily_Data[[#This Row],[OTA Commision]] + Daily_Data[[#This Row],[Daily_Rent]]+Daily_Data[[#This Row],[Daily_Staff]]+Daily_Data[[#This Row],[Daily_HK]]+Daily_Data[[#This Row],[Daily_Electricity]] + Daily_Data[[#This Row],[Daily Maintenance]]</f>
        <v>16686.223608649416</v>
      </c>
      <c r="Q135" s="10">
        <f>Daily_Data[[#This Row],[Total_Sales]]-Daily_Data[[#This Row],[Total_Daily_Expense]]</f>
        <v>6053.7763913505842</v>
      </c>
      <c r="R135" s="10">
        <f>Daily_Data[[#This Row],[Total_Sales]]/Daily_Data[[#This Row],[Rooms_Occupied]]</f>
        <v>1895</v>
      </c>
      <c r="S135" s="10">
        <f>Daily_Data[[#This Row],[Total_Sales]] / Daily_Data[[#This Row],[Max_rooms]]</f>
        <v>1624.2857142857142</v>
      </c>
    </row>
    <row r="136" spans="1:19" x14ac:dyDescent="0.25">
      <c r="A136" s="6">
        <v>45061</v>
      </c>
      <c r="B136" s="20">
        <f>DATE(YEAR(Daily_Data[[#This Row],[Date]]), MONTH(Daily_Data[[#This Row],[Date]]), 1)</f>
        <v>45047</v>
      </c>
      <c r="C136" s="20" t="str">
        <f>TEXT(Daily_Data[[#This Row],[Month_key]],"mmmm")</f>
        <v>May</v>
      </c>
      <c r="D136" s="20" t="str">
        <f>TEXT(Daily_Data[[#This Row],[Month_key]],"yyyy")</f>
        <v>2023</v>
      </c>
      <c r="E136" s="7">
        <v>12</v>
      </c>
      <c r="F136" s="7">
        <v>14</v>
      </c>
      <c r="G136" s="8">
        <f>Daily_Data[[#This Row],[Rooms_Occupied]]/F136</f>
        <v>0.8571428571428571</v>
      </c>
      <c r="H136" s="7">
        <v>1058</v>
      </c>
      <c r="I136" s="7">
        <f>Daily_Data[[#This Row],[Room_rate]]*Daily_Data[[#This Row],[Rooms_Occupied]]</f>
        <v>12696</v>
      </c>
      <c r="J136" s="10">
        <f>Daily_Data[[#This Row],[Total_Sales]] * 0.22</f>
        <v>2793.12</v>
      </c>
      <c r="K136" s="10">
        <f>INDEX(Expense_master[Monthly_Rent],MATCH(Daily_Data[[#This Row],[Month_key]],Expense_master[Month_Key],0)) / INDEX(Expense_master[Days_in_Month],MATCH(Daily_Data[[#This Row],[Month_key]],Expense_master[Month_Key],0))</f>
        <v>6774.1935483870966</v>
      </c>
      <c r="L136" s="10">
        <f>SUMIFS(Expense_master[Staff_Salary],Expense_master[Month_Key],Daily_Data[[#This Row],[Month_key]]) / SUMIFS(Expense_master[Days_in_Month],Expense_master[Month_Key],Daily_Data[[#This Row],[Month_key]])</f>
        <v>2258.0645161290322</v>
      </c>
      <c r="M136" s="10">
        <f>Daily_Data[[#This Row],[Rooms_Occupied]] * (SUMIFS(Expense_master[Housekeeping_Laundy],Expense_master[Month_Key],Daily_Data[[#This Row],[Month_key]]) / SUMIFS(Occupancy_table[Monthly_rooms_Occupied],Occupancy_table[Month_Key],Daily_Data[[#This Row],[Month_key]]))</f>
        <v>329.67032967032964</v>
      </c>
      <c r="N1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36" s="10">
        <f>SUMIFS(Expense_master[Monthly_Maintenance],Expense_master[Month_Key],Daily_Data[[#This Row],[Month_key]]) / SUMIFS(Expense_master[Days_in_Month],Expense_master[Month_Key], Daily_Data[[#This Row],[Month_key]])</f>
        <v>645.16129032258061</v>
      </c>
      <c r="P136" s="10">
        <f xml:space="preserve"> Daily_Data[[#This Row],[OTA Commision]] + Daily_Data[[#This Row],[Daily_Rent]]+Daily_Data[[#This Row],[Daily_Staff]]+Daily_Data[[#This Row],[Daily_HK]]+Daily_Data[[#This Row],[Daily_Electricity]] + Daily_Data[[#This Row],[Daily Maintenance]]</f>
        <v>14476.543608649416</v>
      </c>
      <c r="Q136" s="10">
        <f>Daily_Data[[#This Row],[Total_Sales]]-Daily_Data[[#This Row],[Total_Daily_Expense]]</f>
        <v>-1780.5436086494155</v>
      </c>
      <c r="R136" s="10">
        <f>Daily_Data[[#This Row],[Total_Sales]]/Daily_Data[[#This Row],[Rooms_Occupied]]</f>
        <v>1058</v>
      </c>
      <c r="S136" s="10">
        <f>Daily_Data[[#This Row],[Total_Sales]] / Daily_Data[[#This Row],[Max_rooms]]</f>
        <v>906.85714285714289</v>
      </c>
    </row>
    <row r="137" spans="1:19" x14ac:dyDescent="0.25">
      <c r="A137" s="6">
        <v>45062</v>
      </c>
      <c r="B137" s="20">
        <f>DATE(YEAR(Daily_Data[[#This Row],[Date]]), MONTH(Daily_Data[[#This Row],[Date]]), 1)</f>
        <v>45047</v>
      </c>
      <c r="C137" s="20" t="str">
        <f>TEXT(Daily_Data[[#This Row],[Month_key]],"mmmm")</f>
        <v>May</v>
      </c>
      <c r="D137" s="20" t="str">
        <f>TEXT(Daily_Data[[#This Row],[Month_key]],"yyyy")</f>
        <v>2023</v>
      </c>
      <c r="E137" s="7">
        <v>14</v>
      </c>
      <c r="F137" s="7">
        <v>14</v>
      </c>
      <c r="G137" s="8">
        <f>Daily_Data[[#This Row],[Rooms_Occupied]]/F137</f>
        <v>1</v>
      </c>
      <c r="H137" s="7">
        <v>1226</v>
      </c>
      <c r="I137" s="7">
        <f>Daily_Data[[#This Row],[Room_rate]]*Daily_Data[[#This Row],[Rooms_Occupied]]</f>
        <v>17164</v>
      </c>
      <c r="J137" s="10">
        <f>Daily_Data[[#This Row],[Total_Sales]] * 0.22</f>
        <v>3776.08</v>
      </c>
      <c r="K137" s="10">
        <f>INDEX(Expense_master[Monthly_Rent],MATCH(Daily_Data[[#This Row],[Month_key]],Expense_master[Month_Key],0)) / INDEX(Expense_master[Days_in_Month],MATCH(Daily_Data[[#This Row],[Month_key]],Expense_master[Month_Key],0))</f>
        <v>6774.1935483870966</v>
      </c>
      <c r="L137" s="10">
        <f>SUMIFS(Expense_master[Staff_Salary],Expense_master[Month_Key],Daily_Data[[#This Row],[Month_key]]) / SUMIFS(Expense_master[Days_in_Month],Expense_master[Month_Key],Daily_Data[[#This Row],[Month_key]])</f>
        <v>2258.0645161290322</v>
      </c>
      <c r="M137" s="10">
        <f>Daily_Data[[#This Row],[Rooms_Occupied]] * (SUMIFS(Expense_master[Housekeeping_Laundy],Expense_master[Month_Key],Daily_Data[[#This Row],[Month_key]]) / SUMIFS(Occupancy_table[Monthly_rooms_Occupied],Occupancy_table[Month_Key],Daily_Data[[#This Row],[Month_key]]))</f>
        <v>384.61538461538458</v>
      </c>
      <c r="N1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1845.4218362282877</v>
      </c>
      <c r="O137" s="10">
        <f>SUMIFS(Expense_master[Monthly_Maintenance],Expense_master[Month_Key],Daily_Data[[#This Row],[Month_key]]) / SUMIFS(Expense_master[Days_in_Month],Expense_master[Month_Key], Daily_Data[[#This Row],[Month_key]])</f>
        <v>645.16129032258061</v>
      </c>
      <c r="P137" s="10">
        <f xml:space="preserve"> Daily_Data[[#This Row],[OTA Commision]] + Daily_Data[[#This Row],[Daily_Rent]]+Daily_Data[[#This Row],[Daily_Staff]]+Daily_Data[[#This Row],[Daily_HK]]+Daily_Data[[#This Row],[Daily_Electricity]] + Daily_Data[[#This Row],[Daily Maintenance]]</f>
        <v>15683.536575682383</v>
      </c>
      <c r="Q137" s="10">
        <f>Daily_Data[[#This Row],[Total_Sales]]-Daily_Data[[#This Row],[Total_Daily_Expense]]</f>
        <v>1480.463424317617</v>
      </c>
      <c r="R137" s="10">
        <f>Daily_Data[[#This Row],[Total_Sales]]/Daily_Data[[#This Row],[Rooms_Occupied]]</f>
        <v>1226</v>
      </c>
      <c r="S137" s="10">
        <f>Daily_Data[[#This Row],[Total_Sales]] / Daily_Data[[#This Row],[Max_rooms]]</f>
        <v>1226</v>
      </c>
    </row>
    <row r="138" spans="1:19" x14ac:dyDescent="0.25">
      <c r="A138" s="6">
        <v>45063</v>
      </c>
      <c r="B138" s="20">
        <f>DATE(YEAR(Daily_Data[[#This Row],[Date]]), MONTH(Daily_Data[[#This Row],[Date]]), 1)</f>
        <v>45047</v>
      </c>
      <c r="C138" s="20" t="str">
        <f>TEXT(Daily_Data[[#This Row],[Month_key]],"mmmm")</f>
        <v>May</v>
      </c>
      <c r="D138" s="20" t="str">
        <f>TEXT(Daily_Data[[#This Row],[Month_key]],"yyyy")</f>
        <v>2023</v>
      </c>
      <c r="E138" s="7">
        <v>10</v>
      </c>
      <c r="F138" s="7">
        <v>14</v>
      </c>
      <c r="G138" s="8">
        <f>Daily_Data[[#This Row],[Rooms_Occupied]]/F138</f>
        <v>0.7142857142857143</v>
      </c>
      <c r="H138" s="7">
        <v>1531</v>
      </c>
      <c r="I138" s="7">
        <f>Daily_Data[[#This Row],[Room_rate]]*Daily_Data[[#This Row],[Rooms_Occupied]]</f>
        <v>15310</v>
      </c>
      <c r="J138" s="10">
        <f>Daily_Data[[#This Row],[Total_Sales]] * 0.22</f>
        <v>3368.2</v>
      </c>
      <c r="K138" s="10">
        <f>INDEX(Expense_master[Monthly_Rent],MATCH(Daily_Data[[#This Row],[Month_key]],Expense_master[Month_Key],0)) / INDEX(Expense_master[Days_in_Month],MATCH(Daily_Data[[#This Row],[Month_key]],Expense_master[Month_Key],0))</f>
        <v>6774.1935483870966</v>
      </c>
      <c r="L138" s="10">
        <f>SUMIFS(Expense_master[Staff_Salary],Expense_master[Month_Key],Daily_Data[[#This Row],[Month_key]]) / SUMIFS(Expense_master[Days_in_Month],Expense_master[Month_Key],Daily_Data[[#This Row],[Month_key]])</f>
        <v>2258.0645161290322</v>
      </c>
      <c r="M138" s="10">
        <f>Daily_Data[[#This Row],[Rooms_Occupied]] * (SUMIFS(Expense_master[Housekeeping_Laundy],Expense_master[Month_Key],Daily_Data[[#This Row],[Month_key]]) / SUMIFS(Occupancy_table[Monthly_rooms_Occupied],Occupancy_table[Month_Key],Daily_Data[[#This Row],[Month_key]]))</f>
        <v>274.72527472527469</v>
      </c>
      <c r="N1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1507.2460120524638</v>
      </c>
      <c r="O138" s="10">
        <f>SUMIFS(Expense_master[Monthly_Maintenance],Expense_master[Month_Key],Daily_Data[[#This Row],[Month_key]]) / SUMIFS(Expense_master[Days_in_Month],Expense_master[Month_Key], Daily_Data[[#This Row],[Month_key]])</f>
        <v>645.16129032258061</v>
      </c>
      <c r="P138" s="10">
        <f xml:space="preserve"> Daily_Data[[#This Row],[OTA Commision]] + Daily_Data[[#This Row],[Daily_Rent]]+Daily_Data[[#This Row],[Daily_Staff]]+Daily_Data[[#This Row],[Daily_HK]]+Daily_Data[[#This Row],[Daily_Electricity]] + Daily_Data[[#This Row],[Daily Maintenance]]</f>
        <v>14827.590641616449</v>
      </c>
      <c r="Q138" s="10">
        <f>Daily_Data[[#This Row],[Total_Sales]]-Daily_Data[[#This Row],[Total_Daily_Expense]]</f>
        <v>482.40935838355108</v>
      </c>
      <c r="R138" s="10">
        <f>Daily_Data[[#This Row],[Total_Sales]]/Daily_Data[[#This Row],[Rooms_Occupied]]</f>
        <v>1531</v>
      </c>
      <c r="S138" s="10">
        <f>Daily_Data[[#This Row],[Total_Sales]] / Daily_Data[[#This Row],[Max_rooms]]</f>
        <v>1093.5714285714287</v>
      </c>
    </row>
    <row r="139" spans="1:19" x14ac:dyDescent="0.25">
      <c r="A139" s="6">
        <v>45064</v>
      </c>
      <c r="B139" s="20">
        <f>DATE(YEAR(Daily_Data[[#This Row],[Date]]), MONTH(Daily_Data[[#This Row],[Date]]), 1)</f>
        <v>45047</v>
      </c>
      <c r="C139" s="20" t="str">
        <f>TEXT(Daily_Data[[#This Row],[Month_key]],"mmmm")</f>
        <v>May</v>
      </c>
      <c r="D139" s="20" t="str">
        <f>TEXT(Daily_Data[[#This Row],[Month_key]],"yyyy")</f>
        <v>2023</v>
      </c>
      <c r="E139" s="7">
        <v>9</v>
      </c>
      <c r="F139" s="7">
        <v>14</v>
      </c>
      <c r="G139" s="8">
        <f>Daily_Data[[#This Row],[Rooms_Occupied]]/F139</f>
        <v>0.6428571428571429</v>
      </c>
      <c r="H139" s="7">
        <v>1979</v>
      </c>
      <c r="I139" s="7">
        <f>Daily_Data[[#This Row],[Room_rate]]*Daily_Data[[#This Row],[Rooms_Occupied]]</f>
        <v>17811</v>
      </c>
      <c r="J139" s="10">
        <f>Daily_Data[[#This Row],[Total_Sales]] * 0.22</f>
        <v>3918.42</v>
      </c>
      <c r="K139" s="10">
        <f>INDEX(Expense_master[Monthly_Rent],MATCH(Daily_Data[[#This Row],[Month_key]],Expense_master[Month_Key],0)) / INDEX(Expense_master[Days_in_Month],MATCH(Daily_Data[[#This Row],[Month_key]],Expense_master[Month_Key],0))</f>
        <v>6774.1935483870966</v>
      </c>
      <c r="L139" s="10">
        <f>SUMIFS(Expense_master[Staff_Salary],Expense_master[Month_Key],Daily_Data[[#This Row],[Month_key]]) / SUMIFS(Expense_master[Days_in_Month],Expense_master[Month_Key],Daily_Data[[#This Row],[Month_key]])</f>
        <v>2258.0645161290322</v>
      </c>
      <c r="M139" s="10">
        <f>Daily_Data[[#This Row],[Rooms_Occupied]] * (SUMIFS(Expense_master[Housekeeping_Laundy],Expense_master[Month_Key],Daily_Data[[#This Row],[Month_key]]) / SUMIFS(Occupancy_table[Monthly_rooms_Occupied],Occupancy_table[Month_Key],Daily_Data[[#This Row],[Month_key]]))</f>
        <v>247.25274725274724</v>
      </c>
      <c r="N1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1422.7020560085077</v>
      </c>
      <c r="O139" s="10">
        <f>SUMIFS(Expense_master[Monthly_Maintenance],Expense_master[Month_Key],Daily_Data[[#This Row],[Month_key]]) / SUMIFS(Expense_master[Days_in_Month],Expense_master[Month_Key], Daily_Data[[#This Row],[Month_key]])</f>
        <v>645.16129032258061</v>
      </c>
      <c r="P139" s="10">
        <f xml:space="preserve"> Daily_Data[[#This Row],[OTA Commision]] + Daily_Data[[#This Row],[Daily_Rent]]+Daily_Data[[#This Row],[Daily_Staff]]+Daily_Data[[#This Row],[Daily_HK]]+Daily_Data[[#This Row],[Daily_Electricity]] + Daily_Data[[#This Row],[Daily Maintenance]]</f>
        <v>15265.794158099965</v>
      </c>
      <c r="Q139" s="10">
        <f>Daily_Data[[#This Row],[Total_Sales]]-Daily_Data[[#This Row],[Total_Daily_Expense]]</f>
        <v>2545.205841900035</v>
      </c>
      <c r="R139" s="10">
        <f>Daily_Data[[#This Row],[Total_Sales]]/Daily_Data[[#This Row],[Rooms_Occupied]]</f>
        <v>1979</v>
      </c>
      <c r="S139" s="10">
        <f>Daily_Data[[#This Row],[Total_Sales]] / Daily_Data[[#This Row],[Max_rooms]]</f>
        <v>1272.2142857142858</v>
      </c>
    </row>
    <row r="140" spans="1:19" x14ac:dyDescent="0.25">
      <c r="A140" s="6">
        <v>45065</v>
      </c>
      <c r="B140" s="20">
        <f>DATE(YEAR(Daily_Data[[#This Row],[Date]]), MONTH(Daily_Data[[#This Row],[Date]]), 1)</f>
        <v>45047</v>
      </c>
      <c r="C140" s="20" t="str">
        <f>TEXT(Daily_Data[[#This Row],[Month_key]],"mmmm")</f>
        <v>May</v>
      </c>
      <c r="D140" s="20" t="str">
        <f>TEXT(Daily_Data[[#This Row],[Month_key]],"yyyy")</f>
        <v>2023</v>
      </c>
      <c r="E140" s="7">
        <v>13</v>
      </c>
      <c r="F140" s="7">
        <v>14</v>
      </c>
      <c r="G140" s="8">
        <f>Daily_Data[[#This Row],[Rooms_Occupied]]/F140</f>
        <v>0.9285714285714286</v>
      </c>
      <c r="H140" s="7">
        <v>1842</v>
      </c>
      <c r="I140" s="7">
        <f>Daily_Data[[#This Row],[Room_rate]]*Daily_Data[[#This Row],[Rooms_Occupied]]</f>
        <v>23946</v>
      </c>
      <c r="J140" s="10">
        <f>Daily_Data[[#This Row],[Total_Sales]] * 0.22</f>
        <v>5268.12</v>
      </c>
      <c r="K140" s="10">
        <f>INDEX(Expense_master[Monthly_Rent],MATCH(Daily_Data[[#This Row],[Month_key]],Expense_master[Month_Key],0)) / INDEX(Expense_master[Days_in_Month],MATCH(Daily_Data[[#This Row],[Month_key]],Expense_master[Month_Key],0))</f>
        <v>6774.1935483870966</v>
      </c>
      <c r="L140" s="10">
        <f>SUMIFS(Expense_master[Staff_Salary],Expense_master[Month_Key],Daily_Data[[#This Row],[Month_key]]) / SUMIFS(Expense_master[Days_in_Month],Expense_master[Month_Key],Daily_Data[[#This Row],[Month_key]])</f>
        <v>2258.0645161290322</v>
      </c>
      <c r="M140" s="10">
        <f>Daily_Data[[#This Row],[Rooms_Occupied]] * (SUMIFS(Expense_master[Housekeeping_Laundy],Expense_master[Month_Key],Daily_Data[[#This Row],[Month_key]]) / SUMIFS(Occupancy_table[Monthly_rooms_Occupied],Occupancy_table[Month_Key],Daily_Data[[#This Row],[Month_key]]))</f>
        <v>357.14285714285711</v>
      </c>
      <c r="N1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40" s="10">
        <f>SUMIFS(Expense_master[Monthly_Maintenance],Expense_master[Month_Key],Daily_Data[[#This Row],[Month_key]]) / SUMIFS(Expense_master[Days_in_Month],Expense_master[Month_Key], Daily_Data[[#This Row],[Month_key]])</f>
        <v>645.16129032258061</v>
      </c>
      <c r="P140" s="10">
        <f xml:space="preserve"> Daily_Data[[#This Row],[OTA Commision]] + Daily_Data[[#This Row],[Daily_Rent]]+Daily_Data[[#This Row],[Daily_Staff]]+Daily_Data[[#This Row],[Daily_HK]]+Daily_Data[[#This Row],[Daily_Electricity]] + Daily_Data[[#This Row],[Daily Maintenance]]</f>
        <v>17063.560092165899</v>
      </c>
      <c r="Q140" s="10">
        <f>Daily_Data[[#This Row],[Total_Sales]]-Daily_Data[[#This Row],[Total_Daily_Expense]]</f>
        <v>6882.4399078341012</v>
      </c>
      <c r="R140" s="10">
        <f>Daily_Data[[#This Row],[Total_Sales]]/Daily_Data[[#This Row],[Rooms_Occupied]]</f>
        <v>1842</v>
      </c>
      <c r="S140" s="10">
        <f>Daily_Data[[#This Row],[Total_Sales]] / Daily_Data[[#This Row],[Max_rooms]]</f>
        <v>1710.4285714285713</v>
      </c>
    </row>
    <row r="141" spans="1:19" x14ac:dyDescent="0.25">
      <c r="A141" s="6">
        <v>45066</v>
      </c>
      <c r="B141" s="20">
        <f>DATE(YEAR(Daily_Data[[#This Row],[Date]]), MONTH(Daily_Data[[#This Row],[Date]]), 1)</f>
        <v>45047</v>
      </c>
      <c r="C141" s="20" t="str">
        <f>TEXT(Daily_Data[[#This Row],[Month_key]],"mmmm")</f>
        <v>May</v>
      </c>
      <c r="D141" s="20" t="str">
        <f>TEXT(Daily_Data[[#This Row],[Month_key]],"yyyy")</f>
        <v>2023</v>
      </c>
      <c r="E141" s="7">
        <v>9</v>
      </c>
      <c r="F141" s="7">
        <v>14</v>
      </c>
      <c r="G141" s="8">
        <f>Daily_Data[[#This Row],[Rooms_Occupied]]/F141</f>
        <v>0.6428571428571429</v>
      </c>
      <c r="H141" s="7">
        <v>1182</v>
      </c>
      <c r="I141" s="7">
        <f>Daily_Data[[#This Row],[Room_rate]]*Daily_Data[[#This Row],[Rooms_Occupied]]</f>
        <v>10638</v>
      </c>
      <c r="J141" s="10">
        <f>Daily_Data[[#This Row],[Total_Sales]] * 0.22</f>
        <v>2340.36</v>
      </c>
      <c r="K141" s="10">
        <f>INDEX(Expense_master[Monthly_Rent],MATCH(Daily_Data[[#This Row],[Month_key]],Expense_master[Month_Key],0)) / INDEX(Expense_master[Days_in_Month],MATCH(Daily_Data[[#This Row],[Month_key]],Expense_master[Month_Key],0))</f>
        <v>6774.1935483870966</v>
      </c>
      <c r="L141" s="10">
        <f>SUMIFS(Expense_master[Staff_Salary],Expense_master[Month_Key],Daily_Data[[#This Row],[Month_key]]) / SUMIFS(Expense_master[Days_in_Month],Expense_master[Month_Key],Daily_Data[[#This Row],[Month_key]])</f>
        <v>2258.0645161290322</v>
      </c>
      <c r="M141" s="10">
        <f>Daily_Data[[#This Row],[Rooms_Occupied]] * (SUMIFS(Expense_master[Housekeeping_Laundy],Expense_master[Month_Key],Daily_Data[[#This Row],[Month_key]]) / SUMIFS(Occupancy_table[Monthly_rooms_Occupied],Occupancy_table[Month_Key],Daily_Data[[#This Row],[Month_key]]))</f>
        <v>247.25274725274724</v>
      </c>
      <c r="N1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1422.7020560085077</v>
      </c>
      <c r="O141" s="10">
        <f>SUMIFS(Expense_master[Monthly_Maintenance],Expense_master[Month_Key],Daily_Data[[#This Row],[Month_key]]) / SUMIFS(Expense_master[Days_in_Month],Expense_master[Month_Key], Daily_Data[[#This Row],[Month_key]])</f>
        <v>645.16129032258061</v>
      </c>
      <c r="P141" s="10">
        <f xml:space="preserve"> Daily_Data[[#This Row],[OTA Commision]] + Daily_Data[[#This Row],[Daily_Rent]]+Daily_Data[[#This Row],[Daily_Staff]]+Daily_Data[[#This Row],[Daily_HK]]+Daily_Data[[#This Row],[Daily_Electricity]] + Daily_Data[[#This Row],[Daily Maintenance]]</f>
        <v>13687.734158099965</v>
      </c>
      <c r="Q141" s="10">
        <f>Daily_Data[[#This Row],[Total_Sales]]-Daily_Data[[#This Row],[Total_Daily_Expense]]</f>
        <v>-3049.7341580999655</v>
      </c>
      <c r="R141" s="10">
        <f>Daily_Data[[#This Row],[Total_Sales]]/Daily_Data[[#This Row],[Rooms_Occupied]]</f>
        <v>1182</v>
      </c>
      <c r="S141" s="10">
        <f>Daily_Data[[#This Row],[Total_Sales]] / Daily_Data[[#This Row],[Max_rooms]]</f>
        <v>759.85714285714289</v>
      </c>
    </row>
    <row r="142" spans="1:19" x14ac:dyDescent="0.25">
      <c r="A142" s="6">
        <v>45067</v>
      </c>
      <c r="B142" s="20">
        <f>DATE(YEAR(Daily_Data[[#This Row],[Date]]), MONTH(Daily_Data[[#This Row],[Date]]), 1)</f>
        <v>45047</v>
      </c>
      <c r="C142" s="20" t="str">
        <f>TEXT(Daily_Data[[#This Row],[Month_key]],"mmmm")</f>
        <v>May</v>
      </c>
      <c r="D142" s="20" t="str">
        <f>TEXT(Daily_Data[[#This Row],[Month_key]],"yyyy")</f>
        <v>2023</v>
      </c>
      <c r="E142" s="7">
        <v>12</v>
      </c>
      <c r="F142" s="7">
        <v>14</v>
      </c>
      <c r="G142" s="8">
        <f>Daily_Data[[#This Row],[Rooms_Occupied]]/F142</f>
        <v>0.8571428571428571</v>
      </c>
      <c r="H142" s="7">
        <v>1428</v>
      </c>
      <c r="I142" s="7">
        <f>Daily_Data[[#This Row],[Room_rate]]*Daily_Data[[#This Row],[Rooms_Occupied]]</f>
        <v>17136</v>
      </c>
      <c r="J142" s="10">
        <f>Daily_Data[[#This Row],[Total_Sales]] * 0.22</f>
        <v>3769.92</v>
      </c>
      <c r="K142" s="10">
        <f>INDEX(Expense_master[Monthly_Rent],MATCH(Daily_Data[[#This Row],[Month_key]],Expense_master[Month_Key],0)) / INDEX(Expense_master[Days_in_Month],MATCH(Daily_Data[[#This Row],[Month_key]],Expense_master[Month_Key],0))</f>
        <v>6774.1935483870966</v>
      </c>
      <c r="L142" s="10">
        <f>SUMIFS(Expense_master[Staff_Salary],Expense_master[Month_Key],Daily_Data[[#This Row],[Month_key]]) / SUMIFS(Expense_master[Days_in_Month],Expense_master[Month_Key],Daily_Data[[#This Row],[Month_key]])</f>
        <v>2258.0645161290322</v>
      </c>
      <c r="M142" s="10">
        <f>Daily_Data[[#This Row],[Rooms_Occupied]] * (SUMIFS(Expense_master[Housekeeping_Laundy],Expense_master[Month_Key],Daily_Data[[#This Row],[Month_key]]) / SUMIFS(Occupancy_table[Monthly_rooms_Occupied],Occupancy_table[Month_Key],Daily_Data[[#This Row],[Month_key]]))</f>
        <v>329.67032967032964</v>
      </c>
      <c r="N1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42" s="10">
        <f>SUMIFS(Expense_master[Monthly_Maintenance],Expense_master[Month_Key],Daily_Data[[#This Row],[Month_key]]) / SUMIFS(Expense_master[Days_in_Month],Expense_master[Month_Key], Daily_Data[[#This Row],[Month_key]])</f>
        <v>645.16129032258061</v>
      </c>
      <c r="P142" s="10">
        <f xml:space="preserve"> Daily_Data[[#This Row],[OTA Commision]] + Daily_Data[[#This Row],[Daily_Rent]]+Daily_Data[[#This Row],[Daily_Staff]]+Daily_Data[[#This Row],[Daily_HK]]+Daily_Data[[#This Row],[Daily_Electricity]] + Daily_Data[[#This Row],[Daily Maintenance]]</f>
        <v>15453.343608649415</v>
      </c>
      <c r="Q142" s="10">
        <f>Daily_Data[[#This Row],[Total_Sales]]-Daily_Data[[#This Row],[Total_Daily_Expense]]</f>
        <v>1682.6563913505852</v>
      </c>
      <c r="R142" s="10">
        <f>Daily_Data[[#This Row],[Total_Sales]]/Daily_Data[[#This Row],[Rooms_Occupied]]</f>
        <v>1428</v>
      </c>
      <c r="S142" s="10">
        <f>Daily_Data[[#This Row],[Total_Sales]] / Daily_Data[[#This Row],[Max_rooms]]</f>
        <v>1224</v>
      </c>
    </row>
    <row r="143" spans="1:19" x14ac:dyDescent="0.25">
      <c r="A143" s="6">
        <v>45068</v>
      </c>
      <c r="B143" s="20">
        <f>DATE(YEAR(Daily_Data[[#This Row],[Date]]), MONTH(Daily_Data[[#This Row],[Date]]), 1)</f>
        <v>45047</v>
      </c>
      <c r="C143" s="20" t="str">
        <f>TEXT(Daily_Data[[#This Row],[Month_key]],"mmmm")</f>
        <v>May</v>
      </c>
      <c r="D143" s="20" t="str">
        <f>TEXT(Daily_Data[[#This Row],[Month_key]],"yyyy")</f>
        <v>2023</v>
      </c>
      <c r="E143" s="7">
        <v>10</v>
      </c>
      <c r="F143" s="7">
        <v>14</v>
      </c>
      <c r="G143" s="8">
        <f>Daily_Data[[#This Row],[Rooms_Occupied]]/F143</f>
        <v>0.7142857142857143</v>
      </c>
      <c r="H143" s="7">
        <v>1960</v>
      </c>
      <c r="I143" s="7">
        <f>Daily_Data[[#This Row],[Room_rate]]*Daily_Data[[#This Row],[Rooms_Occupied]]</f>
        <v>19600</v>
      </c>
      <c r="J143" s="10">
        <f>Daily_Data[[#This Row],[Total_Sales]] * 0.22</f>
        <v>4312</v>
      </c>
      <c r="K143" s="10">
        <f>INDEX(Expense_master[Monthly_Rent],MATCH(Daily_Data[[#This Row],[Month_key]],Expense_master[Month_Key],0)) / INDEX(Expense_master[Days_in_Month],MATCH(Daily_Data[[#This Row],[Month_key]],Expense_master[Month_Key],0))</f>
        <v>6774.1935483870966</v>
      </c>
      <c r="L143" s="10">
        <f>SUMIFS(Expense_master[Staff_Salary],Expense_master[Month_Key],Daily_Data[[#This Row],[Month_key]]) / SUMIFS(Expense_master[Days_in_Month],Expense_master[Month_Key],Daily_Data[[#This Row],[Month_key]])</f>
        <v>2258.0645161290322</v>
      </c>
      <c r="M143" s="10">
        <f>Daily_Data[[#This Row],[Rooms_Occupied]] * (SUMIFS(Expense_master[Housekeeping_Laundy],Expense_master[Month_Key],Daily_Data[[#This Row],[Month_key]]) / SUMIFS(Occupancy_table[Monthly_rooms_Occupied],Occupancy_table[Month_Key],Daily_Data[[#This Row],[Month_key]]))</f>
        <v>274.72527472527469</v>
      </c>
      <c r="N1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1507.2460120524638</v>
      </c>
      <c r="O143" s="10">
        <f>SUMIFS(Expense_master[Monthly_Maintenance],Expense_master[Month_Key],Daily_Data[[#This Row],[Month_key]]) / SUMIFS(Expense_master[Days_in_Month],Expense_master[Month_Key], Daily_Data[[#This Row],[Month_key]])</f>
        <v>645.16129032258061</v>
      </c>
      <c r="P143" s="10">
        <f xml:space="preserve"> Daily_Data[[#This Row],[OTA Commision]] + Daily_Data[[#This Row],[Daily_Rent]]+Daily_Data[[#This Row],[Daily_Staff]]+Daily_Data[[#This Row],[Daily_HK]]+Daily_Data[[#This Row],[Daily_Electricity]] + Daily_Data[[#This Row],[Daily Maintenance]]</f>
        <v>15771.390641616448</v>
      </c>
      <c r="Q143" s="10">
        <f>Daily_Data[[#This Row],[Total_Sales]]-Daily_Data[[#This Row],[Total_Daily_Expense]]</f>
        <v>3828.6093583835518</v>
      </c>
      <c r="R143" s="10">
        <f>Daily_Data[[#This Row],[Total_Sales]]/Daily_Data[[#This Row],[Rooms_Occupied]]</f>
        <v>1960</v>
      </c>
      <c r="S143" s="10">
        <f>Daily_Data[[#This Row],[Total_Sales]] / Daily_Data[[#This Row],[Max_rooms]]</f>
        <v>1400</v>
      </c>
    </row>
    <row r="144" spans="1:19" x14ac:dyDescent="0.25">
      <c r="A144" s="6">
        <v>45069</v>
      </c>
      <c r="B144" s="20">
        <f>DATE(YEAR(Daily_Data[[#This Row],[Date]]), MONTH(Daily_Data[[#This Row],[Date]]), 1)</f>
        <v>45047</v>
      </c>
      <c r="C144" s="20" t="str">
        <f>TEXT(Daily_Data[[#This Row],[Month_key]],"mmmm")</f>
        <v>May</v>
      </c>
      <c r="D144" s="20" t="str">
        <f>TEXT(Daily_Data[[#This Row],[Month_key]],"yyyy")</f>
        <v>2023</v>
      </c>
      <c r="E144" s="7">
        <v>10</v>
      </c>
      <c r="F144" s="7">
        <v>14</v>
      </c>
      <c r="G144" s="8">
        <f>Daily_Data[[#This Row],[Rooms_Occupied]]/F144</f>
        <v>0.7142857142857143</v>
      </c>
      <c r="H144" s="7">
        <v>1122</v>
      </c>
      <c r="I144" s="7">
        <f>Daily_Data[[#This Row],[Room_rate]]*Daily_Data[[#This Row],[Rooms_Occupied]]</f>
        <v>11220</v>
      </c>
      <c r="J144" s="10">
        <f>Daily_Data[[#This Row],[Total_Sales]] * 0.22</f>
        <v>2468.4</v>
      </c>
      <c r="K144" s="10">
        <f>INDEX(Expense_master[Monthly_Rent],MATCH(Daily_Data[[#This Row],[Month_key]],Expense_master[Month_Key],0)) / INDEX(Expense_master[Days_in_Month],MATCH(Daily_Data[[#This Row],[Month_key]],Expense_master[Month_Key],0))</f>
        <v>6774.1935483870966</v>
      </c>
      <c r="L144" s="10">
        <f>SUMIFS(Expense_master[Staff_Salary],Expense_master[Month_Key],Daily_Data[[#This Row],[Month_key]]) / SUMIFS(Expense_master[Days_in_Month],Expense_master[Month_Key],Daily_Data[[#This Row],[Month_key]])</f>
        <v>2258.0645161290322</v>
      </c>
      <c r="M144" s="10">
        <f>Daily_Data[[#This Row],[Rooms_Occupied]] * (SUMIFS(Expense_master[Housekeeping_Laundy],Expense_master[Month_Key],Daily_Data[[#This Row],[Month_key]]) / SUMIFS(Occupancy_table[Monthly_rooms_Occupied],Occupancy_table[Month_Key],Daily_Data[[#This Row],[Month_key]]))</f>
        <v>274.72527472527469</v>
      </c>
      <c r="N1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1507.2460120524638</v>
      </c>
      <c r="O144" s="10">
        <f>SUMIFS(Expense_master[Monthly_Maintenance],Expense_master[Month_Key],Daily_Data[[#This Row],[Month_key]]) / SUMIFS(Expense_master[Days_in_Month],Expense_master[Month_Key], Daily_Data[[#This Row],[Month_key]])</f>
        <v>645.16129032258061</v>
      </c>
      <c r="P144" s="10">
        <f xml:space="preserve"> Daily_Data[[#This Row],[OTA Commision]] + Daily_Data[[#This Row],[Daily_Rent]]+Daily_Data[[#This Row],[Daily_Staff]]+Daily_Data[[#This Row],[Daily_HK]]+Daily_Data[[#This Row],[Daily_Electricity]] + Daily_Data[[#This Row],[Daily Maintenance]]</f>
        <v>13927.79064161645</v>
      </c>
      <c r="Q144" s="10">
        <f>Daily_Data[[#This Row],[Total_Sales]]-Daily_Data[[#This Row],[Total_Daily_Expense]]</f>
        <v>-2707.7906416164496</v>
      </c>
      <c r="R144" s="10">
        <f>Daily_Data[[#This Row],[Total_Sales]]/Daily_Data[[#This Row],[Rooms_Occupied]]</f>
        <v>1122</v>
      </c>
      <c r="S144" s="10">
        <f>Daily_Data[[#This Row],[Total_Sales]] / Daily_Data[[#This Row],[Max_rooms]]</f>
        <v>801.42857142857144</v>
      </c>
    </row>
    <row r="145" spans="1:19" x14ac:dyDescent="0.25">
      <c r="A145" s="6">
        <v>45070</v>
      </c>
      <c r="B145" s="20">
        <f>DATE(YEAR(Daily_Data[[#This Row],[Date]]), MONTH(Daily_Data[[#This Row],[Date]]), 1)</f>
        <v>45047</v>
      </c>
      <c r="C145" s="20" t="str">
        <f>TEXT(Daily_Data[[#This Row],[Month_key]],"mmmm")</f>
        <v>May</v>
      </c>
      <c r="D145" s="20" t="str">
        <f>TEXT(Daily_Data[[#This Row],[Month_key]],"yyyy")</f>
        <v>2023</v>
      </c>
      <c r="E145" s="7">
        <v>11</v>
      </c>
      <c r="F145" s="7">
        <v>14</v>
      </c>
      <c r="G145" s="8">
        <f>Daily_Data[[#This Row],[Rooms_Occupied]]/F145</f>
        <v>0.7857142857142857</v>
      </c>
      <c r="H145" s="7">
        <v>1090</v>
      </c>
      <c r="I145" s="7">
        <f>Daily_Data[[#This Row],[Room_rate]]*Daily_Data[[#This Row],[Rooms_Occupied]]</f>
        <v>11990</v>
      </c>
      <c r="J145" s="10">
        <f>Daily_Data[[#This Row],[Total_Sales]] * 0.22</f>
        <v>2637.8</v>
      </c>
      <c r="K145" s="10">
        <f>INDEX(Expense_master[Monthly_Rent],MATCH(Daily_Data[[#This Row],[Month_key]],Expense_master[Month_Key],0)) / INDEX(Expense_master[Days_in_Month],MATCH(Daily_Data[[#This Row],[Month_key]],Expense_master[Month_Key],0))</f>
        <v>6774.1935483870966</v>
      </c>
      <c r="L145" s="10">
        <f>SUMIFS(Expense_master[Staff_Salary],Expense_master[Month_Key],Daily_Data[[#This Row],[Month_key]]) / SUMIFS(Expense_master[Days_in_Month],Expense_master[Month_Key],Daily_Data[[#This Row],[Month_key]])</f>
        <v>2258.0645161290322</v>
      </c>
      <c r="M145" s="10">
        <f>Daily_Data[[#This Row],[Rooms_Occupied]] * (SUMIFS(Expense_master[Housekeeping_Laundy],Expense_master[Month_Key],Daily_Data[[#This Row],[Month_key]]) / SUMIFS(Occupancy_table[Monthly_rooms_Occupied],Occupancy_table[Month_Key],Daily_Data[[#This Row],[Month_key]]))</f>
        <v>302.19780219780216</v>
      </c>
      <c r="N1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1591.7899680964197</v>
      </c>
      <c r="O145" s="10">
        <f>SUMIFS(Expense_master[Monthly_Maintenance],Expense_master[Month_Key],Daily_Data[[#This Row],[Month_key]]) / SUMIFS(Expense_master[Days_in_Month],Expense_master[Month_Key], Daily_Data[[#This Row],[Month_key]])</f>
        <v>645.16129032258061</v>
      </c>
      <c r="P145" s="10">
        <f xml:space="preserve"> Daily_Data[[#This Row],[OTA Commision]] + Daily_Data[[#This Row],[Daily_Rent]]+Daily_Data[[#This Row],[Daily_Staff]]+Daily_Data[[#This Row],[Daily_HK]]+Daily_Data[[#This Row],[Daily_Electricity]] + Daily_Data[[#This Row],[Daily Maintenance]]</f>
        <v>14209.207125132934</v>
      </c>
      <c r="Q145" s="10">
        <f>Daily_Data[[#This Row],[Total_Sales]]-Daily_Data[[#This Row],[Total_Daily_Expense]]</f>
        <v>-2219.2071251329344</v>
      </c>
      <c r="R145" s="10">
        <f>Daily_Data[[#This Row],[Total_Sales]]/Daily_Data[[#This Row],[Rooms_Occupied]]</f>
        <v>1090</v>
      </c>
      <c r="S145" s="10">
        <f>Daily_Data[[#This Row],[Total_Sales]] / Daily_Data[[#This Row],[Max_rooms]]</f>
        <v>856.42857142857144</v>
      </c>
    </row>
    <row r="146" spans="1:19" x14ac:dyDescent="0.25">
      <c r="A146" s="6">
        <v>45071</v>
      </c>
      <c r="B146" s="20">
        <f>DATE(YEAR(Daily_Data[[#This Row],[Date]]), MONTH(Daily_Data[[#This Row],[Date]]), 1)</f>
        <v>45047</v>
      </c>
      <c r="C146" s="20" t="str">
        <f>TEXT(Daily_Data[[#This Row],[Month_key]],"mmmm")</f>
        <v>May</v>
      </c>
      <c r="D146" s="20" t="str">
        <f>TEXT(Daily_Data[[#This Row],[Month_key]],"yyyy")</f>
        <v>2023</v>
      </c>
      <c r="E146" s="7">
        <v>12</v>
      </c>
      <c r="F146" s="7">
        <v>14</v>
      </c>
      <c r="G146" s="8">
        <f>Daily_Data[[#This Row],[Rooms_Occupied]]/F146</f>
        <v>0.8571428571428571</v>
      </c>
      <c r="H146" s="7">
        <v>1225</v>
      </c>
      <c r="I146" s="7">
        <f>Daily_Data[[#This Row],[Room_rate]]*Daily_Data[[#This Row],[Rooms_Occupied]]</f>
        <v>14700</v>
      </c>
      <c r="J146" s="10">
        <f>Daily_Data[[#This Row],[Total_Sales]] * 0.22</f>
        <v>3234</v>
      </c>
      <c r="K146" s="10">
        <f>INDEX(Expense_master[Monthly_Rent],MATCH(Daily_Data[[#This Row],[Month_key]],Expense_master[Month_Key],0)) / INDEX(Expense_master[Days_in_Month],MATCH(Daily_Data[[#This Row],[Month_key]],Expense_master[Month_Key],0))</f>
        <v>6774.1935483870966</v>
      </c>
      <c r="L146" s="10">
        <f>SUMIFS(Expense_master[Staff_Salary],Expense_master[Month_Key],Daily_Data[[#This Row],[Month_key]]) / SUMIFS(Expense_master[Days_in_Month],Expense_master[Month_Key],Daily_Data[[#This Row],[Month_key]])</f>
        <v>2258.0645161290322</v>
      </c>
      <c r="M146" s="10">
        <f>Daily_Data[[#This Row],[Rooms_Occupied]] * (SUMIFS(Expense_master[Housekeeping_Laundy],Expense_master[Month_Key],Daily_Data[[#This Row],[Month_key]]) / SUMIFS(Occupancy_table[Monthly_rooms_Occupied],Occupancy_table[Month_Key],Daily_Data[[#This Row],[Month_key]]))</f>
        <v>329.67032967032964</v>
      </c>
      <c r="N1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46" s="10">
        <f>SUMIFS(Expense_master[Monthly_Maintenance],Expense_master[Month_Key],Daily_Data[[#This Row],[Month_key]]) / SUMIFS(Expense_master[Days_in_Month],Expense_master[Month_Key], Daily_Data[[#This Row],[Month_key]])</f>
        <v>645.16129032258061</v>
      </c>
      <c r="P146" s="10">
        <f xml:space="preserve"> Daily_Data[[#This Row],[OTA Commision]] + Daily_Data[[#This Row],[Daily_Rent]]+Daily_Data[[#This Row],[Daily_Staff]]+Daily_Data[[#This Row],[Daily_HK]]+Daily_Data[[#This Row],[Daily_Electricity]] + Daily_Data[[#This Row],[Daily Maintenance]]</f>
        <v>14917.423608649415</v>
      </c>
      <c r="Q146" s="10">
        <f>Daily_Data[[#This Row],[Total_Sales]]-Daily_Data[[#This Row],[Total_Daily_Expense]]</f>
        <v>-217.42360864941475</v>
      </c>
      <c r="R146" s="10">
        <f>Daily_Data[[#This Row],[Total_Sales]]/Daily_Data[[#This Row],[Rooms_Occupied]]</f>
        <v>1225</v>
      </c>
      <c r="S146" s="10">
        <f>Daily_Data[[#This Row],[Total_Sales]] / Daily_Data[[#This Row],[Max_rooms]]</f>
        <v>1050</v>
      </c>
    </row>
    <row r="147" spans="1:19" x14ac:dyDescent="0.25">
      <c r="A147" s="6">
        <v>45072</v>
      </c>
      <c r="B147" s="20">
        <f>DATE(YEAR(Daily_Data[[#This Row],[Date]]), MONTH(Daily_Data[[#This Row],[Date]]), 1)</f>
        <v>45047</v>
      </c>
      <c r="C147" s="20" t="str">
        <f>TEXT(Daily_Data[[#This Row],[Month_key]],"mmmm")</f>
        <v>May</v>
      </c>
      <c r="D147" s="20" t="str">
        <f>TEXT(Daily_Data[[#This Row],[Month_key]],"yyyy")</f>
        <v>2023</v>
      </c>
      <c r="E147" s="7">
        <v>13</v>
      </c>
      <c r="F147" s="7">
        <v>14</v>
      </c>
      <c r="G147" s="8">
        <f>Daily_Data[[#This Row],[Rooms_Occupied]]/F147</f>
        <v>0.9285714285714286</v>
      </c>
      <c r="H147" s="7">
        <v>1243</v>
      </c>
      <c r="I147" s="7">
        <f>Daily_Data[[#This Row],[Room_rate]]*Daily_Data[[#This Row],[Rooms_Occupied]]</f>
        <v>16159</v>
      </c>
      <c r="J147" s="10">
        <f>Daily_Data[[#This Row],[Total_Sales]] * 0.22</f>
        <v>3554.98</v>
      </c>
      <c r="K147" s="10">
        <f>INDEX(Expense_master[Monthly_Rent],MATCH(Daily_Data[[#This Row],[Month_key]],Expense_master[Month_Key],0)) / INDEX(Expense_master[Days_in_Month],MATCH(Daily_Data[[#This Row],[Month_key]],Expense_master[Month_Key],0))</f>
        <v>6774.1935483870966</v>
      </c>
      <c r="L147" s="10">
        <f>SUMIFS(Expense_master[Staff_Salary],Expense_master[Month_Key],Daily_Data[[#This Row],[Month_key]]) / SUMIFS(Expense_master[Days_in_Month],Expense_master[Month_Key],Daily_Data[[#This Row],[Month_key]])</f>
        <v>2258.0645161290322</v>
      </c>
      <c r="M147" s="10">
        <f>Daily_Data[[#This Row],[Rooms_Occupied]] * (SUMIFS(Expense_master[Housekeeping_Laundy],Expense_master[Month_Key],Daily_Data[[#This Row],[Month_key]]) / SUMIFS(Occupancy_table[Monthly_rooms_Occupied],Occupancy_table[Month_Key],Daily_Data[[#This Row],[Month_key]]))</f>
        <v>357.14285714285711</v>
      </c>
      <c r="N1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47" s="10">
        <f>SUMIFS(Expense_master[Monthly_Maintenance],Expense_master[Month_Key],Daily_Data[[#This Row],[Month_key]]) / SUMIFS(Expense_master[Days_in_Month],Expense_master[Month_Key], Daily_Data[[#This Row],[Month_key]])</f>
        <v>645.16129032258061</v>
      </c>
      <c r="P147" s="10">
        <f xml:space="preserve"> Daily_Data[[#This Row],[OTA Commision]] + Daily_Data[[#This Row],[Daily_Rent]]+Daily_Data[[#This Row],[Daily_Staff]]+Daily_Data[[#This Row],[Daily_HK]]+Daily_Data[[#This Row],[Daily_Electricity]] + Daily_Data[[#This Row],[Daily Maintenance]]</f>
        <v>15350.420092165898</v>
      </c>
      <c r="Q147" s="10">
        <f>Daily_Data[[#This Row],[Total_Sales]]-Daily_Data[[#This Row],[Total_Daily_Expense]]</f>
        <v>808.57990783410241</v>
      </c>
      <c r="R147" s="10">
        <f>Daily_Data[[#This Row],[Total_Sales]]/Daily_Data[[#This Row],[Rooms_Occupied]]</f>
        <v>1243</v>
      </c>
      <c r="S147" s="10">
        <f>Daily_Data[[#This Row],[Total_Sales]] / Daily_Data[[#This Row],[Max_rooms]]</f>
        <v>1154.2142857142858</v>
      </c>
    </row>
    <row r="148" spans="1:19" x14ac:dyDescent="0.25">
      <c r="A148" s="6">
        <v>45073</v>
      </c>
      <c r="B148" s="20">
        <f>DATE(YEAR(Daily_Data[[#This Row],[Date]]), MONTH(Daily_Data[[#This Row],[Date]]), 1)</f>
        <v>45047</v>
      </c>
      <c r="C148" s="20" t="str">
        <f>TEXT(Daily_Data[[#This Row],[Month_key]],"mmmm")</f>
        <v>May</v>
      </c>
      <c r="D148" s="20" t="str">
        <f>TEXT(Daily_Data[[#This Row],[Month_key]],"yyyy")</f>
        <v>2023</v>
      </c>
      <c r="E148" s="7">
        <v>8</v>
      </c>
      <c r="F148" s="7">
        <v>14</v>
      </c>
      <c r="G148" s="8">
        <f>Daily_Data[[#This Row],[Rooms_Occupied]]/F148</f>
        <v>0.5714285714285714</v>
      </c>
      <c r="H148" s="7">
        <v>1763</v>
      </c>
      <c r="I148" s="7">
        <f>Daily_Data[[#This Row],[Room_rate]]*Daily_Data[[#This Row],[Rooms_Occupied]]</f>
        <v>14104</v>
      </c>
      <c r="J148" s="10">
        <f>Daily_Data[[#This Row],[Total_Sales]] * 0.22</f>
        <v>3102.88</v>
      </c>
      <c r="K148" s="10">
        <f>INDEX(Expense_master[Monthly_Rent],MATCH(Daily_Data[[#This Row],[Month_key]],Expense_master[Month_Key],0)) / INDEX(Expense_master[Days_in_Month],MATCH(Daily_Data[[#This Row],[Month_key]],Expense_master[Month_Key],0))</f>
        <v>6774.1935483870966</v>
      </c>
      <c r="L148" s="10">
        <f>SUMIFS(Expense_master[Staff_Salary],Expense_master[Month_Key],Daily_Data[[#This Row],[Month_key]]) / SUMIFS(Expense_master[Days_in_Month],Expense_master[Month_Key],Daily_Data[[#This Row],[Month_key]])</f>
        <v>2258.0645161290322</v>
      </c>
      <c r="M148" s="10">
        <f>Daily_Data[[#This Row],[Rooms_Occupied]] * (SUMIFS(Expense_master[Housekeeping_Laundy],Expense_master[Month_Key],Daily_Data[[#This Row],[Month_key]]) / SUMIFS(Occupancy_table[Monthly_rooms_Occupied],Occupancy_table[Month_Key],Daily_Data[[#This Row],[Month_key]]))</f>
        <v>219.78021978021977</v>
      </c>
      <c r="N1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1338.1580999645516</v>
      </c>
      <c r="O148" s="10">
        <f>SUMIFS(Expense_master[Monthly_Maintenance],Expense_master[Month_Key],Daily_Data[[#This Row],[Month_key]]) / SUMIFS(Expense_master[Days_in_Month],Expense_master[Month_Key], Daily_Data[[#This Row],[Month_key]])</f>
        <v>645.16129032258061</v>
      </c>
      <c r="P148" s="10">
        <f xml:space="preserve"> Daily_Data[[#This Row],[OTA Commision]] + Daily_Data[[#This Row],[Daily_Rent]]+Daily_Data[[#This Row],[Daily_Staff]]+Daily_Data[[#This Row],[Daily_HK]]+Daily_Data[[#This Row],[Daily_Electricity]] + Daily_Data[[#This Row],[Daily Maintenance]]</f>
        <v>14338.237674583481</v>
      </c>
      <c r="Q148" s="10">
        <f>Daily_Data[[#This Row],[Total_Sales]]-Daily_Data[[#This Row],[Total_Daily_Expense]]</f>
        <v>-234.23767458348084</v>
      </c>
      <c r="R148" s="10">
        <f>Daily_Data[[#This Row],[Total_Sales]]/Daily_Data[[#This Row],[Rooms_Occupied]]</f>
        <v>1763</v>
      </c>
      <c r="S148" s="10">
        <f>Daily_Data[[#This Row],[Total_Sales]] / Daily_Data[[#This Row],[Max_rooms]]</f>
        <v>1007.4285714285714</v>
      </c>
    </row>
    <row r="149" spans="1:19" x14ac:dyDescent="0.25">
      <c r="A149" s="6">
        <v>45074</v>
      </c>
      <c r="B149" s="20">
        <f>DATE(YEAR(Daily_Data[[#This Row],[Date]]), MONTH(Daily_Data[[#This Row],[Date]]), 1)</f>
        <v>45047</v>
      </c>
      <c r="C149" s="20" t="str">
        <f>TEXT(Daily_Data[[#This Row],[Month_key]],"mmmm")</f>
        <v>May</v>
      </c>
      <c r="D149" s="20" t="str">
        <f>TEXT(Daily_Data[[#This Row],[Month_key]],"yyyy")</f>
        <v>2023</v>
      </c>
      <c r="E149" s="7">
        <v>13</v>
      </c>
      <c r="F149" s="7">
        <v>14</v>
      </c>
      <c r="G149" s="8">
        <f>Daily_Data[[#This Row],[Rooms_Occupied]]/F149</f>
        <v>0.9285714285714286</v>
      </c>
      <c r="H149" s="7">
        <v>1909</v>
      </c>
      <c r="I149" s="7">
        <f>Daily_Data[[#This Row],[Room_rate]]*Daily_Data[[#This Row],[Rooms_Occupied]]</f>
        <v>24817</v>
      </c>
      <c r="J149" s="10">
        <f>Daily_Data[[#This Row],[Total_Sales]] * 0.22</f>
        <v>5459.74</v>
      </c>
      <c r="K149" s="10">
        <f>INDEX(Expense_master[Monthly_Rent],MATCH(Daily_Data[[#This Row],[Month_key]],Expense_master[Month_Key],0)) / INDEX(Expense_master[Days_in_Month],MATCH(Daily_Data[[#This Row],[Month_key]],Expense_master[Month_Key],0))</f>
        <v>6774.1935483870966</v>
      </c>
      <c r="L149" s="10">
        <f>SUMIFS(Expense_master[Staff_Salary],Expense_master[Month_Key],Daily_Data[[#This Row],[Month_key]]) / SUMIFS(Expense_master[Days_in_Month],Expense_master[Month_Key],Daily_Data[[#This Row],[Month_key]])</f>
        <v>2258.0645161290322</v>
      </c>
      <c r="M149" s="10">
        <f>Daily_Data[[#This Row],[Rooms_Occupied]] * (SUMIFS(Expense_master[Housekeeping_Laundy],Expense_master[Month_Key],Daily_Data[[#This Row],[Month_key]]) / SUMIFS(Occupancy_table[Monthly_rooms_Occupied],Occupancy_table[Month_Key],Daily_Data[[#This Row],[Month_key]]))</f>
        <v>357.14285714285711</v>
      </c>
      <c r="N1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1760.8778801843318</v>
      </c>
      <c r="O149" s="10">
        <f>SUMIFS(Expense_master[Monthly_Maintenance],Expense_master[Month_Key],Daily_Data[[#This Row],[Month_key]]) / SUMIFS(Expense_master[Days_in_Month],Expense_master[Month_Key], Daily_Data[[#This Row],[Month_key]])</f>
        <v>645.16129032258061</v>
      </c>
      <c r="P149" s="10">
        <f xml:space="preserve"> Daily_Data[[#This Row],[OTA Commision]] + Daily_Data[[#This Row],[Daily_Rent]]+Daily_Data[[#This Row],[Daily_Staff]]+Daily_Data[[#This Row],[Daily_HK]]+Daily_Data[[#This Row],[Daily_Electricity]] + Daily_Data[[#This Row],[Daily Maintenance]]</f>
        <v>17255.180092165898</v>
      </c>
      <c r="Q149" s="10">
        <f>Daily_Data[[#This Row],[Total_Sales]]-Daily_Data[[#This Row],[Total_Daily_Expense]]</f>
        <v>7561.8199078341022</v>
      </c>
      <c r="R149" s="10">
        <f>Daily_Data[[#This Row],[Total_Sales]]/Daily_Data[[#This Row],[Rooms_Occupied]]</f>
        <v>1909</v>
      </c>
      <c r="S149" s="10">
        <f>Daily_Data[[#This Row],[Total_Sales]] / Daily_Data[[#This Row],[Max_rooms]]</f>
        <v>1772.6428571428571</v>
      </c>
    </row>
    <row r="150" spans="1:19" x14ac:dyDescent="0.25">
      <c r="A150" s="6">
        <v>45075</v>
      </c>
      <c r="B150" s="20">
        <f>DATE(YEAR(Daily_Data[[#This Row],[Date]]), MONTH(Daily_Data[[#This Row],[Date]]), 1)</f>
        <v>45047</v>
      </c>
      <c r="C150" s="20" t="str">
        <f>TEXT(Daily_Data[[#This Row],[Month_key]],"mmmm")</f>
        <v>May</v>
      </c>
      <c r="D150" s="20" t="str">
        <f>TEXT(Daily_Data[[#This Row],[Month_key]],"yyyy")</f>
        <v>2023</v>
      </c>
      <c r="E150" s="7">
        <v>11</v>
      </c>
      <c r="F150" s="7">
        <v>14</v>
      </c>
      <c r="G150" s="8">
        <f>Daily_Data[[#This Row],[Rooms_Occupied]]/F150</f>
        <v>0.7857142857142857</v>
      </c>
      <c r="H150" s="7">
        <v>1103</v>
      </c>
      <c r="I150" s="7">
        <f>Daily_Data[[#This Row],[Room_rate]]*Daily_Data[[#This Row],[Rooms_Occupied]]</f>
        <v>12133</v>
      </c>
      <c r="J150" s="10">
        <f>Daily_Data[[#This Row],[Total_Sales]] * 0.22</f>
        <v>2669.26</v>
      </c>
      <c r="K150" s="10">
        <f>INDEX(Expense_master[Monthly_Rent],MATCH(Daily_Data[[#This Row],[Month_key]],Expense_master[Month_Key],0)) / INDEX(Expense_master[Days_in_Month],MATCH(Daily_Data[[#This Row],[Month_key]],Expense_master[Month_Key],0))</f>
        <v>6774.1935483870966</v>
      </c>
      <c r="L150" s="10">
        <f>SUMIFS(Expense_master[Staff_Salary],Expense_master[Month_Key],Daily_Data[[#This Row],[Month_key]]) / SUMIFS(Expense_master[Days_in_Month],Expense_master[Month_Key],Daily_Data[[#This Row],[Month_key]])</f>
        <v>2258.0645161290322</v>
      </c>
      <c r="M150" s="10">
        <f>Daily_Data[[#This Row],[Rooms_Occupied]] * (SUMIFS(Expense_master[Housekeeping_Laundy],Expense_master[Month_Key],Daily_Data[[#This Row],[Month_key]]) / SUMIFS(Occupancy_table[Monthly_rooms_Occupied],Occupancy_table[Month_Key],Daily_Data[[#This Row],[Month_key]]))</f>
        <v>302.19780219780216</v>
      </c>
      <c r="N1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1591.7899680964197</v>
      </c>
      <c r="O150" s="10">
        <f>SUMIFS(Expense_master[Monthly_Maintenance],Expense_master[Month_Key],Daily_Data[[#This Row],[Month_key]]) / SUMIFS(Expense_master[Days_in_Month],Expense_master[Month_Key], Daily_Data[[#This Row],[Month_key]])</f>
        <v>645.16129032258061</v>
      </c>
      <c r="P150" s="10">
        <f xml:space="preserve"> Daily_Data[[#This Row],[OTA Commision]] + Daily_Data[[#This Row],[Daily_Rent]]+Daily_Data[[#This Row],[Daily_Staff]]+Daily_Data[[#This Row],[Daily_HK]]+Daily_Data[[#This Row],[Daily_Electricity]] + Daily_Data[[#This Row],[Daily Maintenance]]</f>
        <v>14240.667125132934</v>
      </c>
      <c r="Q150" s="10">
        <f>Daily_Data[[#This Row],[Total_Sales]]-Daily_Data[[#This Row],[Total_Daily_Expense]]</f>
        <v>-2107.6671251329335</v>
      </c>
      <c r="R150" s="10">
        <f>Daily_Data[[#This Row],[Total_Sales]]/Daily_Data[[#This Row],[Rooms_Occupied]]</f>
        <v>1103</v>
      </c>
      <c r="S150" s="10">
        <f>Daily_Data[[#This Row],[Total_Sales]] / Daily_Data[[#This Row],[Max_rooms]]</f>
        <v>866.64285714285711</v>
      </c>
    </row>
    <row r="151" spans="1:19" x14ac:dyDescent="0.25">
      <c r="A151" s="6">
        <v>45076</v>
      </c>
      <c r="B151" s="20">
        <f>DATE(YEAR(Daily_Data[[#This Row],[Date]]), MONTH(Daily_Data[[#This Row],[Date]]), 1)</f>
        <v>45047</v>
      </c>
      <c r="C151" s="20" t="str">
        <f>TEXT(Daily_Data[[#This Row],[Month_key]],"mmmm")</f>
        <v>May</v>
      </c>
      <c r="D151" s="20" t="str">
        <f>TEXT(Daily_Data[[#This Row],[Month_key]],"yyyy")</f>
        <v>2023</v>
      </c>
      <c r="E151" s="7">
        <v>12</v>
      </c>
      <c r="F151" s="7">
        <v>14</v>
      </c>
      <c r="G151" s="8">
        <f>Daily_Data[[#This Row],[Rooms_Occupied]]/F151</f>
        <v>0.8571428571428571</v>
      </c>
      <c r="H151" s="7">
        <v>1176</v>
      </c>
      <c r="I151" s="7">
        <f>Daily_Data[[#This Row],[Room_rate]]*Daily_Data[[#This Row],[Rooms_Occupied]]</f>
        <v>14112</v>
      </c>
      <c r="J151" s="10">
        <f>Daily_Data[[#This Row],[Total_Sales]] * 0.22</f>
        <v>3104.64</v>
      </c>
      <c r="K151" s="10">
        <f>INDEX(Expense_master[Monthly_Rent],MATCH(Daily_Data[[#This Row],[Month_key]],Expense_master[Month_Key],0)) / INDEX(Expense_master[Days_in_Month],MATCH(Daily_Data[[#This Row],[Month_key]],Expense_master[Month_Key],0))</f>
        <v>6774.1935483870966</v>
      </c>
      <c r="L151" s="10">
        <f>SUMIFS(Expense_master[Staff_Salary],Expense_master[Month_Key],Daily_Data[[#This Row],[Month_key]]) / SUMIFS(Expense_master[Days_in_Month],Expense_master[Month_Key],Daily_Data[[#This Row],[Month_key]])</f>
        <v>2258.0645161290322</v>
      </c>
      <c r="M151" s="10">
        <f>Daily_Data[[#This Row],[Rooms_Occupied]] * (SUMIFS(Expense_master[Housekeeping_Laundy],Expense_master[Month_Key],Daily_Data[[#This Row],[Month_key]]) / SUMIFS(Occupancy_table[Monthly_rooms_Occupied],Occupancy_table[Month_Key],Daily_Data[[#This Row],[Month_key]]))</f>
        <v>329.67032967032964</v>
      </c>
      <c r="N1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1676.333924140376</v>
      </c>
      <c r="O151" s="10">
        <f>SUMIFS(Expense_master[Monthly_Maintenance],Expense_master[Month_Key],Daily_Data[[#This Row],[Month_key]]) / SUMIFS(Expense_master[Days_in_Month],Expense_master[Month_Key], Daily_Data[[#This Row],[Month_key]])</f>
        <v>645.16129032258061</v>
      </c>
      <c r="P151" s="10">
        <f xml:space="preserve"> Daily_Data[[#This Row],[OTA Commision]] + Daily_Data[[#This Row],[Daily_Rent]]+Daily_Data[[#This Row],[Daily_Staff]]+Daily_Data[[#This Row],[Daily_HK]]+Daily_Data[[#This Row],[Daily_Electricity]] + Daily_Data[[#This Row],[Daily Maintenance]]</f>
        <v>14788.063608649414</v>
      </c>
      <c r="Q151" s="10">
        <f>Daily_Data[[#This Row],[Total_Sales]]-Daily_Data[[#This Row],[Total_Daily_Expense]]</f>
        <v>-676.06360864941416</v>
      </c>
      <c r="R151" s="10">
        <f>Daily_Data[[#This Row],[Total_Sales]]/Daily_Data[[#This Row],[Rooms_Occupied]]</f>
        <v>1176</v>
      </c>
      <c r="S151" s="10">
        <f>Daily_Data[[#This Row],[Total_Sales]] / Daily_Data[[#This Row],[Max_rooms]]</f>
        <v>1008</v>
      </c>
    </row>
    <row r="152" spans="1:19" x14ac:dyDescent="0.25">
      <c r="A152" s="6">
        <v>45077</v>
      </c>
      <c r="B152" s="20">
        <f>DATE(YEAR(Daily_Data[[#This Row],[Date]]), MONTH(Daily_Data[[#This Row],[Date]]), 1)</f>
        <v>45047</v>
      </c>
      <c r="C152" s="20" t="str">
        <f>TEXT(Daily_Data[[#This Row],[Month_key]],"mmmm")</f>
        <v>May</v>
      </c>
      <c r="D152" s="20" t="str">
        <f>TEXT(Daily_Data[[#This Row],[Month_key]],"yyyy")</f>
        <v>2023</v>
      </c>
      <c r="E152" s="7">
        <v>14</v>
      </c>
      <c r="F152" s="7">
        <v>14</v>
      </c>
      <c r="G152" s="8">
        <f>Daily_Data[[#This Row],[Rooms_Occupied]]/F152</f>
        <v>1</v>
      </c>
      <c r="H152" s="7">
        <v>1694</v>
      </c>
      <c r="I152" s="7">
        <f>Daily_Data[[#This Row],[Room_rate]]*Daily_Data[[#This Row],[Rooms_Occupied]]</f>
        <v>23716</v>
      </c>
      <c r="J152" s="10">
        <f>Daily_Data[[#This Row],[Total_Sales]] * 0.22</f>
        <v>5217.5200000000004</v>
      </c>
      <c r="K152" s="10">
        <f>INDEX(Expense_master[Monthly_Rent],MATCH(Daily_Data[[#This Row],[Month_key]],Expense_master[Month_Key],0)) / INDEX(Expense_master[Days_in_Month],MATCH(Daily_Data[[#This Row],[Month_key]],Expense_master[Month_Key],0))</f>
        <v>6774.1935483870966</v>
      </c>
      <c r="L152" s="10">
        <f>SUMIFS(Expense_master[Staff_Salary],Expense_master[Month_Key],Daily_Data[[#This Row],[Month_key]]) / SUMIFS(Expense_master[Days_in_Month],Expense_master[Month_Key],Daily_Data[[#This Row],[Month_key]])</f>
        <v>2258.0645161290322</v>
      </c>
      <c r="M152" s="10">
        <f>Daily_Data[[#This Row],[Rooms_Occupied]] * (SUMIFS(Expense_master[Housekeeping_Laundy],Expense_master[Month_Key],Daily_Data[[#This Row],[Month_key]]) / SUMIFS(Occupancy_table[Monthly_rooms_Occupied],Occupancy_table[Month_Key],Daily_Data[[#This Row],[Month_key]]))</f>
        <v>384.61538461538458</v>
      </c>
      <c r="N1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1845.4218362282877</v>
      </c>
      <c r="O152" s="10">
        <f>SUMIFS(Expense_master[Monthly_Maintenance],Expense_master[Month_Key],Daily_Data[[#This Row],[Month_key]]) / SUMIFS(Expense_master[Days_in_Month],Expense_master[Month_Key], Daily_Data[[#This Row],[Month_key]])</f>
        <v>645.16129032258061</v>
      </c>
      <c r="P152" s="10">
        <f xml:space="preserve"> Daily_Data[[#This Row],[OTA Commision]] + Daily_Data[[#This Row],[Daily_Rent]]+Daily_Data[[#This Row],[Daily_Staff]]+Daily_Data[[#This Row],[Daily_HK]]+Daily_Data[[#This Row],[Daily_Electricity]] + Daily_Data[[#This Row],[Daily Maintenance]]</f>
        <v>17124.97657568238</v>
      </c>
      <c r="Q152" s="10">
        <f>Daily_Data[[#This Row],[Total_Sales]]-Daily_Data[[#This Row],[Total_Daily_Expense]]</f>
        <v>6591.0234243176201</v>
      </c>
      <c r="R152" s="10">
        <f>Daily_Data[[#This Row],[Total_Sales]]/Daily_Data[[#This Row],[Rooms_Occupied]]</f>
        <v>1694</v>
      </c>
      <c r="S152" s="10">
        <f>Daily_Data[[#This Row],[Total_Sales]] / Daily_Data[[#This Row],[Max_rooms]]</f>
        <v>1694</v>
      </c>
    </row>
    <row r="153" spans="1:19" x14ac:dyDescent="0.25">
      <c r="A153" s="6">
        <v>45078</v>
      </c>
      <c r="B153" s="20">
        <f>DATE(YEAR(Daily_Data[[#This Row],[Date]]), MONTH(Daily_Data[[#This Row],[Date]]), 1)</f>
        <v>45078</v>
      </c>
      <c r="C153" s="20" t="str">
        <f>TEXT(Daily_Data[[#This Row],[Month_key]],"mmmm")</f>
        <v>June</v>
      </c>
      <c r="D153" s="20" t="str">
        <f>TEXT(Daily_Data[[#This Row],[Month_key]],"yyyy")</f>
        <v>2023</v>
      </c>
      <c r="E153" s="7">
        <v>11</v>
      </c>
      <c r="F153" s="7">
        <v>14</v>
      </c>
      <c r="G153" s="8">
        <f>Daily_Data[[#This Row],[Rooms_Occupied]]/F153</f>
        <v>0.7857142857142857</v>
      </c>
      <c r="H153" s="7">
        <v>1321</v>
      </c>
      <c r="I153" s="7">
        <f>Daily_Data[[#This Row],[Room_rate]]*Daily_Data[[#This Row],[Rooms_Occupied]]</f>
        <v>14531</v>
      </c>
      <c r="J153" s="10">
        <f>Daily_Data[[#This Row],[Total_Sales]] * 0.22</f>
        <v>3196.82</v>
      </c>
      <c r="K153" s="10">
        <f>INDEX(Expense_master[Monthly_Rent],MATCH(Daily_Data[[#This Row],[Month_key]],Expense_master[Month_Key],0)) / INDEX(Expense_master[Days_in_Month],MATCH(Daily_Data[[#This Row],[Month_key]],Expense_master[Month_Key],0))</f>
        <v>7000</v>
      </c>
      <c r="L153" s="10">
        <f>SUMIFS(Expense_master[Staff_Salary],Expense_master[Month_Key],Daily_Data[[#This Row],[Month_key]]) / SUMIFS(Expense_master[Days_in_Month],Expense_master[Month_Key],Daily_Data[[#This Row],[Month_key]])</f>
        <v>2333.3333333333335</v>
      </c>
      <c r="M153" s="10">
        <f>Daily_Data[[#This Row],[Rooms_Occupied]] * (SUMIFS(Expense_master[Housekeeping_Laundy],Expense_master[Month_Key],Daily_Data[[#This Row],[Month_key]]) / SUMIFS(Occupancy_table[Monthly_rooms_Occupied],Occupancy_table[Month_Key],Daily_Data[[#This Row],[Month_key]]))</f>
        <v>335.36585365853659</v>
      </c>
      <c r="N1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1619.8379674796747</v>
      </c>
      <c r="O153" s="10">
        <f>SUMIFS(Expense_master[Monthly_Maintenance],Expense_master[Month_Key],Daily_Data[[#This Row],[Month_key]]) / SUMIFS(Expense_master[Days_in_Month],Expense_master[Month_Key], Daily_Data[[#This Row],[Month_key]])</f>
        <v>666.66666666666663</v>
      </c>
      <c r="P153" s="10">
        <f xml:space="preserve"> Daily_Data[[#This Row],[OTA Commision]] + Daily_Data[[#This Row],[Daily_Rent]]+Daily_Data[[#This Row],[Daily_Staff]]+Daily_Data[[#This Row],[Daily_HK]]+Daily_Data[[#This Row],[Daily_Electricity]] + Daily_Data[[#This Row],[Daily Maintenance]]</f>
        <v>15152.023821138211</v>
      </c>
      <c r="Q153" s="10">
        <f>Daily_Data[[#This Row],[Total_Sales]]-Daily_Data[[#This Row],[Total_Daily_Expense]]</f>
        <v>-621.02382113821113</v>
      </c>
      <c r="R153" s="10">
        <f>Daily_Data[[#This Row],[Total_Sales]]/Daily_Data[[#This Row],[Rooms_Occupied]]</f>
        <v>1321</v>
      </c>
      <c r="S153" s="10">
        <f>Daily_Data[[#This Row],[Total_Sales]] / Daily_Data[[#This Row],[Max_rooms]]</f>
        <v>1037.9285714285713</v>
      </c>
    </row>
    <row r="154" spans="1:19" x14ac:dyDescent="0.25">
      <c r="A154" s="6">
        <v>45079</v>
      </c>
      <c r="B154" s="20">
        <f>DATE(YEAR(Daily_Data[[#This Row],[Date]]), MONTH(Daily_Data[[#This Row],[Date]]), 1)</f>
        <v>45078</v>
      </c>
      <c r="C154" s="20" t="str">
        <f>TEXT(Daily_Data[[#This Row],[Month_key]],"mmmm")</f>
        <v>June</v>
      </c>
      <c r="D154" s="20" t="str">
        <f>TEXT(Daily_Data[[#This Row],[Month_key]],"yyyy")</f>
        <v>2023</v>
      </c>
      <c r="E154" s="7">
        <v>8</v>
      </c>
      <c r="F154" s="7">
        <v>14</v>
      </c>
      <c r="G154" s="8">
        <f>Daily_Data[[#This Row],[Rooms_Occupied]]/F154</f>
        <v>0.5714285714285714</v>
      </c>
      <c r="H154" s="7">
        <v>1198</v>
      </c>
      <c r="I154" s="7">
        <f>Daily_Data[[#This Row],[Room_rate]]*Daily_Data[[#This Row],[Rooms_Occupied]]</f>
        <v>9584</v>
      </c>
      <c r="J154" s="10">
        <f>Daily_Data[[#This Row],[Total_Sales]] * 0.22</f>
        <v>2108.48</v>
      </c>
      <c r="K154" s="10">
        <f>INDEX(Expense_master[Monthly_Rent],MATCH(Daily_Data[[#This Row],[Month_key]],Expense_master[Month_Key],0)) / INDEX(Expense_master[Days_in_Month],MATCH(Daily_Data[[#This Row],[Month_key]],Expense_master[Month_Key],0))</f>
        <v>7000</v>
      </c>
      <c r="L154" s="10">
        <f>SUMIFS(Expense_master[Staff_Salary],Expense_master[Month_Key],Daily_Data[[#This Row],[Month_key]]) / SUMIFS(Expense_master[Days_in_Month],Expense_master[Month_Key],Daily_Data[[#This Row],[Month_key]])</f>
        <v>2333.3333333333335</v>
      </c>
      <c r="M154" s="10">
        <f>Daily_Data[[#This Row],[Rooms_Occupied]] * (SUMIFS(Expense_master[Housekeeping_Laundy],Expense_master[Month_Key],Daily_Data[[#This Row],[Month_key]]) / SUMIFS(Occupancy_table[Monthly_rooms_Occupied],Occupancy_table[Month_Key],Daily_Data[[#This Row],[Month_key]]))</f>
        <v>243.90243902439025</v>
      </c>
      <c r="N1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1354.1294308943088</v>
      </c>
      <c r="O154" s="10">
        <f>SUMIFS(Expense_master[Monthly_Maintenance],Expense_master[Month_Key],Daily_Data[[#This Row],[Month_key]]) / SUMIFS(Expense_master[Days_in_Month],Expense_master[Month_Key], Daily_Data[[#This Row],[Month_key]])</f>
        <v>666.66666666666663</v>
      </c>
      <c r="P154" s="10">
        <f xml:space="preserve"> Daily_Data[[#This Row],[OTA Commision]] + Daily_Data[[#This Row],[Daily_Rent]]+Daily_Data[[#This Row],[Daily_Staff]]+Daily_Data[[#This Row],[Daily_HK]]+Daily_Data[[#This Row],[Daily_Electricity]] + Daily_Data[[#This Row],[Daily Maintenance]]</f>
        <v>13706.511869918699</v>
      </c>
      <c r="Q154" s="10">
        <f>Daily_Data[[#This Row],[Total_Sales]]-Daily_Data[[#This Row],[Total_Daily_Expense]]</f>
        <v>-4122.5118699186987</v>
      </c>
      <c r="R154" s="10">
        <f>Daily_Data[[#This Row],[Total_Sales]]/Daily_Data[[#This Row],[Rooms_Occupied]]</f>
        <v>1198</v>
      </c>
      <c r="S154" s="10">
        <f>Daily_Data[[#This Row],[Total_Sales]] / Daily_Data[[#This Row],[Max_rooms]]</f>
        <v>684.57142857142856</v>
      </c>
    </row>
    <row r="155" spans="1:19" x14ac:dyDescent="0.25">
      <c r="A155" s="6">
        <v>45080</v>
      </c>
      <c r="B155" s="20">
        <f>DATE(YEAR(Daily_Data[[#This Row],[Date]]), MONTH(Daily_Data[[#This Row],[Date]]), 1)</f>
        <v>45078</v>
      </c>
      <c r="C155" s="20" t="str">
        <f>TEXT(Daily_Data[[#This Row],[Month_key]],"mmmm")</f>
        <v>June</v>
      </c>
      <c r="D155" s="20" t="str">
        <f>TEXT(Daily_Data[[#This Row],[Month_key]],"yyyy")</f>
        <v>2023</v>
      </c>
      <c r="E155" s="7">
        <v>14</v>
      </c>
      <c r="F155" s="7">
        <v>14</v>
      </c>
      <c r="G155" s="8">
        <f>Daily_Data[[#This Row],[Rooms_Occupied]]/F155</f>
        <v>1</v>
      </c>
      <c r="H155" s="7">
        <v>1525</v>
      </c>
      <c r="I155" s="7">
        <f>Daily_Data[[#This Row],[Room_rate]]*Daily_Data[[#This Row],[Rooms_Occupied]]</f>
        <v>21350</v>
      </c>
      <c r="J155" s="10">
        <f>Daily_Data[[#This Row],[Total_Sales]] * 0.22</f>
        <v>4697</v>
      </c>
      <c r="K155" s="10">
        <f>INDEX(Expense_master[Monthly_Rent],MATCH(Daily_Data[[#This Row],[Month_key]],Expense_master[Month_Key],0)) / INDEX(Expense_master[Days_in_Month],MATCH(Daily_Data[[#This Row],[Month_key]],Expense_master[Month_Key],0))</f>
        <v>7000</v>
      </c>
      <c r="L155" s="10">
        <f>SUMIFS(Expense_master[Staff_Salary],Expense_master[Month_Key],Daily_Data[[#This Row],[Month_key]]) / SUMIFS(Expense_master[Days_in_Month],Expense_master[Month_Key],Daily_Data[[#This Row],[Month_key]])</f>
        <v>2333.3333333333335</v>
      </c>
      <c r="M155" s="10">
        <f>Daily_Data[[#This Row],[Rooms_Occupied]] * (SUMIFS(Expense_master[Housekeeping_Laundy],Expense_master[Month_Key],Daily_Data[[#This Row],[Month_key]]) / SUMIFS(Occupancy_table[Monthly_rooms_Occupied],Occupancy_table[Month_Key],Daily_Data[[#This Row],[Month_key]]))</f>
        <v>426.82926829268291</v>
      </c>
      <c r="N1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1885.5465040650406</v>
      </c>
      <c r="O155" s="10">
        <f>SUMIFS(Expense_master[Monthly_Maintenance],Expense_master[Month_Key],Daily_Data[[#This Row],[Month_key]]) / SUMIFS(Expense_master[Days_in_Month],Expense_master[Month_Key], Daily_Data[[#This Row],[Month_key]])</f>
        <v>666.66666666666663</v>
      </c>
      <c r="P155" s="10">
        <f xml:space="preserve"> Daily_Data[[#This Row],[OTA Commision]] + Daily_Data[[#This Row],[Daily_Rent]]+Daily_Data[[#This Row],[Daily_Staff]]+Daily_Data[[#This Row],[Daily_HK]]+Daily_Data[[#This Row],[Daily_Electricity]] + Daily_Data[[#This Row],[Daily Maintenance]]</f>
        <v>17009.375772357726</v>
      </c>
      <c r="Q155" s="10">
        <f>Daily_Data[[#This Row],[Total_Sales]]-Daily_Data[[#This Row],[Total_Daily_Expense]]</f>
        <v>4340.6242276422745</v>
      </c>
      <c r="R155" s="10">
        <f>Daily_Data[[#This Row],[Total_Sales]]/Daily_Data[[#This Row],[Rooms_Occupied]]</f>
        <v>1525</v>
      </c>
      <c r="S155" s="10">
        <f>Daily_Data[[#This Row],[Total_Sales]] / Daily_Data[[#This Row],[Max_rooms]]</f>
        <v>1525</v>
      </c>
    </row>
    <row r="156" spans="1:19" x14ac:dyDescent="0.25">
      <c r="A156" s="6">
        <v>45081</v>
      </c>
      <c r="B156" s="20">
        <f>DATE(YEAR(Daily_Data[[#This Row],[Date]]), MONTH(Daily_Data[[#This Row],[Date]]), 1)</f>
        <v>45078</v>
      </c>
      <c r="C156" s="20" t="str">
        <f>TEXT(Daily_Data[[#This Row],[Month_key]],"mmmm")</f>
        <v>June</v>
      </c>
      <c r="D156" s="20" t="str">
        <f>TEXT(Daily_Data[[#This Row],[Month_key]],"yyyy")</f>
        <v>2023</v>
      </c>
      <c r="E156" s="7">
        <v>10</v>
      </c>
      <c r="F156" s="7">
        <v>14</v>
      </c>
      <c r="G156" s="8">
        <f>Daily_Data[[#This Row],[Rooms_Occupied]]/F156</f>
        <v>0.7142857142857143</v>
      </c>
      <c r="H156" s="7">
        <v>1905</v>
      </c>
      <c r="I156" s="7">
        <f>Daily_Data[[#This Row],[Room_rate]]*Daily_Data[[#This Row],[Rooms_Occupied]]</f>
        <v>19050</v>
      </c>
      <c r="J156" s="10">
        <f>Daily_Data[[#This Row],[Total_Sales]] * 0.22</f>
        <v>4191</v>
      </c>
      <c r="K156" s="10">
        <f>INDEX(Expense_master[Monthly_Rent],MATCH(Daily_Data[[#This Row],[Month_key]],Expense_master[Month_Key],0)) / INDEX(Expense_master[Days_in_Month],MATCH(Daily_Data[[#This Row],[Month_key]],Expense_master[Month_Key],0))</f>
        <v>7000</v>
      </c>
      <c r="L156" s="10">
        <f>SUMIFS(Expense_master[Staff_Salary],Expense_master[Month_Key],Daily_Data[[#This Row],[Month_key]]) / SUMIFS(Expense_master[Days_in_Month],Expense_master[Month_Key],Daily_Data[[#This Row],[Month_key]])</f>
        <v>2333.3333333333335</v>
      </c>
      <c r="M156" s="10">
        <f>Daily_Data[[#This Row],[Rooms_Occupied]] * (SUMIFS(Expense_master[Housekeeping_Laundy],Expense_master[Month_Key],Daily_Data[[#This Row],[Month_key]]) / SUMIFS(Occupancy_table[Monthly_rooms_Occupied],Occupancy_table[Month_Key],Daily_Data[[#This Row],[Month_key]]))</f>
        <v>304.8780487804878</v>
      </c>
      <c r="N1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1531.2684552845528</v>
      </c>
      <c r="O156" s="10">
        <f>SUMIFS(Expense_master[Monthly_Maintenance],Expense_master[Month_Key],Daily_Data[[#This Row],[Month_key]]) / SUMIFS(Expense_master[Days_in_Month],Expense_master[Month_Key], Daily_Data[[#This Row],[Month_key]])</f>
        <v>666.66666666666663</v>
      </c>
      <c r="P156" s="10">
        <f xml:space="preserve"> Daily_Data[[#This Row],[OTA Commision]] + Daily_Data[[#This Row],[Daily_Rent]]+Daily_Data[[#This Row],[Daily_Staff]]+Daily_Data[[#This Row],[Daily_HK]]+Daily_Data[[#This Row],[Daily_Electricity]] + Daily_Data[[#This Row],[Daily Maintenance]]</f>
        <v>16027.14650406504</v>
      </c>
      <c r="Q156" s="10">
        <f>Daily_Data[[#This Row],[Total_Sales]]-Daily_Data[[#This Row],[Total_Daily_Expense]]</f>
        <v>3022.8534959349599</v>
      </c>
      <c r="R156" s="10">
        <f>Daily_Data[[#This Row],[Total_Sales]]/Daily_Data[[#This Row],[Rooms_Occupied]]</f>
        <v>1905</v>
      </c>
      <c r="S156" s="10">
        <f>Daily_Data[[#This Row],[Total_Sales]] / Daily_Data[[#This Row],[Max_rooms]]</f>
        <v>1360.7142857142858</v>
      </c>
    </row>
    <row r="157" spans="1:19" x14ac:dyDescent="0.25">
      <c r="A157" s="6">
        <v>45082</v>
      </c>
      <c r="B157" s="20">
        <f>DATE(YEAR(Daily_Data[[#This Row],[Date]]), MONTH(Daily_Data[[#This Row],[Date]]), 1)</f>
        <v>45078</v>
      </c>
      <c r="C157" s="20" t="str">
        <f>TEXT(Daily_Data[[#This Row],[Month_key]],"mmmm")</f>
        <v>June</v>
      </c>
      <c r="D157" s="20" t="str">
        <f>TEXT(Daily_Data[[#This Row],[Month_key]],"yyyy")</f>
        <v>2023</v>
      </c>
      <c r="E157" s="7">
        <v>10</v>
      </c>
      <c r="F157" s="7">
        <v>14</v>
      </c>
      <c r="G157" s="8">
        <f>Daily_Data[[#This Row],[Rooms_Occupied]]/F157</f>
        <v>0.7142857142857143</v>
      </c>
      <c r="H157" s="7">
        <v>1265</v>
      </c>
      <c r="I157" s="7">
        <f>Daily_Data[[#This Row],[Room_rate]]*Daily_Data[[#This Row],[Rooms_Occupied]]</f>
        <v>12650</v>
      </c>
      <c r="J157" s="10">
        <f>Daily_Data[[#This Row],[Total_Sales]] * 0.22</f>
        <v>2783</v>
      </c>
      <c r="K157" s="10">
        <f>INDEX(Expense_master[Monthly_Rent],MATCH(Daily_Data[[#This Row],[Month_key]],Expense_master[Month_Key],0)) / INDEX(Expense_master[Days_in_Month],MATCH(Daily_Data[[#This Row],[Month_key]],Expense_master[Month_Key],0))</f>
        <v>7000</v>
      </c>
      <c r="L157" s="10">
        <f>SUMIFS(Expense_master[Staff_Salary],Expense_master[Month_Key],Daily_Data[[#This Row],[Month_key]]) / SUMIFS(Expense_master[Days_in_Month],Expense_master[Month_Key],Daily_Data[[#This Row],[Month_key]])</f>
        <v>2333.3333333333335</v>
      </c>
      <c r="M157" s="10">
        <f>Daily_Data[[#This Row],[Rooms_Occupied]] * (SUMIFS(Expense_master[Housekeeping_Laundy],Expense_master[Month_Key],Daily_Data[[#This Row],[Month_key]]) / SUMIFS(Occupancy_table[Monthly_rooms_Occupied],Occupancy_table[Month_Key],Daily_Data[[#This Row],[Month_key]]))</f>
        <v>304.8780487804878</v>
      </c>
      <c r="N1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1531.2684552845528</v>
      </c>
      <c r="O157" s="10">
        <f>SUMIFS(Expense_master[Monthly_Maintenance],Expense_master[Month_Key],Daily_Data[[#This Row],[Month_key]]) / SUMIFS(Expense_master[Days_in_Month],Expense_master[Month_Key], Daily_Data[[#This Row],[Month_key]])</f>
        <v>666.66666666666663</v>
      </c>
      <c r="P157" s="10">
        <f xml:space="preserve"> Daily_Data[[#This Row],[OTA Commision]] + Daily_Data[[#This Row],[Daily_Rent]]+Daily_Data[[#This Row],[Daily_Staff]]+Daily_Data[[#This Row],[Daily_HK]]+Daily_Data[[#This Row],[Daily_Electricity]] + Daily_Data[[#This Row],[Daily Maintenance]]</f>
        <v>14619.14650406504</v>
      </c>
      <c r="Q157" s="10">
        <f>Daily_Data[[#This Row],[Total_Sales]]-Daily_Data[[#This Row],[Total_Daily_Expense]]</f>
        <v>-1969.1465040650401</v>
      </c>
      <c r="R157" s="10">
        <f>Daily_Data[[#This Row],[Total_Sales]]/Daily_Data[[#This Row],[Rooms_Occupied]]</f>
        <v>1265</v>
      </c>
      <c r="S157" s="10">
        <f>Daily_Data[[#This Row],[Total_Sales]] / Daily_Data[[#This Row],[Max_rooms]]</f>
        <v>903.57142857142856</v>
      </c>
    </row>
    <row r="158" spans="1:19" x14ac:dyDescent="0.25">
      <c r="A158" s="6">
        <v>45083</v>
      </c>
      <c r="B158" s="20">
        <f>DATE(YEAR(Daily_Data[[#This Row],[Date]]), MONTH(Daily_Data[[#This Row],[Date]]), 1)</f>
        <v>45078</v>
      </c>
      <c r="C158" s="20" t="str">
        <f>TEXT(Daily_Data[[#This Row],[Month_key]],"mmmm")</f>
        <v>June</v>
      </c>
      <c r="D158" s="20" t="str">
        <f>TEXT(Daily_Data[[#This Row],[Month_key]],"yyyy")</f>
        <v>2023</v>
      </c>
      <c r="E158" s="7">
        <v>12</v>
      </c>
      <c r="F158" s="7">
        <v>14</v>
      </c>
      <c r="G158" s="8">
        <f>Daily_Data[[#This Row],[Rooms_Occupied]]/F158</f>
        <v>0.8571428571428571</v>
      </c>
      <c r="H158" s="7">
        <v>1246</v>
      </c>
      <c r="I158" s="7">
        <f>Daily_Data[[#This Row],[Room_rate]]*Daily_Data[[#This Row],[Rooms_Occupied]]</f>
        <v>14952</v>
      </c>
      <c r="J158" s="10">
        <f>Daily_Data[[#This Row],[Total_Sales]] * 0.22</f>
        <v>3289.44</v>
      </c>
      <c r="K158" s="10">
        <f>INDEX(Expense_master[Monthly_Rent],MATCH(Daily_Data[[#This Row],[Month_key]],Expense_master[Month_Key],0)) / INDEX(Expense_master[Days_in_Month],MATCH(Daily_Data[[#This Row],[Month_key]],Expense_master[Month_Key],0))</f>
        <v>7000</v>
      </c>
      <c r="L158" s="10">
        <f>SUMIFS(Expense_master[Staff_Salary],Expense_master[Month_Key],Daily_Data[[#This Row],[Month_key]]) / SUMIFS(Expense_master[Days_in_Month],Expense_master[Month_Key],Daily_Data[[#This Row],[Month_key]])</f>
        <v>2333.3333333333335</v>
      </c>
      <c r="M158" s="10">
        <f>Daily_Data[[#This Row],[Rooms_Occupied]] * (SUMIFS(Expense_master[Housekeeping_Laundy],Expense_master[Month_Key],Daily_Data[[#This Row],[Month_key]]) / SUMIFS(Occupancy_table[Monthly_rooms_Occupied],Occupancy_table[Month_Key],Daily_Data[[#This Row],[Month_key]]))</f>
        <v>365.85365853658539</v>
      </c>
      <c r="N1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1708.4074796747968</v>
      </c>
      <c r="O158" s="10">
        <f>SUMIFS(Expense_master[Monthly_Maintenance],Expense_master[Month_Key],Daily_Data[[#This Row],[Month_key]]) / SUMIFS(Expense_master[Days_in_Month],Expense_master[Month_Key], Daily_Data[[#This Row],[Month_key]])</f>
        <v>666.66666666666663</v>
      </c>
      <c r="P158" s="10">
        <f xml:space="preserve"> Daily_Data[[#This Row],[OTA Commision]] + Daily_Data[[#This Row],[Daily_Rent]]+Daily_Data[[#This Row],[Daily_Staff]]+Daily_Data[[#This Row],[Daily_HK]]+Daily_Data[[#This Row],[Daily_Electricity]] + Daily_Data[[#This Row],[Daily Maintenance]]</f>
        <v>15363.701138211383</v>
      </c>
      <c r="Q158" s="10">
        <f>Daily_Data[[#This Row],[Total_Sales]]-Daily_Data[[#This Row],[Total_Daily_Expense]]</f>
        <v>-411.7011382113833</v>
      </c>
      <c r="R158" s="10">
        <f>Daily_Data[[#This Row],[Total_Sales]]/Daily_Data[[#This Row],[Rooms_Occupied]]</f>
        <v>1246</v>
      </c>
      <c r="S158" s="10">
        <f>Daily_Data[[#This Row],[Total_Sales]] / Daily_Data[[#This Row],[Max_rooms]]</f>
        <v>1068</v>
      </c>
    </row>
    <row r="159" spans="1:19" x14ac:dyDescent="0.25">
      <c r="A159" s="6">
        <v>45084</v>
      </c>
      <c r="B159" s="20">
        <f>DATE(YEAR(Daily_Data[[#This Row],[Date]]), MONTH(Daily_Data[[#This Row],[Date]]), 1)</f>
        <v>45078</v>
      </c>
      <c r="C159" s="20" t="str">
        <f>TEXT(Daily_Data[[#This Row],[Month_key]],"mmmm")</f>
        <v>June</v>
      </c>
      <c r="D159" s="20" t="str">
        <f>TEXT(Daily_Data[[#This Row],[Month_key]],"yyyy")</f>
        <v>2023</v>
      </c>
      <c r="E159" s="7">
        <v>14</v>
      </c>
      <c r="F159" s="7">
        <v>14</v>
      </c>
      <c r="G159" s="8">
        <f>Daily_Data[[#This Row],[Rooms_Occupied]]/F159</f>
        <v>1</v>
      </c>
      <c r="H159" s="7">
        <v>1560</v>
      </c>
      <c r="I159" s="7">
        <f>Daily_Data[[#This Row],[Room_rate]]*Daily_Data[[#This Row],[Rooms_Occupied]]</f>
        <v>21840</v>
      </c>
      <c r="J159" s="10">
        <f>Daily_Data[[#This Row],[Total_Sales]] * 0.22</f>
        <v>4804.8</v>
      </c>
      <c r="K159" s="10">
        <f>INDEX(Expense_master[Monthly_Rent],MATCH(Daily_Data[[#This Row],[Month_key]],Expense_master[Month_Key],0)) / INDEX(Expense_master[Days_in_Month],MATCH(Daily_Data[[#This Row],[Month_key]],Expense_master[Month_Key],0))</f>
        <v>7000</v>
      </c>
      <c r="L159" s="10">
        <f>SUMIFS(Expense_master[Staff_Salary],Expense_master[Month_Key],Daily_Data[[#This Row],[Month_key]]) / SUMIFS(Expense_master[Days_in_Month],Expense_master[Month_Key],Daily_Data[[#This Row],[Month_key]])</f>
        <v>2333.3333333333335</v>
      </c>
      <c r="M159" s="10">
        <f>Daily_Data[[#This Row],[Rooms_Occupied]] * (SUMIFS(Expense_master[Housekeeping_Laundy],Expense_master[Month_Key],Daily_Data[[#This Row],[Month_key]]) / SUMIFS(Occupancy_table[Monthly_rooms_Occupied],Occupancy_table[Month_Key],Daily_Data[[#This Row],[Month_key]]))</f>
        <v>426.82926829268291</v>
      </c>
      <c r="N1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1885.5465040650406</v>
      </c>
      <c r="O159" s="10">
        <f>SUMIFS(Expense_master[Monthly_Maintenance],Expense_master[Month_Key],Daily_Data[[#This Row],[Month_key]]) / SUMIFS(Expense_master[Days_in_Month],Expense_master[Month_Key], Daily_Data[[#This Row],[Month_key]])</f>
        <v>666.66666666666663</v>
      </c>
      <c r="P159" s="10">
        <f xml:space="preserve"> Daily_Data[[#This Row],[OTA Commision]] + Daily_Data[[#This Row],[Daily_Rent]]+Daily_Data[[#This Row],[Daily_Staff]]+Daily_Data[[#This Row],[Daily_HK]]+Daily_Data[[#This Row],[Daily_Electricity]] + Daily_Data[[#This Row],[Daily Maintenance]]</f>
        <v>17117.175772357725</v>
      </c>
      <c r="Q159" s="10">
        <f>Daily_Data[[#This Row],[Total_Sales]]-Daily_Data[[#This Row],[Total_Daily_Expense]]</f>
        <v>4722.8242276422752</v>
      </c>
      <c r="R159" s="10">
        <f>Daily_Data[[#This Row],[Total_Sales]]/Daily_Data[[#This Row],[Rooms_Occupied]]</f>
        <v>1560</v>
      </c>
      <c r="S159" s="10">
        <f>Daily_Data[[#This Row],[Total_Sales]] / Daily_Data[[#This Row],[Max_rooms]]</f>
        <v>1560</v>
      </c>
    </row>
    <row r="160" spans="1:19" x14ac:dyDescent="0.25">
      <c r="A160" s="6">
        <v>45085</v>
      </c>
      <c r="B160" s="20">
        <f>DATE(YEAR(Daily_Data[[#This Row],[Date]]), MONTH(Daily_Data[[#This Row],[Date]]), 1)</f>
        <v>45078</v>
      </c>
      <c r="C160" s="20" t="str">
        <f>TEXT(Daily_Data[[#This Row],[Month_key]],"mmmm")</f>
        <v>June</v>
      </c>
      <c r="D160" s="20" t="str">
        <f>TEXT(Daily_Data[[#This Row],[Month_key]],"yyyy")</f>
        <v>2023</v>
      </c>
      <c r="E160" s="7">
        <v>9</v>
      </c>
      <c r="F160" s="7">
        <v>14</v>
      </c>
      <c r="G160" s="8">
        <f>Daily_Data[[#This Row],[Rooms_Occupied]]/F160</f>
        <v>0.6428571428571429</v>
      </c>
      <c r="H160" s="7">
        <v>1428</v>
      </c>
      <c r="I160" s="7">
        <f>Daily_Data[[#This Row],[Room_rate]]*Daily_Data[[#This Row],[Rooms_Occupied]]</f>
        <v>12852</v>
      </c>
      <c r="J160" s="10">
        <f>Daily_Data[[#This Row],[Total_Sales]] * 0.22</f>
        <v>2827.44</v>
      </c>
      <c r="K160" s="10">
        <f>INDEX(Expense_master[Monthly_Rent],MATCH(Daily_Data[[#This Row],[Month_key]],Expense_master[Month_Key],0)) / INDEX(Expense_master[Days_in_Month],MATCH(Daily_Data[[#This Row],[Month_key]],Expense_master[Month_Key],0))</f>
        <v>7000</v>
      </c>
      <c r="L160" s="10">
        <f>SUMIFS(Expense_master[Staff_Salary],Expense_master[Month_Key],Daily_Data[[#This Row],[Month_key]]) / SUMIFS(Expense_master[Days_in_Month],Expense_master[Month_Key],Daily_Data[[#This Row],[Month_key]])</f>
        <v>2333.3333333333335</v>
      </c>
      <c r="M160" s="10">
        <f>Daily_Data[[#This Row],[Rooms_Occupied]] * (SUMIFS(Expense_master[Housekeeping_Laundy],Expense_master[Month_Key],Daily_Data[[#This Row],[Month_key]]) / SUMIFS(Occupancy_table[Monthly_rooms_Occupied],Occupancy_table[Month_Key],Daily_Data[[#This Row],[Month_key]]))</f>
        <v>274.39024390243901</v>
      </c>
      <c r="N1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1442.6989430894309</v>
      </c>
      <c r="O160" s="10">
        <f>SUMIFS(Expense_master[Monthly_Maintenance],Expense_master[Month_Key],Daily_Data[[#This Row],[Month_key]]) / SUMIFS(Expense_master[Days_in_Month],Expense_master[Month_Key], Daily_Data[[#This Row],[Month_key]])</f>
        <v>666.66666666666663</v>
      </c>
      <c r="P160" s="10">
        <f xml:space="preserve"> Daily_Data[[#This Row],[OTA Commision]] + Daily_Data[[#This Row],[Daily_Rent]]+Daily_Data[[#This Row],[Daily_Staff]]+Daily_Data[[#This Row],[Daily_HK]]+Daily_Data[[#This Row],[Daily_Electricity]] + Daily_Data[[#This Row],[Daily Maintenance]]</f>
        <v>14544.529186991871</v>
      </c>
      <c r="Q160" s="10">
        <f>Daily_Data[[#This Row],[Total_Sales]]-Daily_Data[[#This Row],[Total_Daily_Expense]]</f>
        <v>-1692.529186991871</v>
      </c>
      <c r="R160" s="10">
        <f>Daily_Data[[#This Row],[Total_Sales]]/Daily_Data[[#This Row],[Rooms_Occupied]]</f>
        <v>1428</v>
      </c>
      <c r="S160" s="10">
        <f>Daily_Data[[#This Row],[Total_Sales]] / Daily_Data[[#This Row],[Max_rooms]]</f>
        <v>918</v>
      </c>
    </row>
    <row r="161" spans="1:19" x14ac:dyDescent="0.25">
      <c r="A161" s="6">
        <v>45086</v>
      </c>
      <c r="B161" s="20">
        <f>DATE(YEAR(Daily_Data[[#This Row],[Date]]), MONTH(Daily_Data[[#This Row],[Date]]), 1)</f>
        <v>45078</v>
      </c>
      <c r="C161" s="20" t="str">
        <f>TEXT(Daily_Data[[#This Row],[Month_key]],"mmmm")</f>
        <v>June</v>
      </c>
      <c r="D161" s="20" t="str">
        <f>TEXT(Daily_Data[[#This Row],[Month_key]],"yyyy")</f>
        <v>2023</v>
      </c>
      <c r="E161" s="7">
        <v>9</v>
      </c>
      <c r="F161" s="7">
        <v>14</v>
      </c>
      <c r="G161" s="8">
        <f>Daily_Data[[#This Row],[Rooms_Occupied]]/F161</f>
        <v>0.6428571428571429</v>
      </c>
      <c r="H161" s="7">
        <v>1775</v>
      </c>
      <c r="I161" s="7">
        <f>Daily_Data[[#This Row],[Room_rate]]*Daily_Data[[#This Row],[Rooms_Occupied]]</f>
        <v>15975</v>
      </c>
      <c r="J161" s="10">
        <f>Daily_Data[[#This Row],[Total_Sales]] * 0.22</f>
        <v>3514.5</v>
      </c>
      <c r="K161" s="10">
        <f>INDEX(Expense_master[Monthly_Rent],MATCH(Daily_Data[[#This Row],[Month_key]],Expense_master[Month_Key],0)) / INDEX(Expense_master[Days_in_Month],MATCH(Daily_Data[[#This Row],[Month_key]],Expense_master[Month_Key],0))</f>
        <v>7000</v>
      </c>
      <c r="L161" s="10">
        <f>SUMIFS(Expense_master[Staff_Salary],Expense_master[Month_Key],Daily_Data[[#This Row],[Month_key]]) / SUMIFS(Expense_master[Days_in_Month],Expense_master[Month_Key],Daily_Data[[#This Row],[Month_key]])</f>
        <v>2333.3333333333335</v>
      </c>
      <c r="M161" s="10">
        <f>Daily_Data[[#This Row],[Rooms_Occupied]] * (SUMIFS(Expense_master[Housekeeping_Laundy],Expense_master[Month_Key],Daily_Data[[#This Row],[Month_key]]) / SUMIFS(Occupancy_table[Monthly_rooms_Occupied],Occupancy_table[Month_Key],Daily_Data[[#This Row],[Month_key]]))</f>
        <v>274.39024390243901</v>
      </c>
      <c r="N1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1442.6989430894309</v>
      </c>
      <c r="O161" s="10">
        <f>SUMIFS(Expense_master[Monthly_Maintenance],Expense_master[Month_Key],Daily_Data[[#This Row],[Month_key]]) / SUMIFS(Expense_master[Days_in_Month],Expense_master[Month_Key], Daily_Data[[#This Row],[Month_key]])</f>
        <v>666.66666666666663</v>
      </c>
      <c r="P161" s="10">
        <f xml:space="preserve"> Daily_Data[[#This Row],[OTA Commision]] + Daily_Data[[#This Row],[Daily_Rent]]+Daily_Data[[#This Row],[Daily_Staff]]+Daily_Data[[#This Row],[Daily_HK]]+Daily_Data[[#This Row],[Daily_Electricity]] + Daily_Data[[#This Row],[Daily Maintenance]]</f>
        <v>15231.589186991869</v>
      </c>
      <c r="Q161" s="10">
        <f>Daily_Data[[#This Row],[Total_Sales]]-Daily_Data[[#This Row],[Total_Daily_Expense]]</f>
        <v>743.4108130081313</v>
      </c>
      <c r="R161" s="10">
        <f>Daily_Data[[#This Row],[Total_Sales]]/Daily_Data[[#This Row],[Rooms_Occupied]]</f>
        <v>1775</v>
      </c>
      <c r="S161" s="10">
        <f>Daily_Data[[#This Row],[Total_Sales]] / Daily_Data[[#This Row],[Max_rooms]]</f>
        <v>1141.0714285714287</v>
      </c>
    </row>
    <row r="162" spans="1:19" x14ac:dyDescent="0.25">
      <c r="A162" s="6">
        <v>45087</v>
      </c>
      <c r="B162" s="20">
        <f>DATE(YEAR(Daily_Data[[#This Row],[Date]]), MONTH(Daily_Data[[#This Row],[Date]]), 1)</f>
        <v>45078</v>
      </c>
      <c r="C162" s="20" t="str">
        <f>TEXT(Daily_Data[[#This Row],[Month_key]],"mmmm")</f>
        <v>June</v>
      </c>
      <c r="D162" s="20" t="str">
        <f>TEXT(Daily_Data[[#This Row],[Month_key]],"yyyy")</f>
        <v>2023</v>
      </c>
      <c r="E162" s="7">
        <v>13</v>
      </c>
      <c r="F162" s="7">
        <v>14</v>
      </c>
      <c r="G162" s="8">
        <f>Daily_Data[[#This Row],[Rooms_Occupied]]/F162</f>
        <v>0.9285714285714286</v>
      </c>
      <c r="H162" s="7">
        <v>1944</v>
      </c>
      <c r="I162" s="7">
        <f>Daily_Data[[#This Row],[Room_rate]]*Daily_Data[[#This Row],[Rooms_Occupied]]</f>
        <v>25272</v>
      </c>
      <c r="J162" s="10">
        <f>Daily_Data[[#This Row],[Total_Sales]] * 0.22</f>
        <v>5559.84</v>
      </c>
      <c r="K162" s="10">
        <f>INDEX(Expense_master[Monthly_Rent],MATCH(Daily_Data[[#This Row],[Month_key]],Expense_master[Month_Key],0)) / INDEX(Expense_master[Days_in_Month],MATCH(Daily_Data[[#This Row],[Month_key]],Expense_master[Month_Key],0))</f>
        <v>7000</v>
      </c>
      <c r="L162" s="10">
        <f>SUMIFS(Expense_master[Staff_Salary],Expense_master[Month_Key],Daily_Data[[#This Row],[Month_key]]) / SUMIFS(Expense_master[Days_in_Month],Expense_master[Month_Key],Daily_Data[[#This Row],[Month_key]])</f>
        <v>2333.3333333333335</v>
      </c>
      <c r="M162" s="10">
        <f>Daily_Data[[#This Row],[Rooms_Occupied]] * (SUMIFS(Expense_master[Housekeeping_Laundy],Expense_master[Month_Key],Daily_Data[[#This Row],[Month_key]]) / SUMIFS(Occupancy_table[Monthly_rooms_Occupied],Occupancy_table[Month_Key],Daily_Data[[#This Row],[Month_key]]))</f>
        <v>396.34146341463418</v>
      </c>
      <c r="N1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1796.9769918699185</v>
      </c>
      <c r="O162" s="10">
        <f>SUMIFS(Expense_master[Monthly_Maintenance],Expense_master[Month_Key],Daily_Data[[#This Row],[Month_key]]) / SUMIFS(Expense_master[Days_in_Month],Expense_master[Month_Key], Daily_Data[[#This Row],[Month_key]])</f>
        <v>666.66666666666663</v>
      </c>
      <c r="P162" s="10">
        <f xml:space="preserve"> Daily_Data[[#This Row],[OTA Commision]] + Daily_Data[[#This Row],[Daily_Rent]]+Daily_Data[[#This Row],[Daily_Staff]]+Daily_Data[[#This Row],[Daily_HK]]+Daily_Data[[#This Row],[Daily_Electricity]] + Daily_Data[[#This Row],[Daily Maintenance]]</f>
        <v>17753.158455284556</v>
      </c>
      <c r="Q162" s="10">
        <f>Daily_Data[[#This Row],[Total_Sales]]-Daily_Data[[#This Row],[Total_Daily_Expense]]</f>
        <v>7518.8415447154439</v>
      </c>
      <c r="R162" s="10">
        <f>Daily_Data[[#This Row],[Total_Sales]]/Daily_Data[[#This Row],[Rooms_Occupied]]</f>
        <v>1944</v>
      </c>
      <c r="S162" s="10">
        <f>Daily_Data[[#This Row],[Total_Sales]] / Daily_Data[[#This Row],[Max_rooms]]</f>
        <v>1805.1428571428571</v>
      </c>
    </row>
    <row r="163" spans="1:19" x14ac:dyDescent="0.25">
      <c r="A163" s="6">
        <v>45088</v>
      </c>
      <c r="B163" s="20">
        <f>DATE(YEAR(Daily_Data[[#This Row],[Date]]), MONTH(Daily_Data[[#This Row],[Date]]), 1)</f>
        <v>45078</v>
      </c>
      <c r="C163" s="20" t="str">
        <f>TEXT(Daily_Data[[#This Row],[Month_key]],"mmmm")</f>
        <v>June</v>
      </c>
      <c r="D163" s="20" t="str">
        <f>TEXT(Daily_Data[[#This Row],[Month_key]],"yyyy")</f>
        <v>2023</v>
      </c>
      <c r="E163" s="7">
        <v>8</v>
      </c>
      <c r="F163" s="7">
        <v>14</v>
      </c>
      <c r="G163" s="8">
        <f>Daily_Data[[#This Row],[Rooms_Occupied]]/F163</f>
        <v>0.5714285714285714</v>
      </c>
      <c r="H163" s="7">
        <v>1235</v>
      </c>
      <c r="I163" s="7">
        <f>Daily_Data[[#This Row],[Room_rate]]*Daily_Data[[#This Row],[Rooms_Occupied]]</f>
        <v>9880</v>
      </c>
      <c r="J163" s="10">
        <f>Daily_Data[[#This Row],[Total_Sales]] * 0.22</f>
        <v>2173.6</v>
      </c>
      <c r="K163" s="10">
        <f>INDEX(Expense_master[Monthly_Rent],MATCH(Daily_Data[[#This Row],[Month_key]],Expense_master[Month_Key],0)) / INDEX(Expense_master[Days_in_Month],MATCH(Daily_Data[[#This Row],[Month_key]],Expense_master[Month_Key],0))</f>
        <v>7000</v>
      </c>
      <c r="L163" s="10">
        <f>SUMIFS(Expense_master[Staff_Salary],Expense_master[Month_Key],Daily_Data[[#This Row],[Month_key]]) / SUMIFS(Expense_master[Days_in_Month],Expense_master[Month_Key],Daily_Data[[#This Row],[Month_key]])</f>
        <v>2333.3333333333335</v>
      </c>
      <c r="M163" s="10">
        <f>Daily_Data[[#This Row],[Rooms_Occupied]] * (SUMIFS(Expense_master[Housekeeping_Laundy],Expense_master[Month_Key],Daily_Data[[#This Row],[Month_key]]) / SUMIFS(Occupancy_table[Monthly_rooms_Occupied],Occupancy_table[Month_Key],Daily_Data[[#This Row],[Month_key]]))</f>
        <v>243.90243902439025</v>
      </c>
      <c r="N1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1354.1294308943088</v>
      </c>
      <c r="O163" s="10">
        <f>SUMIFS(Expense_master[Monthly_Maintenance],Expense_master[Month_Key],Daily_Data[[#This Row],[Month_key]]) / SUMIFS(Expense_master[Days_in_Month],Expense_master[Month_Key], Daily_Data[[#This Row],[Month_key]])</f>
        <v>666.66666666666663</v>
      </c>
      <c r="P163" s="10">
        <f xml:space="preserve"> Daily_Data[[#This Row],[OTA Commision]] + Daily_Data[[#This Row],[Daily_Rent]]+Daily_Data[[#This Row],[Daily_Staff]]+Daily_Data[[#This Row],[Daily_HK]]+Daily_Data[[#This Row],[Daily_Electricity]] + Daily_Data[[#This Row],[Daily Maintenance]]</f>
        <v>13771.6318699187</v>
      </c>
      <c r="Q163" s="10">
        <f>Daily_Data[[#This Row],[Total_Sales]]-Daily_Data[[#This Row],[Total_Daily_Expense]]</f>
        <v>-3891.6318699186995</v>
      </c>
      <c r="R163" s="10">
        <f>Daily_Data[[#This Row],[Total_Sales]]/Daily_Data[[#This Row],[Rooms_Occupied]]</f>
        <v>1235</v>
      </c>
      <c r="S163" s="10">
        <f>Daily_Data[[#This Row],[Total_Sales]] / Daily_Data[[#This Row],[Max_rooms]]</f>
        <v>705.71428571428567</v>
      </c>
    </row>
    <row r="164" spans="1:19" x14ac:dyDescent="0.25">
      <c r="A164" s="6">
        <v>45089</v>
      </c>
      <c r="B164" s="20">
        <f>DATE(YEAR(Daily_Data[[#This Row],[Date]]), MONTH(Daily_Data[[#This Row],[Date]]), 1)</f>
        <v>45078</v>
      </c>
      <c r="C164" s="20" t="str">
        <f>TEXT(Daily_Data[[#This Row],[Month_key]],"mmmm")</f>
        <v>June</v>
      </c>
      <c r="D164" s="20" t="str">
        <f>TEXT(Daily_Data[[#This Row],[Month_key]],"yyyy")</f>
        <v>2023</v>
      </c>
      <c r="E164" s="7">
        <v>8</v>
      </c>
      <c r="F164" s="7">
        <v>14</v>
      </c>
      <c r="G164" s="8">
        <f>Daily_Data[[#This Row],[Rooms_Occupied]]/F164</f>
        <v>0.5714285714285714</v>
      </c>
      <c r="H164" s="7">
        <v>1542</v>
      </c>
      <c r="I164" s="7">
        <f>Daily_Data[[#This Row],[Room_rate]]*Daily_Data[[#This Row],[Rooms_Occupied]]</f>
        <v>12336</v>
      </c>
      <c r="J164" s="10">
        <f>Daily_Data[[#This Row],[Total_Sales]] * 0.22</f>
        <v>2713.92</v>
      </c>
      <c r="K164" s="10">
        <f>INDEX(Expense_master[Monthly_Rent],MATCH(Daily_Data[[#This Row],[Month_key]],Expense_master[Month_Key],0)) / INDEX(Expense_master[Days_in_Month],MATCH(Daily_Data[[#This Row],[Month_key]],Expense_master[Month_Key],0))</f>
        <v>7000</v>
      </c>
      <c r="L164" s="10">
        <f>SUMIFS(Expense_master[Staff_Salary],Expense_master[Month_Key],Daily_Data[[#This Row],[Month_key]]) / SUMIFS(Expense_master[Days_in_Month],Expense_master[Month_Key],Daily_Data[[#This Row],[Month_key]])</f>
        <v>2333.3333333333335</v>
      </c>
      <c r="M164" s="10">
        <f>Daily_Data[[#This Row],[Rooms_Occupied]] * (SUMIFS(Expense_master[Housekeeping_Laundy],Expense_master[Month_Key],Daily_Data[[#This Row],[Month_key]]) / SUMIFS(Occupancy_table[Monthly_rooms_Occupied],Occupancy_table[Month_Key],Daily_Data[[#This Row],[Month_key]]))</f>
        <v>243.90243902439025</v>
      </c>
      <c r="N1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1354.1294308943088</v>
      </c>
      <c r="O164" s="10">
        <f>SUMIFS(Expense_master[Monthly_Maintenance],Expense_master[Month_Key],Daily_Data[[#This Row],[Month_key]]) / SUMIFS(Expense_master[Days_in_Month],Expense_master[Month_Key], Daily_Data[[#This Row],[Month_key]])</f>
        <v>666.66666666666663</v>
      </c>
      <c r="P164" s="10">
        <f xml:space="preserve"> Daily_Data[[#This Row],[OTA Commision]] + Daily_Data[[#This Row],[Daily_Rent]]+Daily_Data[[#This Row],[Daily_Staff]]+Daily_Data[[#This Row],[Daily_HK]]+Daily_Data[[#This Row],[Daily_Electricity]] + Daily_Data[[#This Row],[Daily Maintenance]]</f>
        <v>14311.951869918699</v>
      </c>
      <c r="Q164" s="10">
        <f>Daily_Data[[#This Row],[Total_Sales]]-Daily_Data[[#This Row],[Total_Daily_Expense]]</f>
        <v>-1975.9518699186992</v>
      </c>
      <c r="R164" s="10">
        <f>Daily_Data[[#This Row],[Total_Sales]]/Daily_Data[[#This Row],[Rooms_Occupied]]</f>
        <v>1542</v>
      </c>
      <c r="S164" s="10">
        <f>Daily_Data[[#This Row],[Total_Sales]] / Daily_Data[[#This Row],[Max_rooms]]</f>
        <v>881.14285714285711</v>
      </c>
    </row>
    <row r="165" spans="1:19" x14ac:dyDescent="0.25">
      <c r="A165" s="6">
        <v>45090</v>
      </c>
      <c r="B165" s="20">
        <f>DATE(YEAR(Daily_Data[[#This Row],[Date]]), MONTH(Daily_Data[[#This Row],[Date]]), 1)</f>
        <v>45078</v>
      </c>
      <c r="C165" s="20" t="str">
        <f>TEXT(Daily_Data[[#This Row],[Month_key]],"mmmm")</f>
        <v>June</v>
      </c>
      <c r="D165" s="20" t="str">
        <f>TEXT(Daily_Data[[#This Row],[Month_key]],"yyyy")</f>
        <v>2023</v>
      </c>
      <c r="E165" s="7">
        <v>9</v>
      </c>
      <c r="F165" s="7">
        <v>14</v>
      </c>
      <c r="G165" s="8">
        <f>Daily_Data[[#This Row],[Rooms_Occupied]]/F165</f>
        <v>0.6428571428571429</v>
      </c>
      <c r="H165" s="7">
        <v>1645</v>
      </c>
      <c r="I165" s="7">
        <f>Daily_Data[[#This Row],[Room_rate]]*Daily_Data[[#This Row],[Rooms_Occupied]]</f>
        <v>14805</v>
      </c>
      <c r="J165" s="10">
        <f>Daily_Data[[#This Row],[Total_Sales]] * 0.22</f>
        <v>3257.1</v>
      </c>
      <c r="K165" s="10">
        <f>INDEX(Expense_master[Monthly_Rent],MATCH(Daily_Data[[#This Row],[Month_key]],Expense_master[Month_Key],0)) / INDEX(Expense_master[Days_in_Month],MATCH(Daily_Data[[#This Row],[Month_key]],Expense_master[Month_Key],0))</f>
        <v>7000</v>
      </c>
      <c r="L165" s="10">
        <f>SUMIFS(Expense_master[Staff_Salary],Expense_master[Month_Key],Daily_Data[[#This Row],[Month_key]]) / SUMIFS(Expense_master[Days_in_Month],Expense_master[Month_Key],Daily_Data[[#This Row],[Month_key]])</f>
        <v>2333.3333333333335</v>
      </c>
      <c r="M165" s="10">
        <f>Daily_Data[[#This Row],[Rooms_Occupied]] * (SUMIFS(Expense_master[Housekeeping_Laundy],Expense_master[Month_Key],Daily_Data[[#This Row],[Month_key]]) / SUMIFS(Occupancy_table[Monthly_rooms_Occupied],Occupancy_table[Month_Key],Daily_Data[[#This Row],[Month_key]]))</f>
        <v>274.39024390243901</v>
      </c>
      <c r="N1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1442.6989430894309</v>
      </c>
      <c r="O165" s="10">
        <f>SUMIFS(Expense_master[Monthly_Maintenance],Expense_master[Month_Key],Daily_Data[[#This Row],[Month_key]]) / SUMIFS(Expense_master[Days_in_Month],Expense_master[Month_Key], Daily_Data[[#This Row],[Month_key]])</f>
        <v>666.66666666666663</v>
      </c>
      <c r="P165" s="10">
        <f xml:space="preserve"> Daily_Data[[#This Row],[OTA Commision]] + Daily_Data[[#This Row],[Daily_Rent]]+Daily_Data[[#This Row],[Daily_Staff]]+Daily_Data[[#This Row],[Daily_HK]]+Daily_Data[[#This Row],[Daily_Electricity]] + Daily_Data[[#This Row],[Daily Maintenance]]</f>
        <v>14974.189186991871</v>
      </c>
      <c r="Q165" s="10">
        <f>Daily_Data[[#This Row],[Total_Sales]]-Daily_Data[[#This Row],[Total_Daily_Expense]]</f>
        <v>-169.18918699187088</v>
      </c>
      <c r="R165" s="10">
        <f>Daily_Data[[#This Row],[Total_Sales]]/Daily_Data[[#This Row],[Rooms_Occupied]]</f>
        <v>1645</v>
      </c>
      <c r="S165" s="10">
        <f>Daily_Data[[#This Row],[Total_Sales]] / Daily_Data[[#This Row],[Max_rooms]]</f>
        <v>1057.5</v>
      </c>
    </row>
    <row r="166" spans="1:19" x14ac:dyDescent="0.25">
      <c r="A166" s="6">
        <v>45091</v>
      </c>
      <c r="B166" s="20">
        <f>DATE(YEAR(Daily_Data[[#This Row],[Date]]), MONTH(Daily_Data[[#This Row],[Date]]), 1)</f>
        <v>45078</v>
      </c>
      <c r="C166" s="20" t="str">
        <f>TEXT(Daily_Data[[#This Row],[Month_key]],"mmmm")</f>
        <v>June</v>
      </c>
      <c r="D166" s="20" t="str">
        <f>TEXT(Daily_Data[[#This Row],[Month_key]],"yyyy")</f>
        <v>2023</v>
      </c>
      <c r="E166" s="7">
        <v>13</v>
      </c>
      <c r="F166" s="7">
        <v>14</v>
      </c>
      <c r="G166" s="8">
        <f>Daily_Data[[#This Row],[Rooms_Occupied]]/F166</f>
        <v>0.9285714285714286</v>
      </c>
      <c r="H166" s="7">
        <v>1305</v>
      </c>
      <c r="I166" s="7">
        <f>Daily_Data[[#This Row],[Room_rate]]*Daily_Data[[#This Row],[Rooms_Occupied]]</f>
        <v>16965</v>
      </c>
      <c r="J166" s="10">
        <f>Daily_Data[[#This Row],[Total_Sales]] * 0.22</f>
        <v>3732.3</v>
      </c>
      <c r="K166" s="10">
        <f>INDEX(Expense_master[Monthly_Rent],MATCH(Daily_Data[[#This Row],[Month_key]],Expense_master[Month_Key],0)) / INDEX(Expense_master[Days_in_Month],MATCH(Daily_Data[[#This Row],[Month_key]],Expense_master[Month_Key],0))</f>
        <v>7000</v>
      </c>
      <c r="L166" s="10">
        <f>SUMIFS(Expense_master[Staff_Salary],Expense_master[Month_Key],Daily_Data[[#This Row],[Month_key]]) / SUMIFS(Expense_master[Days_in_Month],Expense_master[Month_Key],Daily_Data[[#This Row],[Month_key]])</f>
        <v>2333.3333333333335</v>
      </c>
      <c r="M166" s="10">
        <f>Daily_Data[[#This Row],[Rooms_Occupied]] * (SUMIFS(Expense_master[Housekeeping_Laundy],Expense_master[Month_Key],Daily_Data[[#This Row],[Month_key]]) / SUMIFS(Occupancy_table[Monthly_rooms_Occupied],Occupancy_table[Month_Key],Daily_Data[[#This Row],[Month_key]]))</f>
        <v>396.34146341463418</v>
      </c>
      <c r="N1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1796.9769918699185</v>
      </c>
      <c r="O166" s="10">
        <f>SUMIFS(Expense_master[Monthly_Maintenance],Expense_master[Month_Key],Daily_Data[[#This Row],[Month_key]]) / SUMIFS(Expense_master[Days_in_Month],Expense_master[Month_Key], Daily_Data[[#This Row],[Month_key]])</f>
        <v>666.66666666666663</v>
      </c>
      <c r="P166" s="10">
        <f xml:space="preserve"> Daily_Data[[#This Row],[OTA Commision]] + Daily_Data[[#This Row],[Daily_Rent]]+Daily_Data[[#This Row],[Daily_Staff]]+Daily_Data[[#This Row],[Daily_HK]]+Daily_Data[[#This Row],[Daily_Electricity]] + Daily_Data[[#This Row],[Daily Maintenance]]</f>
        <v>15925.618455284552</v>
      </c>
      <c r="Q166" s="10">
        <f>Daily_Data[[#This Row],[Total_Sales]]-Daily_Data[[#This Row],[Total_Daily_Expense]]</f>
        <v>1039.3815447154484</v>
      </c>
      <c r="R166" s="10">
        <f>Daily_Data[[#This Row],[Total_Sales]]/Daily_Data[[#This Row],[Rooms_Occupied]]</f>
        <v>1305</v>
      </c>
      <c r="S166" s="10">
        <f>Daily_Data[[#This Row],[Total_Sales]] / Daily_Data[[#This Row],[Max_rooms]]</f>
        <v>1211.7857142857142</v>
      </c>
    </row>
    <row r="167" spans="1:19" x14ac:dyDescent="0.25">
      <c r="A167" s="6">
        <v>45092</v>
      </c>
      <c r="B167" s="20">
        <f>DATE(YEAR(Daily_Data[[#This Row],[Date]]), MONTH(Daily_Data[[#This Row],[Date]]), 1)</f>
        <v>45078</v>
      </c>
      <c r="C167" s="20" t="str">
        <f>TEXT(Daily_Data[[#This Row],[Month_key]],"mmmm")</f>
        <v>June</v>
      </c>
      <c r="D167" s="20" t="str">
        <f>TEXT(Daily_Data[[#This Row],[Month_key]],"yyyy")</f>
        <v>2023</v>
      </c>
      <c r="E167" s="7">
        <v>12</v>
      </c>
      <c r="F167" s="7">
        <v>14</v>
      </c>
      <c r="G167" s="8">
        <f>Daily_Data[[#This Row],[Rooms_Occupied]]/F167</f>
        <v>0.8571428571428571</v>
      </c>
      <c r="H167" s="7">
        <v>1235</v>
      </c>
      <c r="I167" s="7">
        <f>Daily_Data[[#This Row],[Room_rate]]*Daily_Data[[#This Row],[Rooms_Occupied]]</f>
        <v>14820</v>
      </c>
      <c r="J167" s="10">
        <f>Daily_Data[[#This Row],[Total_Sales]] * 0.22</f>
        <v>3260.4</v>
      </c>
      <c r="K167" s="10">
        <f>INDEX(Expense_master[Monthly_Rent],MATCH(Daily_Data[[#This Row],[Month_key]],Expense_master[Month_Key],0)) / INDEX(Expense_master[Days_in_Month],MATCH(Daily_Data[[#This Row],[Month_key]],Expense_master[Month_Key],0))</f>
        <v>7000</v>
      </c>
      <c r="L167" s="10">
        <f>SUMIFS(Expense_master[Staff_Salary],Expense_master[Month_Key],Daily_Data[[#This Row],[Month_key]]) / SUMIFS(Expense_master[Days_in_Month],Expense_master[Month_Key],Daily_Data[[#This Row],[Month_key]])</f>
        <v>2333.3333333333335</v>
      </c>
      <c r="M167" s="10">
        <f>Daily_Data[[#This Row],[Rooms_Occupied]] * (SUMIFS(Expense_master[Housekeeping_Laundy],Expense_master[Month_Key],Daily_Data[[#This Row],[Month_key]]) / SUMIFS(Occupancy_table[Monthly_rooms_Occupied],Occupancy_table[Month_Key],Daily_Data[[#This Row],[Month_key]]))</f>
        <v>365.85365853658539</v>
      </c>
      <c r="N1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1708.4074796747968</v>
      </c>
      <c r="O167" s="10">
        <f>SUMIFS(Expense_master[Monthly_Maintenance],Expense_master[Month_Key],Daily_Data[[#This Row],[Month_key]]) / SUMIFS(Expense_master[Days_in_Month],Expense_master[Month_Key], Daily_Data[[#This Row],[Month_key]])</f>
        <v>666.66666666666663</v>
      </c>
      <c r="P167" s="10">
        <f xml:space="preserve"> Daily_Data[[#This Row],[OTA Commision]] + Daily_Data[[#This Row],[Daily_Rent]]+Daily_Data[[#This Row],[Daily_Staff]]+Daily_Data[[#This Row],[Daily_HK]]+Daily_Data[[#This Row],[Daily_Electricity]] + Daily_Data[[#This Row],[Daily Maintenance]]</f>
        <v>15334.661138211382</v>
      </c>
      <c r="Q167" s="10">
        <f>Daily_Data[[#This Row],[Total_Sales]]-Daily_Data[[#This Row],[Total_Daily_Expense]]</f>
        <v>-514.66113821138242</v>
      </c>
      <c r="R167" s="10">
        <f>Daily_Data[[#This Row],[Total_Sales]]/Daily_Data[[#This Row],[Rooms_Occupied]]</f>
        <v>1235</v>
      </c>
      <c r="S167" s="10">
        <f>Daily_Data[[#This Row],[Total_Sales]] / Daily_Data[[#This Row],[Max_rooms]]</f>
        <v>1058.5714285714287</v>
      </c>
    </row>
    <row r="168" spans="1:19" x14ac:dyDescent="0.25">
      <c r="A168" s="6">
        <v>45093</v>
      </c>
      <c r="B168" s="20">
        <f>DATE(YEAR(Daily_Data[[#This Row],[Date]]), MONTH(Daily_Data[[#This Row],[Date]]), 1)</f>
        <v>45078</v>
      </c>
      <c r="C168" s="20" t="str">
        <f>TEXT(Daily_Data[[#This Row],[Month_key]],"mmmm")</f>
        <v>June</v>
      </c>
      <c r="D168" s="20" t="str">
        <f>TEXT(Daily_Data[[#This Row],[Month_key]],"yyyy")</f>
        <v>2023</v>
      </c>
      <c r="E168" s="7">
        <v>11</v>
      </c>
      <c r="F168" s="7">
        <v>14</v>
      </c>
      <c r="G168" s="8">
        <f>Daily_Data[[#This Row],[Rooms_Occupied]]/F168</f>
        <v>0.7857142857142857</v>
      </c>
      <c r="H168" s="7">
        <v>1044</v>
      </c>
      <c r="I168" s="7">
        <f>Daily_Data[[#This Row],[Room_rate]]*Daily_Data[[#This Row],[Rooms_Occupied]]</f>
        <v>11484</v>
      </c>
      <c r="J168" s="10">
        <f>Daily_Data[[#This Row],[Total_Sales]] * 0.22</f>
        <v>2526.48</v>
      </c>
      <c r="K168" s="10">
        <f>INDEX(Expense_master[Monthly_Rent],MATCH(Daily_Data[[#This Row],[Month_key]],Expense_master[Month_Key],0)) / INDEX(Expense_master[Days_in_Month],MATCH(Daily_Data[[#This Row],[Month_key]],Expense_master[Month_Key],0))</f>
        <v>7000</v>
      </c>
      <c r="L168" s="10">
        <f>SUMIFS(Expense_master[Staff_Salary],Expense_master[Month_Key],Daily_Data[[#This Row],[Month_key]]) / SUMIFS(Expense_master[Days_in_Month],Expense_master[Month_Key],Daily_Data[[#This Row],[Month_key]])</f>
        <v>2333.3333333333335</v>
      </c>
      <c r="M168" s="10">
        <f>Daily_Data[[#This Row],[Rooms_Occupied]] * (SUMIFS(Expense_master[Housekeeping_Laundy],Expense_master[Month_Key],Daily_Data[[#This Row],[Month_key]]) / SUMIFS(Occupancy_table[Monthly_rooms_Occupied],Occupancy_table[Month_Key],Daily_Data[[#This Row],[Month_key]]))</f>
        <v>335.36585365853659</v>
      </c>
      <c r="N1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1619.8379674796747</v>
      </c>
      <c r="O168" s="10">
        <f>SUMIFS(Expense_master[Monthly_Maintenance],Expense_master[Month_Key],Daily_Data[[#This Row],[Month_key]]) / SUMIFS(Expense_master[Days_in_Month],Expense_master[Month_Key], Daily_Data[[#This Row],[Month_key]])</f>
        <v>666.66666666666663</v>
      </c>
      <c r="P168" s="10">
        <f xml:space="preserve"> Daily_Data[[#This Row],[OTA Commision]] + Daily_Data[[#This Row],[Daily_Rent]]+Daily_Data[[#This Row],[Daily_Staff]]+Daily_Data[[#This Row],[Daily_HK]]+Daily_Data[[#This Row],[Daily_Electricity]] + Daily_Data[[#This Row],[Daily Maintenance]]</f>
        <v>14481.683821138211</v>
      </c>
      <c r="Q168" s="10">
        <f>Daily_Data[[#This Row],[Total_Sales]]-Daily_Data[[#This Row],[Total_Daily_Expense]]</f>
        <v>-2997.683821138211</v>
      </c>
      <c r="R168" s="10">
        <f>Daily_Data[[#This Row],[Total_Sales]]/Daily_Data[[#This Row],[Rooms_Occupied]]</f>
        <v>1044</v>
      </c>
      <c r="S168" s="10">
        <f>Daily_Data[[#This Row],[Total_Sales]] / Daily_Data[[#This Row],[Max_rooms]]</f>
        <v>820.28571428571433</v>
      </c>
    </row>
    <row r="169" spans="1:19" x14ac:dyDescent="0.25">
      <c r="A169" s="6">
        <v>45094</v>
      </c>
      <c r="B169" s="20">
        <f>DATE(YEAR(Daily_Data[[#This Row],[Date]]), MONTH(Daily_Data[[#This Row],[Date]]), 1)</f>
        <v>45078</v>
      </c>
      <c r="C169" s="20" t="str">
        <f>TEXT(Daily_Data[[#This Row],[Month_key]],"mmmm")</f>
        <v>June</v>
      </c>
      <c r="D169" s="20" t="str">
        <f>TEXT(Daily_Data[[#This Row],[Month_key]],"yyyy")</f>
        <v>2023</v>
      </c>
      <c r="E169" s="7">
        <v>9</v>
      </c>
      <c r="F169" s="7">
        <v>14</v>
      </c>
      <c r="G169" s="8">
        <f>Daily_Data[[#This Row],[Rooms_Occupied]]/F169</f>
        <v>0.6428571428571429</v>
      </c>
      <c r="H169" s="7">
        <v>1098</v>
      </c>
      <c r="I169" s="7">
        <f>Daily_Data[[#This Row],[Room_rate]]*Daily_Data[[#This Row],[Rooms_Occupied]]</f>
        <v>9882</v>
      </c>
      <c r="J169" s="10">
        <f>Daily_Data[[#This Row],[Total_Sales]] * 0.22</f>
        <v>2174.04</v>
      </c>
      <c r="K169" s="10">
        <f>INDEX(Expense_master[Monthly_Rent],MATCH(Daily_Data[[#This Row],[Month_key]],Expense_master[Month_Key],0)) / INDEX(Expense_master[Days_in_Month],MATCH(Daily_Data[[#This Row],[Month_key]],Expense_master[Month_Key],0))</f>
        <v>7000</v>
      </c>
      <c r="L169" s="10">
        <f>SUMIFS(Expense_master[Staff_Salary],Expense_master[Month_Key],Daily_Data[[#This Row],[Month_key]]) / SUMIFS(Expense_master[Days_in_Month],Expense_master[Month_Key],Daily_Data[[#This Row],[Month_key]])</f>
        <v>2333.3333333333335</v>
      </c>
      <c r="M169" s="10">
        <f>Daily_Data[[#This Row],[Rooms_Occupied]] * (SUMIFS(Expense_master[Housekeeping_Laundy],Expense_master[Month_Key],Daily_Data[[#This Row],[Month_key]]) / SUMIFS(Occupancy_table[Monthly_rooms_Occupied],Occupancy_table[Month_Key],Daily_Data[[#This Row],[Month_key]]))</f>
        <v>274.39024390243901</v>
      </c>
      <c r="N1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1442.6989430894309</v>
      </c>
      <c r="O169" s="10">
        <f>SUMIFS(Expense_master[Monthly_Maintenance],Expense_master[Month_Key],Daily_Data[[#This Row],[Month_key]]) / SUMIFS(Expense_master[Days_in_Month],Expense_master[Month_Key], Daily_Data[[#This Row],[Month_key]])</f>
        <v>666.66666666666663</v>
      </c>
      <c r="P169" s="10">
        <f xml:space="preserve"> Daily_Data[[#This Row],[OTA Commision]] + Daily_Data[[#This Row],[Daily_Rent]]+Daily_Data[[#This Row],[Daily_Staff]]+Daily_Data[[#This Row],[Daily_HK]]+Daily_Data[[#This Row],[Daily_Electricity]] + Daily_Data[[#This Row],[Daily Maintenance]]</f>
        <v>13891.12918699187</v>
      </c>
      <c r="Q169" s="10">
        <f>Daily_Data[[#This Row],[Total_Sales]]-Daily_Data[[#This Row],[Total_Daily_Expense]]</f>
        <v>-4009.1291869918696</v>
      </c>
      <c r="R169" s="10">
        <f>Daily_Data[[#This Row],[Total_Sales]]/Daily_Data[[#This Row],[Rooms_Occupied]]</f>
        <v>1098</v>
      </c>
      <c r="S169" s="10">
        <f>Daily_Data[[#This Row],[Total_Sales]] / Daily_Data[[#This Row],[Max_rooms]]</f>
        <v>705.85714285714289</v>
      </c>
    </row>
    <row r="170" spans="1:19" x14ac:dyDescent="0.25">
      <c r="A170" s="6">
        <v>45095</v>
      </c>
      <c r="B170" s="20">
        <f>DATE(YEAR(Daily_Data[[#This Row],[Date]]), MONTH(Daily_Data[[#This Row],[Date]]), 1)</f>
        <v>45078</v>
      </c>
      <c r="C170" s="20" t="str">
        <f>TEXT(Daily_Data[[#This Row],[Month_key]],"mmmm")</f>
        <v>June</v>
      </c>
      <c r="D170" s="20" t="str">
        <f>TEXT(Daily_Data[[#This Row],[Month_key]],"yyyy")</f>
        <v>2023</v>
      </c>
      <c r="E170" s="7">
        <v>9</v>
      </c>
      <c r="F170" s="7">
        <v>14</v>
      </c>
      <c r="G170" s="8">
        <f>Daily_Data[[#This Row],[Rooms_Occupied]]/F170</f>
        <v>0.6428571428571429</v>
      </c>
      <c r="H170" s="7">
        <v>1628</v>
      </c>
      <c r="I170" s="7">
        <f>Daily_Data[[#This Row],[Room_rate]]*Daily_Data[[#This Row],[Rooms_Occupied]]</f>
        <v>14652</v>
      </c>
      <c r="J170" s="10">
        <f>Daily_Data[[#This Row],[Total_Sales]] * 0.22</f>
        <v>3223.44</v>
      </c>
      <c r="K170" s="10">
        <f>INDEX(Expense_master[Monthly_Rent],MATCH(Daily_Data[[#This Row],[Month_key]],Expense_master[Month_Key],0)) / INDEX(Expense_master[Days_in_Month],MATCH(Daily_Data[[#This Row],[Month_key]],Expense_master[Month_Key],0))</f>
        <v>7000</v>
      </c>
      <c r="L170" s="10">
        <f>SUMIFS(Expense_master[Staff_Salary],Expense_master[Month_Key],Daily_Data[[#This Row],[Month_key]]) / SUMIFS(Expense_master[Days_in_Month],Expense_master[Month_Key],Daily_Data[[#This Row],[Month_key]])</f>
        <v>2333.3333333333335</v>
      </c>
      <c r="M170" s="10">
        <f>Daily_Data[[#This Row],[Rooms_Occupied]] * (SUMIFS(Expense_master[Housekeeping_Laundy],Expense_master[Month_Key],Daily_Data[[#This Row],[Month_key]]) / SUMIFS(Occupancy_table[Monthly_rooms_Occupied],Occupancy_table[Month_Key],Daily_Data[[#This Row],[Month_key]]))</f>
        <v>274.39024390243901</v>
      </c>
      <c r="N1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1442.6989430894309</v>
      </c>
      <c r="O170" s="10">
        <f>SUMIFS(Expense_master[Monthly_Maintenance],Expense_master[Month_Key],Daily_Data[[#This Row],[Month_key]]) / SUMIFS(Expense_master[Days_in_Month],Expense_master[Month_Key], Daily_Data[[#This Row],[Month_key]])</f>
        <v>666.66666666666663</v>
      </c>
      <c r="P170" s="10">
        <f xml:space="preserve"> Daily_Data[[#This Row],[OTA Commision]] + Daily_Data[[#This Row],[Daily_Rent]]+Daily_Data[[#This Row],[Daily_Staff]]+Daily_Data[[#This Row],[Daily_HK]]+Daily_Data[[#This Row],[Daily_Electricity]] + Daily_Data[[#This Row],[Daily Maintenance]]</f>
        <v>14940.529186991871</v>
      </c>
      <c r="Q170" s="10">
        <f>Daily_Data[[#This Row],[Total_Sales]]-Daily_Data[[#This Row],[Total_Daily_Expense]]</f>
        <v>-288.52918699187103</v>
      </c>
      <c r="R170" s="10">
        <f>Daily_Data[[#This Row],[Total_Sales]]/Daily_Data[[#This Row],[Rooms_Occupied]]</f>
        <v>1628</v>
      </c>
      <c r="S170" s="10">
        <f>Daily_Data[[#This Row],[Total_Sales]] / Daily_Data[[#This Row],[Max_rooms]]</f>
        <v>1046.5714285714287</v>
      </c>
    </row>
    <row r="171" spans="1:19" x14ac:dyDescent="0.25">
      <c r="A171" s="6">
        <v>45096</v>
      </c>
      <c r="B171" s="20">
        <f>DATE(YEAR(Daily_Data[[#This Row],[Date]]), MONTH(Daily_Data[[#This Row],[Date]]), 1)</f>
        <v>45078</v>
      </c>
      <c r="C171" s="20" t="str">
        <f>TEXT(Daily_Data[[#This Row],[Month_key]],"mmmm")</f>
        <v>June</v>
      </c>
      <c r="D171" s="20" t="str">
        <f>TEXT(Daily_Data[[#This Row],[Month_key]],"yyyy")</f>
        <v>2023</v>
      </c>
      <c r="E171" s="7">
        <v>14</v>
      </c>
      <c r="F171" s="7">
        <v>14</v>
      </c>
      <c r="G171" s="8">
        <f>Daily_Data[[#This Row],[Rooms_Occupied]]/F171</f>
        <v>1</v>
      </c>
      <c r="H171" s="7">
        <v>1733</v>
      </c>
      <c r="I171" s="7">
        <f>Daily_Data[[#This Row],[Room_rate]]*Daily_Data[[#This Row],[Rooms_Occupied]]</f>
        <v>24262</v>
      </c>
      <c r="J171" s="10">
        <f>Daily_Data[[#This Row],[Total_Sales]] * 0.22</f>
        <v>5337.64</v>
      </c>
      <c r="K171" s="10">
        <f>INDEX(Expense_master[Monthly_Rent],MATCH(Daily_Data[[#This Row],[Month_key]],Expense_master[Month_Key],0)) / INDEX(Expense_master[Days_in_Month],MATCH(Daily_Data[[#This Row],[Month_key]],Expense_master[Month_Key],0))</f>
        <v>7000</v>
      </c>
      <c r="L171" s="10">
        <f>SUMIFS(Expense_master[Staff_Salary],Expense_master[Month_Key],Daily_Data[[#This Row],[Month_key]]) / SUMIFS(Expense_master[Days_in_Month],Expense_master[Month_Key],Daily_Data[[#This Row],[Month_key]])</f>
        <v>2333.3333333333335</v>
      </c>
      <c r="M171" s="10">
        <f>Daily_Data[[#This Row],[Rooms_Occupied]] * (SUMIFS(Expense_master[Housekeeping_Laundy],Expense_master[Month_Key],Daily_Data[[#This Row],[Month_key]]) / SUMIFS(Occupancy_table[Monthly_rooms_Occupied],Occupancy_table[Month_Key],Daily_Data[[#This Row],[Month_key]]))</f>
        <v>426.82926829268291</v>
      </c>
      <c r="N1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1885.5465040650406</v>
      </c>
      <c r="O171" s="10">
        <f>SUMIFS(Expense_master[Monthly_Maintenance],Expense_master[Month_Key],Daily_Data[[#This Row],[Month_key]]) / SUMIFS(Expense_master[Days_in_Month],Expense_master[Month_Key], Daily_Data[[#This Row],[Month_key]])</f>
        <v>666.66666666666663</v>
      </c>
      <c r="P171" s="10">
        <f xml:space="preserve"> Daily_Data[[#This Row],[OTA Commision]] + Daily_Data[[#This Row],[Daily_Rent]]+Daily_Data[[#This Row],[Daily_Staff]]+Daily_Data[[#This Row],[Daily_HK]]+Daily_Data[[#This Row],[Daily_Electricity]] + Daily_Data[[#This Row],[Daily Maintenance]]</f>
        <v>17650.015772357725</v>
      </c>
      <c r="Q171" s="10">
        <f>Daily_Data[[#This Row],[Total_Sales]]-Daily_Data[[#This Row],[Total_Daily_Expense]]</f>
        <v>6611.9842276422751</v>
      </c>
      <c r="R171" s="10">
        <f>Daily_Data[[#This Row],[Total_Sales]]/Daily_Data[[#This Row],[Rooms_Occupied]]</f>
        <v>1733</v>
      </c>
      <c r="S171" s="10">
        <f>Daily_Data[[#This Row],[Total_Sales]] / Daily_Data[[#This Row],[Max_rooms]]</f>
        <v>1733</v>
      </c>
    </row>
    <row r="172" spans="1:19" x14ac:dyDescent="0.25">
      <c r="A172" s="6">
        <v>45097</v>
      </c>
      <c r="B172" s="20">
        <f>DATE(YEAR(Daily_Data[[#This Row],[Date]]), MONTH(Daily_Data[[#This Row],[Date]]), 1)</f>
        <v>45078</v>
      </c>
      <c r="C172" s="20" t="str">
        <f>TEXT(Daily_Data[[#This Row],[Month_key]],"mmmm")</f>
        <v>June</v>
      </c>
      <c r="D172" s="20" t="str">
        <f>TEXT(Daily_Data[[#This Row],[Month_key]],"yyyy")</f>
        <v>2023</v>
      </c>
      <c r="E172" s="7">
        <v>12</v>
      </c>
      <c r="F172" s="7">
        <v>14</v>
      </c>
      <c r="G172" s="8">
        <f>Daily_Data[[#This Row],[Rooms_Occupied]]/F172</f>
        <v>0.8571428571428571</v>
      </c>
      <c r="H172" s="7">
        <v>1560</v>
      </c>
      <c r="I172" s="7">
        <f>Daily_Data[[#This Row],[Room_rate]]*Daily_Data[[#This Row],[Rooms_Occupied]]</f>
        <v>18720</v>
      </c>
      <c r="J172" s="10">
        <f>Daily_Data[[#This Row],[Total_Sales]] * 0.22</f>
        <v>4118.3999999999996</v>
      </c>
      <c r="K172" s="10">
        <f>INDEX(Expense_master[Monthly_Rent],MATCH(Daily_Data[[#This Row],[Month_key]],Expense_master[Month_Key],0)) / INDEX(Expense_master[Days_in_Month],MATCH(Daily_Data[[#This Row],[Month_key]],Expense_master[Month_Key],0))</f>
        <v>7000</v>
      </c>
      <c r="L172" s="10">
        <f>SUMIFS(Expense_master[Staff_Salary],Expense_master[Month_Key],Daily_Data[[#This Row],[Month_key]]) / SUMIFS(Expense_master[Days_in_Month],Expense_master[Month_Key],Daily_Data[[#This Row],[Month_key]])</f>
        <v>2333.3333333333335</v>
      </c>
      <c r="M172" s="10">
        <f>Daily_Data[[#This Row],[Rooms_Occupied]] * (SUMIFS(Expense_master[Housekeeping_Laundy],Expense_master[Month_Key],Daily_Data[[#This Row],[Month_key]]) / SUMIFS(Occupancy_table[Monthly_rooms_Occupied],Occupancy_table[Month_Key],Daily_Data[[#This Row],[Month_key]]))</f>
        <v>365.85365853658539</v>
      </c>
      <c r="N1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1708.4074796747968</v>
      </c>
      <c r="O172" s="10">
        <f>SUMIFS(Expense_master[Monthly_Maintenance],Expense_master[Month_Key],Daily_Data[[#This Row],[Month_key]]) / SUMIFS(Expense_master[Days_in_Month],Expense_master[Month_Key], Daily_Data[[#This Row],[Month_key]])</f>
        <v>666.66666666666663</v>
      </c>
      <c r="P172" s="10">
        <f xml:space="preserve"> Daily_Data[[#This Row],[OTA Commision]] + Daily_Data[[#This Row],[Daily_Rent]]+Daily_Data[[#This Row],[Daily_Staff]]+Daily_Data[[#This Row],[Daily_HK]]+Daily_Data[[#This Row],[Daily_Electricity]] + Daily_Data[[#This Row],[Daily Maintenance]]</f>
        <v>16192.661138211382</v>
      </c>
      <c r="Q172" s="10">
        <f>Daily_Data[[#This Row],[Total_Sales]]-Daily_Data[[#This Row],[Total_Daily_Expense]]</f>
        <v>2527.3388617886176</v>
      </c>
      <c r="R172" s="10">
        <f>Daily_Data[[#This Row],[Total_Sales]]/Daily_Data[[#This Row],[Rooms_Occupied]]</f>
        <v>1560</v>
      </c>
      <c r="S172" s="10">
        <f>Daily_Data[[#This Row],[Total_Sales]] / Daily_Data[[#This Row],[Max_rooms]]</f>
        <v>1337.1428571428571</v>
      </c>
    </row>
    <row r="173" spans="1:19" x14ac:dyDescent="0.25">
      <c r="A173" s="6">
        <v>45098</v>
      </c>
      <c r="B173" s="20">
        <f>DATE(YEAR(Daily_Data[[#This Row],[Date]]), MONTH(Daily_Data[[#This Row],[Date]]), 1)</f>
        <v>45078</v>
      </c>
      <c r="C173" s="20" t="str">
        <f>TEXT(Daily_Data[[#This Row],[Month_key]],"mmmm")</f>
        <v>June</v>
      </c>
      <c r="D173" s="20" t="str">
        <f>TEXT(Daily_Data[[#This Row],[Month_key]],"yyyy")</f>
        <v>2023</v>
      </c>
      <c r="E173" s="7">
        <v>8</v>
      </c>
      <c r="F173" s="7">
        <v>14</v>
      </c>
      <c r="G173" s="8">
        <f>Daily_Data[[#This Row],[Rooms_Occupied]]/F173</f>
        <v>0.5714285714285714</v>
      </c>
      <c r="H173" s="7">
        <v>1362</v>
      </c>
      <c r="I173" s="7">
        <f>Daily_Data[[#This Row],[Room_rate]]*Daily_Data[[#This Row],[Rooms_Occupied]]</f>
        <v>10896</v>
      </c>
      <c r="J173" s="10">
        <f>Daily_Data[[#This Row],[Total_Sales]] * 0.22</f>
        <v>2397.12</v>
      </c>
      <c r="K173" s="10">
        <f>INDEX(Expense_master[Monthly_Rent],MATCH(Daily_Data[[#This Row],[Month_key]],Expense_master[Month_Key],0)) / INDEX(Expense_master[Days_in_Month],MATCH(Daily_Data[[#This Row],[Month_key]],Expense_master[Month_Key],0))</f>
        <v>7000</v>
      </c>
      <c r="L173" s="10">
        <f>SUMIFS(Expense_master[Staff_Salary],Expense_master[Month_Key],Daily_Data[[#This Row],[Month_key]]) / SUMIFS(Expense_master[Days_in_Month],Expense_master[Month_Key],Daily_Data[[#This Row],[Month_key]])</f>
        <v>2333.3333333333335</v>
      </c>
      <c r="M173" s="10">
        <f>Daily_Data[[#This Row],[Rooms_Occupied]] * (SUMIFS(Expense_master[Housekeeping_Laundy],Expense_master[Month_Key],Daily_Data[[#This Row],[Month_key]]) / SUMIFS(Occupancy_table[Monthly_rooms_Occupied],Occupancy_table[Month_Key],Daily_Data[[#This Row],[Month_key]]))</f>
        <v>243.90243902439025</v>
      </c>
      <c r="N1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1354.1294308943088</v>
      </c>
      <c r="O173" s="10">
        <f>SUMIFS(Expense_master[Monthly_Maintenance],Expense_master[Month_Key],Daily_Data[[#This Row],[Month_key]]) / SUMIFS(Expense_master[Days_in_Month],Expense_master[Month_Key], Daily_Data[[#This Row],[Month_key]])</f>
        <v>666.66666666666663</v>
      </c>
      <c r="P173" s="10">
        <f xml:space="preserve"> Daily_Data[[#This Row],[OTA Commision]] + Daily_Data[[#This Row],[Daily_Rent]]+Daily_Data[[#This Row],[Daily_Staff]]+Daily_Data[[#This Row],[Daily_HK]]+Daily_Data[[#This Row],[Daily_Electricity]] + Daily_Data[[#This Row],[Daily Maintenance]]</f>
        <v>13995.151869918698</v>
      </c>
      <c r="Q173" s="10">
        <f>Daily_Data[[#This Row],[Total_Sales]]-Daily_Data[[#This Row],[Total_Daily_Expense]]</f>
        <v>-3099.1518699186981</v>
      </c>
      <c r="R173" s="10">
        <f>Daily_Data[[#This Row],[Total_Sales]]/Daily_Data[[#This Row],[Rooms_Occupied]]</f>
        <v>1362</v>
      </c>
      <c r="S173" s="10">
        <f>Daily_Data[[#This Row],[Total_Sales]] / Daily_Data[[#This Row],[Max_rooms]]</f>
        <v>778.28571428571433</v>
      </c>
    </row>
    <row r="174" spans="1:19" x14ac:dyDescent="0.25">
      <c r="A174" s="6">
        <v>45099</v>
      </c>
      <c r="B174" s="20">
        <f>DATE(YEAR(Daily_Data[[#This Row],[Date]]), MONTH(Daily_Data[[#This Row],[Date]]), 1)</f>
        <v>45078</v>
      </c>
      <c r="C174" s="20" t="str">
        <f>TEXT(Daily_Data[[#This Row],[Month_key]],"mmmm")</f>
        <v>June</v>
      </c>
      <c r="D174" s="20" t="str">
        <f>TEXT(Daily_Data[[#This Row],[Month_key]],"yyyy")</f>
        <v>2023</v>
      </c>
      <c r="E174" s="7">
        <v>11</v>
      </c>
      <c r="F174" s="7">
        <v>14</v>
      </c>
      <c r="G174" s="8">
        <f>Daily_Data[[#This Row],[Rooms_Occupied]]/F174</f>
        <v>0.7857142857142857</v>
      </c>
      <c r="H174" s="7">
        <v>1367</v>
      </c>
      <c r="I174" s="7">
        <f>Daily_Data[[#This Row],[Room_rate]]*Daily_Data[[#This Row],[Rooms_Occupied]]</f>
        <v>15037</v>
      </c>
      <c r="J174" s="10">
        <f>Daily_Data[[#This Row],[Total_Sales]] * 0.22</f>
        <v>3308.14</v>
      </c>
      <c r="K174" s="10">
        <f>INDEX(Expense_master[Monthly_Rent],MATCH(Daily_Data[[#This Row],[Month_key]],Expense_master[Month_Key],0)) / INDEX(Expense_master[Days_in_Month],MATCH(Daily_Data[[#This Row],[Month_key]],Expense_master[Month_Key],0))</f>
        <v>7000</v>
      </c>
      <c r="L174" s="10">
        <f>SUMIFS(Expense_master[Staff_Salary],Expense_master[Month_Key],Daily_Data[[#This Row],[Month_key]]) / SUMIFS(Expense_master[Days_in_Month],Expense_master[Month_Key],Daily_Data[[#This Row],[Month_key]])</f>
        <v>2333.3333333333335</v>
      </c>
      <c r="M174" s="10">
        <f>Daily_Data[[#This Row],[Rooms_Occupied]] * (SUMIFS(Expense_master[Housekeeping_Laundy],Expense_master[Month_Key],Daily_Data[[#This Row],[Month_key]]) / SUMIFS(Occupancy_table[Monthly_rooms_Occupied],Occupancy_table[Month_Key],Daily_Data[[#This Row],[Month_key]]))</f>
        <v>335.36585365853659</v>
      </c>
      <c r="N1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1619.8379674796747</v>
      </c>
      <c r="O174" s="10">
        <f>SUMIFS(Expense_master[Monthly_Maintenance],Expense_master[Month_Key],Daily_Data[[#This Row],[Month_key]]) / SUMIFS(Expense_master[Days_in_Month],Expense_master[Month_Key], Daily_Data[[#This Row],[Month_key]])</f>
        <v>666.66666666666663</v>
      </c>
      <c r="P174" s="10">
        <f xml:space="preserve"> Daily_Data[[#This Row],[OTA Commision]] + Daily_Data[[#This Row],[Daily_Rent]]+Daily_Data[[#This Row],[Daily_Staff]]+Daily_Data[[#This Row],[Daily_HK]]+Daily_Data[[#This Row],[Daily_Electricity]] + Daily_Data[[#This Row],[Daily Maintenance]]</f>
        <v>15263.343821138211</v>
      </c>
      <c r="Q174" s="10">
        <f>Daily_Data[[#This Row],[Total_Sales]]-Daily_Data[[#This Row],[Total_Daily_Expense]]</f>
        <v>-226.34382113821084</v>
      </c>
      <c r="R174" s="10">
        <f>Daily_Data[[#This Row],[Total_Sales]]/Daily_Data[[#This Row],[Rooms_Occupied]]</f>
        <v>1367</v>
      </c>
      <c r="S174" s="10">
        <f>Daily_Data[[#This Row],[Total_Sales]] / Daily_Data[[#This Row],[Max_rooms]]</f>
        <v>1074.0714285714287</v>
      </c>
    </row>
    <row r="175" spans="1:19" x14ac:dyDescent="0.25">
      <c r="A175" s="6">
        <v>45100</v>
      </c>
      <c r="B175" s="20">
        <f>DATE(YEAR(Daily_Data[[#This Row],[Date]]), MONTH(Daily_Data[[#This Row],[Date]]), 1)</f>
        <v>45078</v>
      </c>
      <c r="C175" s="20" t="str">
        <f>TEXT(Daily_Data[[#This Row],[Month_key]],"mmmm")</f>
        <v>June</v>
      </c>
      <c r="D175" s="20" t="str">
        <f>TEXT(Daily_Data[[#This Row],[Month_key]],"yyyy")</f>
        <v>2023</v>
      </c>
      <c r="E175" s="7">
        <v>14</v>
      </c>
      <c r="F175" s="7">
        <v>14</v>
      </c>
      <c r="G175" s="8">
        <f>Daily_Data[[#This Row],[Rooms_Occupied]]/F175</f>
        <v>1</v>
      </c>
      <c r="H175" s="7">
        <v>1882</v>
      </c>
      <c r="I175" s="7">
        <f>Daily_Data[[#This Row],[Room_rate]]*Daily_Data[[#This Row],[Rooms_Occupied]]</f>
        <v>26348</v>
      </c>
      <c r="J175" s="10">
        <f>Daily_Data[[#This Row],[Total_Sales]] * 0.22</f>
        <v>5796.56</v>
      </c>
      <c r="K175" s="10">
        <f>INDEX(Expense_master[Monthly_Rent],MATCH(Daily_Data[[#This Row],[Month_key]],Expense_master[Month_Key],0)) / INDEX(Expense_master[Days_in_Month],MATCH(Daily_Data[[#This Row],[Month_key]],Expense_master[Month_Key],0))</f>
        <v>7000</v>
      </c>
      <c r="L175" s="10">
        <f>SUMIFS(Expense_master[Staff_Salary],Expense_master[Month_Key],Daily_Data[[#This Row],[Month_key]]) / SUMIFS(Expense_master[Days_in_Month],Expense_master[Month_Key],Daily_Data[[#This Row],[Month_key]])</f>
        <v>2333.3333333333335</v>
      </c>
      <c r="M175" s="10">
        <f>Daily_Data[[#This Row],[Rooms_Occupied]] * (SUMIFS(Expense_master[Housekeeping_Laundy],Expense_master[Month_Key],Daily_Data[[#This Row],[Month_key]]) / SUMIFS(Occupancy_table[Monthly_rooms_Occupied],Occupancy_table[Month_Key],Daily_Data[[#This Row],[Month_key]]))</f>
        <v>426.82926829268291</v>
      </c>
      <c r="N1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1885.5465040650406</v>
      </c>
      <c r="O175" s="10">
        <f>SUMIFS(Expense_master[Monthly_Maintenance],Expense_master[Month_Key],Daily_Data[[#This Row],[Month_key]]) / SUMIFS(Expense_master[Days_in_Month],Expense_master[Month_Key], Daily_Data[[#This Row],[Month_key]])</f>
        <v>666.66666666666663</v>
      </c>
      <c r="P175" s="10">
        <f xml:space="preserve"> Daily_Data[[#This Row],[OTA Commision]] + Daily_Data[[#This Row],[Daily_Rent]]+Daily_Data[[#This Row],[Daily_Staff]]+Daily_Data[[#This Row],[Daily_HK]]+Daily_Data[[#This Row],[Daily_Electricity]] + Daily_Data[[#This Row],[Daily Maintenance]]</f>
        <v>18108.935772357727</v>
      </c>
      <c r="Q175" s="10">
        <f>Daily_Data[[#This Row],[Total_Sales]]-Daily_Data[[#This Row],[Total_Daily_Expense]]</f>
        <v>8239.0642276422732</v>
      </c>
      <c r="R175" s="10">
        <f>Daily_Data[[#This Row],[Total_Sales]]/Daily_Data[[#This Row],[Rooms_Occupied]]</f>
        <v>1882</v>
      </c>
      <c r="S175" s="10">
        <f>Daily_Data[[#This Row],[Total_Sales]] / Daily_Data[[#This Row],[Max_rooms]]</f>
        <v>1882</v>
      </c>
    </row>
    <row r="176" spans="1:19" x14ac:dyDescent="0.25">
      <c r="A176" s="6">
        <v>45101</v>
      </c>
      <c r="B176" s="20">
        <f>DATE(YEAR(Daily_Data[[#This Row],[Date]]), MONTH(Daily_Data[[#This Row],[Date]]), 1)</f>
        <v>45078</v>
      </c>
      <c r="C176" s="20" t="str">
        <f>TEXT(Daily_Data[[#This Row],[Month_key]],"mmmm")</f>
        <v>June</v>
      </c>
      <c r="D176" s="20" t="str">
        <f>TEXT(Daily_Data[[#This Row],[Month_key]],"yyyy")</f>
        <v>2023</v>
      </c>
      <c r="E176" s="7">
        <v>13</v>
      </c>
      <c r="F176" s="7">
        <v>14</v>
      </c>
      <c r="G176" s="8">
        <f>Daily_Data[[#This Row],[Rooms_Occupied]]/F176</f>
        <v>0.9285714285714286</v>
      </c>
      <c r="H176" s="7">
        <v>1482</v>
      </c>
      <c r="I176" s="7">
        <f>Daily_Data[[#This Row],[Room_rate]]*Daily_Data[[#This Row],[Rooms_Occupied]]</f>
        <v>19266</v>
      </c>
      <c r="J176" s="10">
        <f>Daily_Data[[#This Row],[Total_Sales]] * 0.22</f>
        <v>4238.5200000000004</v>
      </c>
      <c r="K176" s="10">
        <f>INDEX(Expense_master[Monthly_Rent],MATCH(Daily_Data[[#This Row],[Month_key]],Expense_master[Month_Key],0)) / INDEX(Expense_master[Days_in_Month],MATCH(Daily_Data[[#This Row],[Month_key]],Expense_master[Month_Key],0))</f>
        <v>7000</v>
      </c>
      <c r="L176" s="10">
        <f>SUMIFS(Expense_master[Staff_Salary],Expense_master[Month_Key],Daily_Data[[#This Row],[Month_key]]) / SUMIFS(Expense_master[Days_in_Month],Expense_master[Month_Key],Daily_Data[[#This Row],[Month_key]])</f>
        <v>2333.3333333333335</v>
      </c>
      <c r="M176" s="10">
        <f>Daily_Data[[#This Row],[Rooms_Occupied]] * (SUMIFS(Expense_master[Housekeeping_Laundy],Expense_master[Month_Key],Daily_Data[[#This Row],[Month_key]]) / SUMIFS(Occupancy_table[Monthly_rooms_Occupied],Occupancy_table[Month_Key],Daily_Data[[#This Row],[Month_key]]))</f>
        <v>396.34146341463418</v>
      </c>
      <c r="N1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1796.9769918699185</v>
      </c>
      <c r="O176" s="10">
        <f>SUMIFS(Expense_master[Monthly_Maintenance],Expense_master[Month_Key],Daily_Data[[#This Row],[Month_key]]) / SUMIFS(Expense_master[Days_in_Month],Expense_master[Month_Key], Daily_Data[[#This Row],[Month_key]])</f>
        <v>666.66666666666663</v>
      </c>
      <c r="P176" s="10">
        <f xml:space="preserve"> Daily_Data[[#This Row],[OTA Commision]] + Daily_Data[[#This Row],[Daily_Rent]]+Daily_Data[[#This Row],[Daily_Staff]]+Daily_Data[[#This Row],[Daily_HK]]+Daily_Data[[#This Row],[Daily_Electricity]] + Daily_Data[[#This Row],[Daily Maintenance]]</f>
        <v>16431.838455284553</v>
      </c>
      <c r="Q176" s="10">
        <f>Daily_Data[[#This Row],[Total_Sales]]-Daily_Data[[#This Row],[Total_Daily_Expense]]</f>
        <v>2834.1615447154472</v>
      </c>
      <c r="R176" s="10">
        <f>Daily_Data[[#This Row],[Total_Sales]]/Daily_Data[[#This Row],[Rooms_Occupied]]</f>
        <v>1482</v>
      </c>
      <c r="S176" s="10">
        <f>Daily_Data[[#This Row],[Total_Sales]] / Daily_Data[[#This Row],[Max_rooms]]</f>
        <v>1376.1428571428571</v>
      </c>
    </row>
    <row r="177" spans="1:19" x14ac:dyDescent="0.25">
      <c r="A177" s="6">
        <v>45102</v>
      </c>
      <c r="B177" s="20">
        <f>DATE(YEAR(Daily_Data[[#This Row],[Date]]), MONTH(Daily_Data[[#This Row],[Date]]), 1)</f>
        <v>45078</v>
      </c>
      <c r="C177" s="20" t="str">
        <f>TEXT(Daily_Data[[#This Row],[Month_key]],"mmmm")</f>
        <v>June</v>
      </c>
      <c r="D177" s="20" t="str">
        <f>TEXT(Daily_Data[[#This Row],[Month_key]],"yyyy")</f>
        <v>2023</v>
      </c>
      <c r="E177" s="7">
        <v>14</v>
      </c>
      <c r="F177" s="7">
        <v>14</v>
      </c>
      <c r="G177" s="8">
        <f>Daily_Data[[#This Row],[Rooms_Occupied]]/F177</f>
        <v>1</v>
      </c>
      <c r="H177" s="7">
        <v>1592</v>
      </c>
      <c r="I177" s="7">
        <f>Daily_Data[[#This Row],[Room_rate]]*Daily_Data[[#This Row],[Rooms_Occupied]]</f>
        <v>22288</v>
      </c>
      <c r="J177" s="10">
        <f>Daily_Data[[#This Row],[Total_Sales]] * 0.22</f>
        <v>4903.3599999999997</v>
      </c>
      <c r="K177" s="10">
        <f>INDEX(Expense_master[Monthly_Rent],MATCH(Daily_Data[[#This Row],[Month_key]],Expense_master[Month_Key],0)) / INDEX(Expense_master[Days_in_Month],MATCH(Daily_Data[[#This Row],[Month_key]],Expense_master[Month_Key],0))</f>
        <v>7000</v>
      </c>
      <c r="L177" s="10">
        <f>SUMIFS(Expense_master[Staff_Salary],Expense_master[Month_Key],Daily_Data[[#This Row],[Month_key]]) / SUMIFS(Expense_master[Days_in_Month],Expense_master[Month_Key],Daily_Data[[#This Row],[Month_key]])</f>
        <v>2333.3333333333335</v>
      </c>
      <c r="M177" s="10">
        <f>Daily_Data[[#This Row],[Rooms_Occupied]] * (SUMIFS(Expense_master[Housekeeping_Laundy],Expense_master[Month_Key],Daily_Data[[#This Row],[Month_key]]) / SUMIFS(Occupancy_table[Monthly_rooms_Occupied],Occupancy_table[Month_Key],Daily_Data[[#This Row],[Month_key]]))</f>
        <v>426.82926829268291</v>
      </c>
      <c r="N1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1885.5465040650406</v>
      </c>
      <c r="O177" s="10">
        <f>SUMIFS(Expense_master[Monthly_Maintenance],Expense_master[Month_Key],Daily_Data[[#This Row],[Month_key]]) / SUMIFS(Expense_master[Days_in_Month],Expense_master[Month_Key], Daily_Data[[#This Row],[Month_key]])</f>
        <v>666.66666666666663</v>
      </c>
      <c r="P177" s="10">
        <f xml:space="preserve"> Daily_Data[[#This Row],[OTA Commision]] + Daily_Data[[#This Row],[Daily_Rent]]+Daily_Data[[#This Row],[Daily_Staff]]+Daily_Data[[#This Row],[Daily_HK]]+Daily_Data[[#This Row],[Daily_Electricity]] + Daily_Data[[#This Row],[Daily Maintenance]]</f>
        <v>17215.735772357726</v>
      </c>
      <c r="Q177" s="10">
        <f>Daily_Data[[#This Row],[Total_Sales]]-Daily_Data[[#This Row],[Total_Daily_Expense]]</f>
        <v>5072.2642276422739</v>
      </c>
      <c r="R177" s="10">
        <f>Daily_Data[[#This Row],[Total_Sales]]/Daily_Data[[#This Row],[Rooms_Occupied]]</f>
        <v>1592</v>
      </c>
      <c r="S177" s="10">
        <f>Daily_Data[[#This Row],[Total_Sales]] / Daily_Data[[#This Row],[Max_rooms]]</f>
        <v>1592</v>
      </c>
    </row>
    <row r="178" spans="1:19" x14ac:dyDescent="0.25">
      <c r="A178" s="6">
        <v>45103</v>
      </c>
      <c r="B178" s="20">
        <f>DATE(YEAR(Daily_Data[[#This Row],[Date]]), MONTH(Daily_Data[[#This Row],[Date]]), 1)</f>
        <v>45078</v>
      </c>
      <c r="C178" s="20" t="str">
        <f>TEXT(Daily_Data[[#This Row],[Month_key]],"mmmm")</f>
        <v>June</v>
      </c>
      <c r="D178" s="20" t="str">
        <f>TEXT(Daily_Data[[#This Row],[Month_key]],"yyyy")</f>
        <v>2023</v>
      </c>
      <c r="E178" s="7">
        <v>10</v>
      </c>
      <c r="F178" s="7">
        <v>14</v>
      </c>
      <c r="G178" s="8">
        <f>Daily_Data[[#This Row],[Rooms_Occupied]]/F178</f>
        <v>0.7142857142857143</v>
      </c>
      <c r="H178" s="7">
        <v>1780</v>
      </c>
      <c r="I178" s="7">
        <f>Daily_Data[[#This Row],[Room_rate]]*Daily_Data[[#This Row],[Rooms_Occupied]]</f>
        <v>17800</v>
      </c>
      <c r="J178" s="10">
        <f>Daily_Data[[#This Row],[Total_Sales]] * 0.22</f>
        <v>3916</v>
      </c>
      <c r="K178" s="10">
        <f>INDEX(Expense_master[Monthly_Rent],MATCH(Daily_Data[[#This Row],[Month_key]],Expense_master[Month_Key],0)) / INDEX(Expense_master[Days_in_Month],MATCH(Daily_Data[[#This Row],[Month_key]],Expense_master[Month_Key],0))</f>
        <v>7000</v>
      </c>
      <c r="L178" s="10">
        <f>SUMIFS(Expense_master[Staff_Salary],Expense_master[Month_Key],Daily_Data[[#This Row],[Month_key]]) / SUMIFS(Expense_master[Days_in_Month],Expense_master[Month_Key],Daily_Data[[#This Row],[Month_key]])</f>
        <v>2333.3333333333335</v>
      </c>
      <c r="M178" s="10">
        <f>Daily_Data[[#This Row],[Rooms_Occupied]] * (SUMIFS(Expense_master[Housekeeping_Laundy],Expense_master[Month_Key],Daily_Data[[#This Row],[Month_key]]) / SUMIFS(Occupancy_table[Monthly_rooms_Occupied],Occupancy_table[Month_Key],Daily_Data[[#This Row],[Month_key]]))</f>
        <v>304.8780487804878</v>
      </c>
      <c r="N1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1531.2684552845528</v>
      </c>
      <c r="O178" s="10">
        <f>SUMIFS(Expense_master[Monthly_Maintenance],Expense_master[Month_Key],Daily_Data[[#This Row],[Month_key]]) / SUMIFS(Expense_master[Days_in_Month],Expense_master[Month_Key], Daily_Data[[#This Row],[Month_key]])</f>
        <v>666.66666666666663</v>
      </c>
      <c r="P178" s="10">
        <f xml:space="preserve"> Daily_Data[[#This Row],[OTA Commision]] + Daily_Data[[#This Row],[Daily_Rent]]+Daily_Data[[#This Row],[Daily_Staff]]+Daily_Data[[#This Row],[Daily_HK]]+Daily_Data[[#This Row],[Daily_Electricity]] + Daily_Data[[#This Row],[Daily Maintenance]]</f>
        <v>15752.14650406504</v>
      </c>
      <c r="Q178" s="10">
        <f>Daily_Data[[#This Row],[Total_Sales]]-Daily_Data[[#This Row],[Total_Daily_Expense]]</f>
        <v>2047.8534959349599</v>
      </c>
      <c r="R178" s="10">
        <f>Daily_Data[[#This Row],[Total_Sales]]/Daily_Data[[#This Row],[Rooms_Occupied]]</f>
        <v>1780</v>
      </c>
      <c r="S178" s="10">
        <f>Daily_Data[[#This Row],[Total_Sales]] / Daily_Data[[#This Row],[Max_rooms]]</f>
        <v>1271.4285714285713</v>
      </c>
    </row>
    <row r="179" spans="1:19" x14ac:dyDescent="0.25">
      <c r="A179" s="6">
        <v>45104</v>
      </c>
      <c r="B179" s="20">
        <f>DATE(YEAR(Daily_Data[[#This Row],[Date]]), MONTH(Daily_Data[[#This Row],[Date]]), 1)</f>
        <v>45078</v>
      </c>
      <c r="C179" s="20" t="str">
        <f>TEXT(Daily_Data[[#This Row],[Month_key]],"mmmm")</f>
        <v>June</v>
      </c>
      <c r="D179" s="20" t="str">
        <f>TEXT(Daily_Data[[#This Row],[Month_key]],"yyyy")</f>
        <v>2023</v>
      </c>
      <c r="E179" s="7">
        <v>14</v>
      </c>
      <c r="F179" s="7">
        <v>14</v>
      </c>
      <c r="G179" s="8">
        <f>Daily_Data[[#This Row],[Rooms_Occupied]]/F179</f>
        <v>1</v>
      </c>
      <c r="H179" s="7">
        <v>1546</v>
      </c>
      <c r="I179" s="7">
        <f>Daily_Data[[#This Row],[Room_rate]]*Daily_Data[[#This Row],[Rooms_Occupied]]</f>
        <v>21644</v>
      </c>
      <c r="J179" s="10">
        <f>Daily_Data[[#This Row],[Total_Sales]] * 0.22</f>
        <v>4761.68</v>
      </c>
      <c r="K179" s="10">
        <f>INDEX(Expense_master[Monthly_Rent],MATCH(Daily_Data[[#This Row],[Month_key]],Expense_master[Month_Key],0)) / INDEX(Expense_master[Days_in_Month],MATCH(Daily_Data[[#This Row],[Month_key]],Expense_master[Month_Key],0))</f>
        <v>7000</v>
      </c>
      <c r="L179" s="10">
        <f>SUMIFS(Expense_master[Staff_Salary],Expense_master[Month_Key],Daily_Data[[#This Row],[Month_key]]) / SUMIFS(Expense_master[Days_in_Month],Expense_master[Month_Key],Daily_Data[[#This Row],[Month_key]])</f>
        <v>2333.3333333333335</v>
      </c>
      <c r="M179" s="10">
        <f>Daily_Data[[#This Row],[Rooms_Occupied]] * (SUMIFS(Expense_master[Housekeeping_Laundy],Expense_master[Month_Key],Daily_Data[[#This Row],[Month_key]]) / SUMIFS(Occupancy_table[Monthly_rooms_Occupied],Occupancy_table[Month_Key],Daily_Data[[#This Row],[Month_key]]))</f>
        <v>426.82926829268291</v>
      </c>
      <c r="N1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1885.5465040650406</v>
      </c>
      <c r="O179" s="10">
        <f>SUMIFS(Expense_master[Monthly_Maintenance],Expense_master[Month_Key],Daily_Data[[#This Row],[Month_key]]) / SUMIFS(Expense_master[Days_in_Month],Expense_master[Month_Key], Daily_Data[[#This Row],[Month_key]])</f>
        <v>666.66666666666663</v>
      </c>
      <c r="P179" s="10">
        <f xml:space="preserve"> Daily_Data[[#This Row],[OTA Commision]] + Daily_Data[[#This Row],[Daily_Rent]]+Daily_Data[[#This Row],[Daily_Staff]]+Daily_Data[[#This Row],[Daily_HK]]+Daily_Data[[#This Row],[Daily_Electricity]] + Daily_Data[[#This Row],[Daily Maintenance]]</f>
        <v>17074.055772357726</v>
      </c>
      <c r="Q179" s="10">
        <f>Daily_Data[[#This Row],[Total_Sales]]-Daily_Data[[#This Row],[Total_Daily_Expense]]</f>
        <v>4569.9442276422742</v>
      </c>
      <c r="R179" s="10">
        <f>Daily_Data[[#This Row],[Total_Sales]]/Daily_Data[[#This Row],[Rooms_Occupied]]</f>
        <v>1546</v>
      </c>
      <c r="S179" s="10">
        <f>Daily_Data[[#This Row],[Total_Sales]] / Daily_Data[[#This Row],[Max_rooms]]</f>
        <v>1546</v>
      </c>
    </row>
    <row r="180" spans="1:19" x14ac:dyDescent="0.25">
      <c r="A180" s="6">
        <v>45105</v>
      </c>
      <c r="B180" s="20">
        <f>DATE(YEAR(Daily_Data[[#This Row],[Date]]), MONTH(Daily_Data[[#This Row],[Date]]), 1)</f>
        <v>45078</v>
      </c>
      <c r="C180" s="20" t="str">
        <f>TEXT(Daily_Data[[#This Row],[Month_key]],"mmmm")</f>
        <v>June</v>
      </c>
      <c r="D180" s="20" t="str">
        <f>TEXT(Daily_Data[[#This Row],[Month_key]],"yyyy")</f>
        <v>2023</v>
      </c>
      <c r="E180" s="7">
        <v>8</v>
      </c>
      <c r="F180" s="7">
        <v>14</v>
      </c>
      <c r="G180" s="8">
        <f>Daily_Data[[#This Row],[Rooms_Occupied]]/F180</f>
        <v>0.5714285714285714</v>
      </c>
      <c r="H180" s="7">
        <v>1353</v>
      </c>
      <c r="I180" s="7">
        <f>Daily_Data[[#This Row],[Room_rate]]*Daily_Data[[#This Row],[Rooms_Occupied]]</f>
        <v>10824</v>
      </c>
      <c r="J180" s="10">
        <f>Daily_Data[[#This Row],[Total_Sales]] * 0.22</f>
        <v>2381.2800000000002</v>
      </c>
      <c r="K180" s="10">
        <f>INDEX(Expense_master[Monthly_Rent],MATCH(Daily_Data[[#This Row],[Month_key]],Expense_master[Month_Key],0)) / INDEX(Expense_master[Days_in_Month],MATCH(Daily_Data[[#This Row],[Month_key]],Expense_master[Month_Key],0))</f>
        <v>7000</v>
      </c>
      <c r="L180" s="10">
        <f>SUMIFS(Expense_master[Staff_Salary],Expense_master[Month_Key],Daily_Data[[#This Row],[Month_key]]) / SUMIFS(Expense_master[Days_in_Month],Expense_master[Month_Key],Daily_Data[[#This Row],[Month_key]])</f>
        <v>2333.3333333333335</v>
      </c>
      <c r="M180" s="10">
        <f>Daily_Data[[#This Row],[Rooms_Occupied]] * (SUMIFS(Expense_master[Housekeeping_Laundy],Expense_master[Month_Key],Daily_Data[[#This Row],[Month_key]]) / SUMIFS(Occupancy_table[Monthly_rooms_Occupied],Occupancy_table[Month_Key],Daily_Data[[#This Row],[Month_key]]))</f>
        <v>243.90243902439025</v>
      </c>
      <c r="N1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1354.1294308943088</v>
      </c>
      <c r="O180" s="10">
        <f>SUMIFS(Expense_master[Monthly_Maintenance],Expense_master[Month_Key],Daily_Data[[#This Row],[Month_key]]) / SUMIFS(Expense_master[Days_in_Month],Expense_master[Month_Key], Daily_Data[[#This Row],[Month_key]])</f>
        <v>666.66666666666663</v>
      </c>
      <c r="P180" s="10">
        <f xml:space="preserve"> Daily_Data[[#This Row],[OTA Commision]] + Daily_Data[[#This Row],[Daily_Rent]]+Daily_Data[[#This Row],[Daily_Staff]]+Daily_Data[[#This Row],[Daily_HK]]+Daily_Data[[#This Row],[Daily_Electricity]] + Daily_Data[[#This Row],[Daily Maintenance]]</f>
        <v>13979.3118699187</v>
      </c>
      <c r="Q180" s="10">
        <f>Daily_Data[[#This Row],[Total_Sales]]-Daily_Data[[#This Row],[Total_Daily_Expense]]</f>
        <v>-3155.3118699186998</v>
      </c>
      <c r="R180" s="10">
        <f>Daily_Data[[#This Row],[Total_Sales]]/Daily_Data[[#This Row],[Rooms_Occupied]]</f>
        <v>1353</v>
      </c>
      <c r="S180" s="10">
        <f>Daily_Data[[#This Row],[Total_Sales]] / Daily_Data[[#This Row],[Max_rooms]]</f>
        <v>773.14285714285711</v>
      </c>
    </row>
    <row r="181" spans="1:19" x14ac:dyDescent="0.25">
      <c r="A181" s="6">
        <v>45106</v>
      </c>
      <c r="B181" s="20">
        <f>DATE(YEAR(Daily_Data[[#This Row],[Date]]), MONTH(Daily_Data[[#This Row],[Date]]), 1)</f>
        <v>45078</v>
      </c>
      <c r="C181" s="20" t="str">
        <f>TEXT(Daily_Data[[#This Row],[Month_key]],"mmmm")</f>
        <v>June</v>
      </c>
      <c r="D181" s="20" t="str">
        <f>TEXT(Daily_Data[[#This Row],[Month_key]],"yyyy")</f>
        <v>2023</v>
      </c>
      <c r="E181" s="7">
        <v>13</v>
      </c>
      <c r="F181" s="7">
        <v>14</v>
      </c>
      <c r="G181" s="8">
        <f>Daily_Data[[#This Row],[Rooms_Occupied]]/F181</f>
        <v>0.9285714285714286</v>
      </c>
      <c r="H181" s="7">
        <v>1655</v>
      </c>
      <c r="I181" s="7">
        <f>Daily_Data[[#This Row],[Room_rate]]*Daily_Data[[#This Row],[Rooms_Occupied]]</f>
        <v>21515</v>
      </c>
      <c r="J181" s="10">
        <f>Daily_Data[[#This Row],[Total_Sales]] * 0.22</f>
        <v>4733.3</v>
      </c>
      <c r="K181" s="10">
        <f>INDEX(Expense_master[Monthly_Rent],MATCH(Daily_Data[[#This Row],[Month_key]],Expense_master[Month_Key],0)) / INDEX(Expense_master[Days_in_Month],MATCH(Daily_Data[[#This Row],[Month_key]],Expense_master[Month_Key],0))</f>
        <v>7000</v>
      </c>
      <c r="L181" s="10">
        <f>SUMIFS(Expense_master[Staff_Salary],Expense_master[Month_Key],Daily_Data[[#This Row],[Month_key]]) / SUMIFS(Expense_master[Days_in_Month],Expense_master[Month_Key],Daily_Data[[#This Row],[Month_key]])</f>
        <v>2333.3333333333335</v>
      </c>
      <c r="M181" s="10">
        <f>Daily_Data[[#This Row],[Rooms_Occupied]] * (SUMIFS(Expense_master[Housekeeping_Laundy],Expense_master[Month_Key],Daily_Data[[#This Row],[Month_key]]) / SUMIFS(Occupancy_table[Monthly_rooms_Occupied],Occupancy_table[Month_Key],Daily_Data[[#This Row],[Month_key]]))</f>
        <v>396.34146341463418</v>
      </c>
      <c r="N1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1796.9769918699185</v>
      </c>
      <c r="O181" s="10">
        <f>SUMIFS(Expense_master[Monthly_Maintenance],Expense_master[Month_Key],Daily_Data[[#This Row],[Month_key]]) / SUMIFS(Expense_master[Days_in_Month],Expense_master[Month_Key], Daily_Data[[#This Row],[Month_key]])</f>
        <v>666.66666666666663</v>
      </c>
      <c r="P181" s="10">
        <f xml:space="preserve"> Daily_Data[[#This Row],[OTA Commision]] + Daily_Data[[#This Row],[Daily_Rent]]+Daily_Data[[#This Row],[Daily_Staff]]+Daily_Data[[#This Row],[Daily_HK]]+Daily_Data[[#This Row],[Daily_Electricity]] + Daily_Data[[#This Row],[Daily Maintenance]]</f>
        <v>16926.618455284552</v>
      </c>
      <c r="Q181" s="10">
        <f>Daily_Data[[#This Row],[Total_Sales]]-Daily_Data[[#This Row],[Total_Daily_Expense]]</f>
        <v>4588.3815447154484</v>
      </c>
      <c r="R181" s="10">
        <f>Daily_Data[[#This Row],[Total_Sales]]/Daily_Data[[#This Row],[Rooms_Occupied]]</f>
        <v>1655</v>
      </c>
      <c r="S181" s="10">
        <f>Daily_Data[[#This Row],[Total_Sales]] / Daily_Data[[#This Row],[Max_rooms]]</f>
        <v>1536.7857142857142</v>
      </c>
    </row>
    <row r="182" spans="1:19" x14ac:dyDescent="0.25">
      <c r="A182" s="6">
        <v>45107</v>
      </c>
      <c r="B182" s="20">
        <f>DATE(YEAR(Daily_Data[[#This Row],[Date]]), MONTH(Daily_Data[[#This Row],[Date]]), 1)</f>
        <v>45078</v>
      </c>
      <c r="C182" s="20" t="str">
        <f>TEXT(Daily_Data[[#This Row],[Month_key]],"mmmm")</f>
        <v>June</v>
      </c>
      <c r="D182" s="20" t="str">
        <f>TEXT(Daily_Data[[#This Row],[Month_key]],"yyyy")</f>
        <v>2023</v>
      </c>
      <c r="E182" s="7">
        <v>8</v>
      </c>
      <c r="F182" s="7">
        <v>14</v>
      </c>
      <c r="G182" s="8">
        <f>Daily_Data[[#This Row],[Rooms_Occupied]]/F182</f>
        <v>0.5714285714285714</v>
      </c>
      <c r="H182" s="7">
        <v>1599</v>
      </c>
      <c r="I182" s="7">
        <f>Daily_Data[[#This Row],[Room_rate]]*Daily_Data[[#This Row],[Rooms_Occupied]]</f>
        <v>12792</v>
      </c>
      <c r="J182" s="10">
        <f>Daily_Data[[#This Row],[Total_Sales]] * 0.22</f>
        <v>2814.2400000000002</v>
      </c>
      <c r="K182" s="10">
        <f>INDEX(Expense_master[Monthly_Rent],MATCH(Daily_Data[[#This Row],[Month_key]],Expense_master[Month_Key],0)) / INDEX(Expense_master[Days_in_Month],MATCH(Daily_Data[[#This Row],[Month_key]],Expense_master[Month_Key],0))</f>
        <v>7000</v>
      </c>
      <c r="L182" s="10">
        <f>SUMIFS(Expense_master[Staff_Salary],Expense_master[Month_Key],Daily_Data[[#This Row],[Month_key]]) / SUMIFS(Expense_master[Days_in_Month],Expense_master[Month_Key],Daily_Data[[#This Row],[Month_key]])</f>
        <v>2333.3333333333335</v>
      </c>
      <c r="M182" s="10">
        <f>Daily_Data[[#This Row],[Rooms_Occupied]] * (SUMIFS(Expense_master[Housekeeping_Laundy],Expense_master[Month_Key],Daily_Data[[#This Row],[Month_key]]) / SUMIFS(Occupancy_table[Monthly_rooms_Occupied],Occupancy_table[Month_Key],Daily_Data[[#This Row],[Month_key]]))</f>
        <v>243.90243902439025</v>
      </c>
      <c r="N1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1354.1294308943088</v>
      </c>
      <c r="O182" s="10">
        <f>SUMIFS(Expense_master[Monthly_Maintenance],Expense_master[Month_Key],Daily_Data[[#This Row],[Month_key]]) / SUMIFS(Expense_master[Days_in_Month],Expense_master[Month_Key], Daily_Data[[#This Row],[Month_key]])</f>
        <v>666.66666666666663</v>
      </c>
      <c r="P182" s="10">
        <f xml:space="preserve"> Daily_Data[[#This Row],[OTA Commision]] + Daily_Data[[#This Row],[Daily_Rent]]+Daily_Data[[#This Row],[Daily_Staff]]+Daily_Data[[#This Row],[Daily_HK]]+Daily_Data[[#This Row],[Daily_Electricity]] + Daily_Data[[#This Row],[Daily Maintenance]]</f>
        <v>14412.271869918699</v>
      </c>
      <c r="Q182" s="10">
        <f>Daily_Data[[#This Row],[Total_Sales]]-Daily_Data[[#This Row],[Total_Daily_Expense]]</f>
        <v>-1620.2718699186989</v>
      </c>
      <c r="R182" s="10">
        <f>Daily_Data[[#This Row],[Total_Sales]]/Daily_Data[[#This Row],[Rooms_Occupied]]</f>
        <v>1599</v>
      </c>
      <c r="S182" s="10">
        <f>Daily_Data[[#This Row],[Total_Sales]] / Daily_Data[[#This Row],[Max_rooms]]</f>
        <v>913.71428571428567</v>
      </c>
    </row>
    <row r="183" spans="1:19" x14ac:dyDescent="0.25">
      <c r="A183" s="6">
        <v>45108</v>
      </c>
      <c r="B183" s="20">
        <f>DATE(YEAR(Daily_Data[[#This Row],[Date]]), MONTH(Daily_Data[[#This Row],[Date]]), 1)</f>
        <v>45108</v>
      </c>
      <c r="C183" s="20" t="str">
        <f>TEXT(Daily_Data[[#This Row],[Month_key]],"mmmm")</f>
        <v>July</v>
      </c>
      <c r="D183" s="20" t="str">
        <f>TEXT(Daily_Data[[#This Row],[Month_key]],"yyyy")</f>
        <v>2023</v>
      </c>
      <c r="E183" s="7">
        <v>8</v>
      </c>
      <c r="F183" s="7">
        <v>14</v>
      </c>
      <c r="G183" s="8">
        <f>Daily_Data[[#This Row],[Rooms_Occupied]]/F183</f>
        <v>0.5714285714285714</v>
      </c>
      <c r="H183" s="7">
        <v>1476</v>
      </c>
      <c r="I183" s="7">
        <f>Daily_Data[[#This Row],[Room_rate]]*Daily_Data[[#This Row],[Rooms_Occupied]]</f>
        <v>11808</v>
      </c>
      <c r="J183" s="10">
        <f>Daily_Data[[#This Row],[Total_Sales]] * 0.22</f>
        <v>2597.7600000000002</v>
      </c>
      <c r="K183" s="10">
        <f>INDEX(Expense_master[Monthly_Rent],MATCH(Daily_Data[[#This Row],[Month_key]],Expense_master[Month_Key],0)) / INDEX(Expense_master[Days_in_Month],MATCH(Daily_Data[[#This Row],[Month_key]],Expense_master[Month_Key],0))</f>
        <v>6774.1935483870966</v>
      </c>
      <c r="L183" s="10">
        <f>SUMIFS(Expense_master[Staff_Salary],Expense_master[Month_Key],Daily_Data[[#This Row],[Month_key]]) / SUMIFS(Expense_master[Days_in_Month],Expense_master[Month_Key],Daily_Data[[#This Row],[Month_key]])</f>
        <v>2258.0645161290322</v>
      </c>
      <c r="M183" s="10">
        <f>Daily_Data[[#This Row],[Rooms_Occupied]] * (SUMIFS(Expense_master[Housekeeping_Laundy],Expense_master[Month_Key],Daily_Data[[#This Row],[Month_key]]) / SUMIFS(Occupancy_table[Monthly_rooms_Occupied],Occupancy_table[Month_Key],Daily_Data[[#This Row],[Month_key]]))</f>
        <v>240.24024024024024</v>
      </c>
      <c r="N1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183" s="10">
        <f>SUMIFS(Expense_master[Monthly_Maintenance],Expense_master[Month_Key],Daily_Data[[#This Row],[Month_key]]) / SUMIFS(Expense_master[Days_in_Month],Expense_master[Month_Key], Daily_Data[[#This Row],[Month_key]])</f>
        <v>645.16129032258061</v>
      </c>
      <c r="P183" s="10">
        <f xml:space="preserve"> Daily_Data[[#This Row],[OTA Commision]] + Daily_Data[[#This Row],[Daily_Rent]]+Daily_Data[[#This Row],[Daily_Staff]]+Daily_Data[[#This Row],[Daily_HK]]+Daily_Data[[#This Row],[Daily_Electricity]] + Daily_Data[[#This Row],[Daily Maintenance]]</f>
        <v>13924.108348348349</v>
      </c>
      <c r="Q183" s="10">
        <f>Daily_Data[[#This Row],[Total_Sales]]-Daily_Data[[#This Row],[Total_Daily_Expense]]</f>
        <v>-2116.108348348349</v>
      </c>
      <c r="R183" s="10">
        <f>Daily_Data[[#This Row],[Total_Sales]]/Daily_Data[[#This Row],[Rooms_Occupied]]</f>
        <v>1476</v>
      </c>
      <c r="S183" s="10">
        <f>Daily_Data[[#This Row],[Total_Sales]] / Daily_Data[[#This Row],[Max_rooms]]</f>
        <v>843.42857142857144</v>
      </c>
    </row>
    <row r="184" spans="1:19" x14ac:dyDescent="0.25">
      <c r="A184" s="6">
        <v>45109</v>
      </c>
      <c r="B184" s="20">
        <f>DATE(YEAR(Daily_Data[[#This Row],[Date]]), MONTH(Daily_Data[[#This Row],[Date]]), 1)</f>
        <v>45108</v>
      </c>
      <c r="C184" s="20" t="str">
        <f>TEXT(Daily_Data[[#This Row],[Month_key]],"mmmm")</f>
        <v>July</v>
      </c>
      <c r="D184" s="20" t="str">
        <f>TEXT(Daily_Data[[#This Row],[Month_key]],"yyyy")</f>
        <v>2023</v>
      </c>
      <c r="E184" s="7">
        <v>8</v>
      </c>
      <c r="F184" s="7">
        <v>14</v>
      </c>
      <c r="G184" s="8">
        <f>Daily_Data[[#This Row],[Rooms_Occupied]]/F184</f>
        <v>0.5714285714285714</v>
      </c>
      <c r="H184" s="7">
        <v>1503</v>
      </c>
      <c r="I184" s="7">
        <f>Daily_Data[[#This Row],[Room_rate]]*Daily_Data[[#This Row],[Rooms_Occupied]]</f>
        <v>12024</v>
      </c>
      <c r="J184" s="10">
        <f>Daily_Data[[#This Row],[Total_Sales]] * 0.22</f>
        <v>2645.28</v>
      </c>
      <c r="K184" s="10">
        <f>INDEX(Expense_master[Monthly_Rent],MATCH(Daily_Data[[#This Row],[Month_key]],Expense_master[Month_Key],0)) / INDEX(Expense_master[Days_in_Month],MATCH(Daily_Data[[#This Row],[Month_key]],Expense_master[Month_Key],0))</f>
        <v>6774.1935483870966</v>
      </c>
      <c r="L184" s="10">
        <f>SUMIFS(Expense_master[Staff_Salary],Expense_master[Month_Key],Daily_Data[[#This Row],[Month_key]]) / SUMIFS(Expense_master[Days_in_Month],Expense_master[Month_Key],Daily_Data[[#This Row],[Month_key]])</f>
        <v>2258.0645161290322</v>
      </c>
      <c r="M184" s="10">
        <f>Daily_Data[[#This Row],[Rooms_Occupied]] * (SUMIFS(Expense_master[Housekeeping_Laundy],Expense_master[Month_Key],Daily_Data[[#This Row],[Month_key]]) / SUMIFS(Occupancy_table[Monthly_rooms_Occupied],Occupancy_table[Month_Key],Daily_Data[[#This Row],[Month_key]]))</f>
        <v>240.24024024024024</v>
      </c>
      <c r="N1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184" s="10">
        <f>SUMIFS(Expense_master[Monthly_Maintenance],Expense_master[Month_Key],Daily_Data[[#This Row],[Month_key]]) / SUMIFS(Expense_master[Days_in_Month],Expense_master[Month_Key], Daily_Data[[#This Row],[Month_key]])</f>
        <v>645.16129032258061</v>
      </c>
      <c r="P184" s="10">
        <f xml:space="preserve"> Daily_Data[[#This Row],[OTA Commision]] + Daily_Data[[#This Row],[Daily_Rent]]+Daily_Data[[#This Row],[Daily_Staff]]+Daily_Data[[#This Row],[Daily_HK]]+Daily_Data[[#This Row],[Daily_Electricity]] + Daily_Data[[#This Row],[Daily Maintenance]]</f>
        <v>13971.628348348349</v>
      </c>
      <c r="Q184" s="10">
        <f>Daily_Data[[#This Row],[Total_Sales]]-Daily_Data[[#This Row],[Total_Daily_Expense]]</f>
        <v>-1947.6283483483494</v>
      </c>
      <c r="R184" s="10">
        <f>Daily_Data[[#This Row],[Total_Sales]]/Daily_Data[[#This Row],[Rooms_Occupied]]</f>
        <v>1503</v>
      </c>
      <c r="S184" s="10">
        <f>Daily_Data[[#This Row],[Total_Sales]] / Daily_Data[[#This Row],[Max_rooms]]</f>
        <v>858.85714285714289</v>
      </c>
    </row>
    <row r="185" spans="1:19" x14ac:dyDescent="0.25">
      <c r="A185" s="6">
        <v>45110</v>
      </c>
      <c r="B185" s="20">
        <f>DATE(YEAR(Daily_Data[[#This Row],[Date]]), MONTH(Daily_Data[[#This Row],[Date]]), 1)</f>
        <v>45108</v>
      </c>
      <c r="C185" s="20" t="str">
        <f>TEXT(Daily_Data[[#This Row],[Month_key]],"mmmm")</f>
        <v>July</v>
      </c>
      <c r="D185" s="20" t="str">
        <f>TEXT(Daily_Data[[#This Row],[Month_key]],"yyyy")</f>
        <v>2023</v>
      </c>
      <c r="E185" s="7">
        <v>14</v>
      </c>
      <c r="F185" s="7">
        <v>14</v>
      </c>
      <c r="G185" s="8">
        <f>Daily_Data[[#This Row],[Rooms_Occupied]]/F185</f>
        <v>1</v>
      </c>
      <c r="H185" s="7">
        <v>1477</v>
      </c>
      <c r="I185" s="7">
        <f>Daily_Data[[#This Row],[Room_rate]]*Daily_Data[[#This Row],[Rooms_Occupied]]</f>
        <v>20678</v>
      </c>
      <c r="J185" s="10">
        <f>Daily_Data[[#This Row],[Total_Sales]] * 0.22</f>
        <v>4549.16</v>
      </c>
      <c r="K185" s="10">
        <f>INDEX(Expense_master[Monthly_Rent],MATCH(Daily_Data[[#This Row],[Month_key]],Expense_master[Month_Key],0)) / INDEX(Expense_master[Days_in_Month],MATCH(Daily_Data[[#This Row],[Month_key]],Expense_master[Month_Key],0))</f>
        <v>6774.1935483870966</v>
      </c>
      <c r="L185" s="10">
        <f>SUMIFS(Expense_master[Staff_Salary],Expense_master[Month_Key],Daily_Data[[#This Row],[Month_key]]) / SUMIFS(Expense_master[Days_in_Month],Expense_master[Month_Key],Daily_Data[[#This Row],[Month_key]])</f>
        <v>2258.0645161290322</v>
      </c>
      <c r="M185" s="10">
        <f>Daily_Data[[#This Row],[Rooms_Occupied]] * (SUMIFS(Expense_master[Housekeeping_Laundy],Expense_master[Month_Key],Daily_Data[[#This Row],[Month_key]]) / SUMIFS(Occupancy_table[Monthly_rooms_Occupied],Occupancy_table[Month_Key],Daily_Data[[#This Row],[Month_key]]))</f>
        <v>420.42042042042044</v>
      </c>
      <c r="N1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1966.1698343504795</v>
      </c>
      <c r="O185" s="10">
        <f>SUMIFS(Expense_master[Monthly_Maintenance],Expense_master[Month_Key],Daily_Data[[#This Row],[Month_key]]) / SUMIFS(Expense_master[Days_in_Month],Expense_master[Month_Key], Daily_Data[[#This Row],[Month_key]])</f>
        <v>645.16129032258061</v>
      </c>
      <c r="P185" s="10">
        <f xml:space="preserve"> Daily_Data[[#This Row],[OTA Commision]] + Daily_Data[[#This Row],[Daily_Rent]]+Daily_Data[[#This Row],[Daily_Staff]]+Daily_Data[[#This Row],[Daily_HK]]+Daily_Data[[#This Row],[Daily_Electricity]] + Daily_Data[[#This Row],[Daily Maintenance]]</f>
        <v>16613.169609609609</v>
      </c>
      <c r="Q185" s="10">
        <f>Daily_Data[[#This Row],[Total_Sales]]-Daily_Data[[#This Row],[Total_Daily_Expense]]</f>
        <v>4064.8303903903907</v>
      </c>
      <c r="R185" s="10">
        <f>Daily_Data[[#This Row],[Total_Sales]]/Daily_Data[[#This Row],[Rooms_Occupied]]</f>
        <v>1477</v>
      </c>
      <c r="S185" s="10">
        <f>Daily_Data[[#This Row],[Total_Sales]] / Daily_Data[[#This Row],[Max_rooms]]</f>
        <v>1477</v>
      </c>
    </row>
    <row r="186" spans="1:19" x14ac:dyDescent="0.25">
      <c r="A186" s="6">
        <v>45111</v>
      </c>
      <c r="B186" s="20">
        <f>DATE(YEAR(Daily_Data[[#This Row],[Date]]), MONTH(Daily_Data[[#This Row],[Date]]), 1)</f>
        <v>45108</v>
      </c>
      <c r="C186" s="20" t="str">
        <f>TEXT(Daily_Data[[#This Row],[Month_key]],"mmmm")</f>
        <v>July</v>
      </c>
      <c r="D186" s="20" t="str">
        <f>TEXT(Daily_Data[[#This Row],[Month_key]],"yyyy")</f>
        <v>2023</v>
      </c>
      <c r="E186" s="7">
        <v>8</v>
      </c>
      <c r="F186" s="7">
        <v>14</v>
      </c>
      <c r="G186" s="8">
        <f>Daily_Data[[#This Row],[Rooms_Occupied]]/F186</f>
        <v>0.5714285714285714</v>
      </c>
      <c r="H186" s="7">
        <v>1002</v>
      </c>
      <c r="I186" s="7">
        <f>Daily_Data[[#This Row],[Room_rate]]*Daily_Data[[#This Row],[Rooms_Occupied]]</f>
        <v>8016</v>
      </c>
      <c r="J186" s="10">
        <f>Daily_Data[[#This Row],[Total_Sales]] * 0.22</f>
        <v>1763.52</v>
      </c>
      <c r="K186" s="10">
        <f>INDEX(Expense_master[Monthly_Rent],MATCH(Daily_Data[[#This Row],[Month_key]],Expense_master[Month_Key],0)) / INDEX(Expense_master[Days_in_Month],MATCH(Daily_Data[[#This Row],[Month_key]],Expense_master[Month_Key],0))</f>
        <v>6774.1935483870966</v>
      </c>
      <c r="L186" s="10">
        <f>SUMIFS(Expense_master[Staff_Salary],Expense_master[Month_Key],Daily_Data[[#This Row],[Month_key]]) / SUMIFS(Expense_master[Days_in_Month],Expense_master[Month_Key],Daily_Data[[#This Row],[Month_key]])</f>
        <v>2258.0645161290322</v>
      </c>
      <c r="M186" s="10">
        <f>Daily_Data[[#This Row],[Rooms_Occupied]] * (SUMIFS(Expense_master[Housekeeping_Laundy],Expense_master[Month_Key],Daily_Data[[#This Row],[Month_key]]) / SUMIFS(Occupancy_table[Monthly_rooms_Occupied],Occupancy_table[Month_Key],Daily_Data[[#This Row],[Month_key]]))</f>
        <v>240.24024024024024</v>
      </c>
      <c r="N1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186" s="10">
        <f>SUMIFS(Expense_master[Monthly_Maintenance],Expense_master[Month_Key],Daily_Data[[#This Row],[Month_key]]) / SUMIFS(Expense_master[Days_in_Month],Expense_master[Month_Key], Daily_Data[[#This Row],[Month_key]])</f>
        <v>645.16129032258061</v>
      </c>
      <c r="P186" s="10">
        <f xml:space="preserve"> Daily_Data[[#This Row],[OTA Commision]] + Daily_Data[[#This Row],[Daily_Rent]]+Daily_Data[[#This Row],[Daily_Staff]]+Daily_Data[[#This Row],[Daily_HK]]+Daily_Data[[#This Row],[Daily_Electricity]] + Daily_Data[[#This Row],[Daily Maintenance]]</f>
        <v>13089.868348348349</v>
      </c>
      <c r="Q186" s="10">
        <f>Daily_Data[[#This Row],[Total_Sales]]-Daily_Data[[#This Row],[Total_Daily_Expense]]</f>
        <v>-5073.8683483483492</v>
      </c>
      <c r="R186" s="10">
        <f>Daily_Data[[#This Row],[Total_Sales]]/Daily_Data[[#This Row],[Rooms_Occupied]]</f>
        <v>1002</v>
      </c>
      <c r="S186" s="10">
        <f>Daily_Data[[#This Row],[Total_Sales]] / Daily_Data[[#This Row],[Max_rooms]]</f>
        <v>572.57142857142856</v>
      </c>
    </row>
    <row r="187" spans="1:19" x14ac:dyDescent="0.25">
      <c r="A187" s="6">
        <v>45112</v>
      </c>
      <c r="B187" s="20">
        <f>DATE(YEAR(Daily_Data[[#This Row],[Date]]), MONTH(Daily_Data[[#This Row],[Date]]), 1)</f>
        <v>45108</v>
      </c>
      <c r="C187" s="20" t="str">
        <f>TEXT(Daily_Data[[#This Row],[Month_key]],"mmmm")</f>
        <v>July</v>
      </c>
      <c r="D187" s="20" t="str">
        <f>TEXT(Daily_Data[[#This Row],[Month_key]],"yyyy")</f>
        <v>2023</v>
      </c>
      <c r="E187" s="7">
        <v>11</v>
      </c>
      <c r="F187" s="7">
        <v>14</v>
      </c>
      <c r="G187" s="8">
        <f>Daily_Data[[#This Row],[Rooms_Occupied]]/F187</f>
        <v>0.7857142857142857</v>
      </c>
      <c r="H187" s="7">
        <v>1686</v>
      </c>
      <c r="I187" s="7">
        <f>Daily_Data[[#This Row],[Room_rate]]*Daily_Data[[#This Row],[Rooms_Occupied]]</f>
        <v>18546</v>
      </c>
      <c r="J187" s="10">
        <f>Daily_Data[[#This Row],[Total_Sales]] * 0.22</f>
        <v>4080.12</v>
      </c>
      <c r="K187" s="10">
        <f>INDEX(Expense_master[Monthly_Rent],MATCH(Daily_Data[[#This Row],[Month_key]],Expense_master[Month_Key],0)) / INDEX(Expense_master[Days_in_Month],MATCH(Daily_Data[[#This Row],[Month_key]],Expense_master[Month_Key],0))</f>
        <v>6774.1935483870966</v>
      </c>
      <c r="L187" s="10">
        <f>SUMIFS(Expense_master[Staff_Salary],Expense_master[Month_Key],Daily_Data[[#This Row],[Month_key]]) / SUMIFS(Expense_master[Days_in_Month],Expense_master[Month_Key],Daily_Data[[#This Row],[Month_key]])</f>
        <v>2258.0645161290322</v>
      </c>
      <c r="M187" s="10">
        <f>Daily_Data[[#This Row],[Rooms_Occupied]] * (SUMIFS(Expense_master[Housekeeping_Laundy],Expense_master[Month_Key],Daily_Data[[#This Row],[Month_key]]) / SUMIFS(Occupancy_table[Monthly_rooms_Occupied],Occupancy_table[Month_Key],Daily_Data[[#This Row],[Month_key]]))</f>
        <v>330.33033033033036</v>
      </c>
      <c r="N1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187" s="10">
        <f>SUMIFS(Expense_master[Monthly_Maintenance],Expense_master[Month_Key],Daily_Data[[#This Row],[Month_key]]) / SUMIFS(Expense_master[Days_in_Month],Expense_master[Month_Key], Daily_Data[[#This Row],[Month_key]])</f>
        <v>645.16129032258061</v>
      </c>
      <c r="P187" s="10">
        <f xml:space="preserve"> Daily_Data[[#This Row],[OTA Commision]] + Daily_Data[[#This Row],[Daily_Rent]]+Daily_Data[[#This Row],[Daily_Staff]]+Daily_Data[[#This Row],[Daily_HK]]+Daily_Data[[#This Row],[Daily_Electricity]] + Daily_Data[[#This Row],[Daily Maintenance]]</f>
        <v>15775.298978978981</v>
      </c>
      <c r="Q187" s="10">
        <f>Daily_Data[[#This Row],[Total_Sales]]-Daily_Data[[#This Row],[Total_Daily_Expense]]</f>
        <v>2770.7010210210192</v>
      </c>
      <c r="R187" s="10">
        <f>Daily_Data[[#This Row],[Total_Sales]]/Daily_Data[[#This Row],[Rooms_Occupied]]</f>
        <v>1686</v>
      </c>
      <c r="S187" s="10">
        <f>Daily_Data[[#This Row],[Total_Sales]] / Daily_Data[[#This Row],[Max_rooms]]</f>
        <v>1324.7142857142858</v>
      </c>
    </row>
    <row r="188" spans="1:19" x14ac:dyDescent="0.25">
      <c r="A188" s="6">
        <v>45113</v>
      </c>
      <c r="B188" s="20">
        <f>DATE(YEAR(Daily_Data[[#This Row],[Date]]), MONTH(Daily_Data[[#This Row],[Date]]), 1)</f>
        <v>45108</v>
      </c>
      <c r="C188" s="20" t="str">
        <f>TEXT(Daily_Data[[#This Row],[Month_key]],"mmmm")</f>
        <v>July</v>
      </c>
      <c r="D188" s="20" t="str">
        <f>TEXT(Daily_Data[[#This Row],[Month_key]],"yyyy")</f>
        <v>2023</v>
      </c>
      <c r="E188" s="7">
        <v>8</v>
      </c>
      <c r="F188" s="7">
        <v>14</v>
      </c>
      <c r="G188" s="8">
        <f>Daily_Data[[#This Row],[Rooms_Occupied]]/F188</f>
        <v>0.5714285714285714</v>
      </c>
      <c r="H188" s="7">
        <v>1541</v>
      </c>
      <c r="I188" s="7">
        <f>Daily_Data[[#This Row],[Room_rate]]*Daily_Data[[#This Row],[Rooms_Occupied]]</f>
        <v>12328</v>
      </c>
      <c r="J188" s="10">
        <f>Daily_Data[[#This Row],[Total_Sales]] * 0.22</f>
        <v>2712.16</v>
      </c>
      <c r="K188" s="10">
        <f>INDEX(Expense_master[Monthly_Rent],MATCH(Daily_Data[[#This Row],[Month_key]],Expense_master[Month_Key],0)) / INDEX(Expense_master[Days_in_Month],MATCH(Daily_Data[[#This Row],[Month_key]],Expense_master[Month_Key],0))</f>
        <v>6774.1935483870966</v>
      </c>
      <c r="L188" s="10">
        <f>SUMIFS(Expense_master[Staff_Salary],Expense_master[Month_Key],Daily_Data[[#This Row],[Month_key]]) / SUMIFS(Expense_master[Days_in_Month],Expense_master[Month_Key],Daily_Data[[#This Row],[Month_key]])</f>
        <v>2258.0645161290322</v>
      </c>
      <c r="M188" s="10">
        <f>Daily_Data[[#This Row],[Rooms_Occupied]] * (SUMIFS(Expense_master[Housekeeping_Laundy],Expense_master[Month_Key],Daily_Data[[#This Row],[Month_key]]) / SUMIFS(Occupancy_table[Monthly_rooms_Occupied],Occupancy_table[Month_Key],Daily_Data[[#This Row],[Month_key]]))</f>
        <v>240.24024024024024</v>
      </c>
      <c r="N1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188" s="10">
        <f>SUMIFS(Expense_master[Monthly_Maintenance],Expense_master[Month_Key],Daily_Data[[#This Row],[Month_key]]) / SUMIFS(Expense_master[Days_in_Month],Expense_master[Month_Key], Daily_Data[[#This Row],[Month_key]])</f>
        <v>645.16129032258061</v>
      </c>
      <c r="P188" s="10">
        <f xml:space="preserve"> Daily_Data[[#This Row],[OTA Commision]] + Daily_Data[[#This Row],[Daily_Rent]]+Daily_Data[[#This Row],[Daily_Staff]]+Daily_Data[[#This Row],[Daily_HK]]+Daily_Data[[#This Row],[Daily_Electricity]] + Daily_Data[[#This Row],[Daily Maintenance]]</f>
        <v>14038.508348348349</v>
      </c>
      <c r="Q188" s="10">
        <f>Daily_Data[[#This Row],[Total_Sales]]-Daily_Data[[#This Row],[Total_Daily_Expense]]</f>
        <v>-1710.5083483483486</v>
      </c>
      <c r="R188" s="10">
        <f>Daily_Data[[#This Row],[Total_Sales]]/Daily_Data[[#This Row],[Rooms_Occupied]]</f>
        <v>1541</v>
      </c>
      <c r="S188" s="10">
        <f>Daily_Data[[#This Row],[Total_Sales]] / Daily_Data[[#This Row],[Max_rooms]]</f>
        <v>880.57142857142856</v>
      </c>
    </row>
    <row r="189" spans="1:19" x14ac:dyDescent="0.25">
      <c r="A189" s="6">
        <v>45114</v>
      </c>
      <c r="B189" s="20">
        <f>DATE(YEAR(Daily_Data[[#This Row],[Date]]), MONTH(Daily_Data[[#This Row],[Date]]), 1)</f>
        <v>45108</v>
      </c>
      <c r="C189" s="20" t="str">
        <f>TEXT(Daily_Data[[#This Row],[Month_key]],"mmmm")</f>
        <v>July</v>
      </c>
      <c r="D189" s="20" t="str">
        <f>TEXT(Daily_Data[[#This Row],[Month_key]],"yyyy")</f>
        <v>2023</v>
      </c>
      <c r="E189" s="7">
        <v>14</v>
      </c>
      <c r="F189" s="7">
        <v>14</v>
      </c>
      <c r="G189" s="8">
        <f>Daily_Data[[#This Row],[Rooms_Occupied]]/F189</f>
        <v>1</v>
      </c>
      <c r="H189" s="7">
        <v>1525</v>
      </c>
      <c r="I189" s="7">
        <f>Daily_Data[[#This Row],[Room_rate]]*Daily_Data[[#This Row],[Rooms_Occupied]]</f>
        <v>21350</v>
      </c>
      <c r="J189" s="10">
        <f>Daily_Data[[#This Row],[Total_Sales]] * 0.22</f>
        <v>4697</v>
      </c>
      <c r="K189" s="10">
        <f>INDEX(Expense_master[Monthly_Rent],MATCH(Daily_Data[[#This Row],[Month_key]],Expense_master[Month_Key],0)) / INDEX(Expense_master[Days_in_Month],MATCH(Daily_Data[[#This Row],[Month_key]],Expense_master[Month_Key],0))</f>
        <v>6774.1935483870966</v>
      </c>
      <c r="L189" s="10">
        <f>SUMIFS(Expense_master[Staff_Salary],Expense_master[Month_Key],Daily_Data[[#This Row],[Month_key]]) / SUMIFS(Expense_master[Days_in_Month],Expense_master[Month_Key],Daily_Data[[#This Row],[Month_key]])</f>
        <v>2258.0645161290322</v>
      </c>
      <c r="M189" s="10">
        <f>Daily_Data[[#This Row],[Rooms_Occupied]] * (SUMIFS(Expense_master[Housekeeping_Laundy],Expense_master[Month_Key],Daily_Data[[#This Row],[Month_key]]) / SUMIFS(Occupancy_table[Monthly_rooms_Occupied],Occupancy_table[Month_Key],Daily_Data[[#This Row],[Month_key]]))</f>
        <v>420.42042042042044</v>
      </c>
      <c r="N1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1966.1698343504795</v>
      </c>
      <c r="O189" s="10">
        <f>SUMIFS(Expense_master[Monthly_Maintenance],Expense_master[Month_Key],Daily_Data[[#This Row],[Month_key]]) / SUMIFS(Expense_master[Days_in_Month],Expense_master[Month_Key], Daily_Data[[#This Row],[Month_key]])</f>
        <v>645.16129032258061</v>
      </c>
      <c r="P189" s="10">
        <f xml:space="preserve"> Daily_Data[[#This Row],[OTA Commision]] + Daily_Data[[#This Row],[Daily_Rent]]+Daily_Data[[#This Row],[Daily_Staff]]+Daily_Data[[#This Row],[Daily_HK]]+Daily_Data[[#This Row],[Daily_Electricity]] + Daily_Data[[#This Row],[Daily Maintenance]]</f>
        <v>16761.009609609609</v>
      </c>
      <c r="Q189" s="10">
        <f>Daily_Data[[#This Row],[Total_Sales]]-Daily_Data[[#This Row],[Total_Daily_Expense]]</f>
        <v>4588.9903903903905</v>
      </c>
      <c r="R189" s="10">
        <f>Daily_Data[[#This Row],[Total_Sales]]/Daily_Data[[#This Row],[Rooms_Occupied]]</f>
        <v>1525</v>
      </c>
      <c r="S189" s="10">
        <f>Daily_Data[[#This Row],[Total_Sales]] / Daily_Data[[#This Row],[Max_rooms]]</f>
        <v>1525</v>
      </c>
    </row>
    <row r="190" spans="1:19" x14ac:dyDescent="0.25">
      <c r="A190" s="6">
        <v>45115</v>
      </c>
      <c r="B190" s="20">
        <f>DATE(YEAR(Daily_Data[[#This Row],[Date]]), MONTH(Daily_Data[[#This Row],[Date]]), 1)</f>
        <v>45108</v>
      </c>
      <c r="C190" s="20" t="str">
        <f>TEXT(Daily_Data[[#This Row],[Month_key]],"mmmm")</f>
        <v>July</v>
      </c>
      <c r="D190" s="20" t="str">
        <f>TEXT(Daily_Data[[#This Row],[Month_key]],"yyyy")</f>
        <v>2023</v>
      </c>
      <c r="E190" s="7">
        <v>14</v>
      </c>
      <c r="F190" s="7">
        <v>14</v>
      </c>
      <c r="G190" s="8">
        <f>Daily_Data[[#This Row],[Rooms_Occupied]]/F190</f>
        <v>1</v>
      </c>
      <c r="H190" s="7">
        <v>1915</v>
      </c>
      <c r="I190" s="7">
        <f>Daily_Data[[#This Row],[Room_rate]]*Daily_Data[[#This Row],[Rooms_Occupied]]</f>
        <v>26810</v>
      </c>
      <c r="J190" s="10">
        <f>Daily_Data[[#This Row],[Total_Sales]] * 0.22</f>
        <v>5898.2</v>
      </c>
      <c r="K190" s="10">
        <f>INDEX(Expense_master[Monthly_Rent],MATCH(Daily_Data[[#This Row],[Month_key]],Expense_master[Month_Key],0)) / INDEX(Expense_master[Days_in_Month],MATCH(Daily_Data[[#This Row],[Month_key]],Expense_master[Month_Key],0))</f>
        <v>6774.1935483870966</v>
      </c>
      <c r="L190" s="10">
        <f>SUMIFS(Expense_master[Staff_Salary],Expense_master[Month_Key],Daily_Data[[#This Row],[Month_key]]) / SUMIFS(Expense_master[Days_in_Month],Expense_master[Month_Key],Daily_Data[[#This Row],[Month_key]])</f>
        <v>2258.0645161290322</v>
      </c>
      <c r="M190" s="10">
        <f>Daily_Data[[#This Row],[Rooms_Occupied]] * (SUMIFS(Expense_master[Housekeeping_Laundy],Expense_master[Month_Key],Daily_Data[[#This Row],[Month_key]]) / SUMIFS(Occupancy_table[Monthly_rooms_Occupied],Occupancy_table[Month_Key],Daily_Data[[#This Row],[Month_key]]))</f>
        <v>420.42042042042044</v>
      </c>
      <c r="N1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1966.1698343504795</v>
      </c>
      <c r="O190" s="10">
        <f>SUMIFS(Expense_master[Monthly_Maintenance],Expense_master[Month_Key],Daily_Data[[#This Row],[Month_key]]) / SUMIFS(Expense_master[Days_in_Month],Expense_master[Month_Key], Daily_Data[[#This Row],[Month_key]])</f>
        <v>645.16129032258061</v>
      </c>
      <c r="P190" s="10">
        <f xml:space="preserve"> Daily_Data[[#This Row],[OTA Commision]] + Daily_Data[[#This Row],[Daily_Rent]]+Daily_Data[[#This Row],[Daily_Staff]]+Daily_Data[[#This Row],[Daily_HK]]+Daily_Data[[#This Row],[Daily_Electricity]] + Daily_Data[[#This Row],[Daily Maintenance]]</f>
        <v>17962.209609609607</v>
      </c>
      <c r="Q190" s="10">
        <f>Daily_Data[[#This Row],[Total_Sales]]-Daily_Data[[#This Row],[Total_Daily_Expense]]</f>
        <v>8847.7903903903934</v>
      </c>
      <c r="R190" s="10">
        <f>Daily_Data[[#This Row],[Total_Sales]]/Daily_Data[[#This Row],[Rooms_Occupied]]</f>
        <v>1915</v>
      </c>
      <c r="S190" s="10">
        <f>Daily_Data[[#This Row],[Total_Sales]] / Daily_Data[[#This Row],[Max_rooms]]</f>
        <v>1915</v>
      </c>
    </row>
    <row r="191" spans="1:19" x14ac:dyDescent="0.25">
      <c r="A191" s="6">
        <v>45116</v>
      </c>
      <c r="B191" s="20">
        <f>DATE(YEAR(Daily_Data[[#This Row],[Date]]), MONTH(Daily_Data[[#This Row],[Date]]), 1)</f>
        <v>45108</v>
      </c>
      <c r="C191" s="20" t="str">
        <f>TEXT(Daily_Data[[#This Row],[Month_key]],"mmmm")</f>
        <v>July</v>
      </c>
      <c r="D191" s="20" t="str">
        <f>TEXT(Daily_Data[[#This Row],[Month_key]],"yyyy")</f>
        <v>2023</v>
      </c>
      <c r="E191" s="7">
        <v>11</v>
      </c>
      <c r="F191" s="7">
        <v>14</v>
      </c>
      <c r="G191" s="8">
        <f>Daily_Data[[#This Row],[Rooms_Occupied]]/F191</f>
        <v>0.7857142857142857</v>
      </c>
      <c r="H191" s="7">
        <v>1565</v>
      </c>
      <c r="I191" s="7">
        <f>Daily_Data[[#This Row],[Room_rate]]*Daily_Data[[#This Row],[Rooms_Occupied]]</f>
        <v>17215</v>
      </c>
      <c r="J191" s="10">
        <f>Daily_Data[[#This Row],[Total_Sales]] * 0.22</f>
        <v>3787.3</v>
      </c>
      <c r="K191" s="10">
        <f>INDEX(Expense_master[Monthly_Rent],MATCH(Daily_Data[[#This Row],[Month_key]],Expense_master[Month_Key],0)) / INDEX(Expense_master[Days_in_Month],MATCH(Daily_Data[[#This Row],[Month_key]],Expense_master[Month_Key],0))</f>
        <v>6774.1935483870966</v>
      </c>
      <c r="L191" s="10">
        <f>SUMIFS(Expense_master[Staff_Salary],Expense_master[Month_Key],Daily_Data[[#This Row],[Month_key]]) / SUMIFS(Expense_master[Days_in_Month],Expense_master[Month_Key],Daily_Data[[#This Row],[Month_key]])</f>
        <v>2258.0645161290322</v>
      </c>
      <c r="M191" s="10">
        <f>Daily_Data[[#This Row],[Rooms_Occupied]] * (SUMIFS(Expense_master[Housekeeping_Laundy],Expense_master[Month_Key],Daily_Data[[#This Row],[Month_key]]) / SUMIFS(Occupancy_table[Monthly_rooms_Occupied],Occupancy_table[Month_Key],Daily_Data[[#This Row],[Month_key]]))</f>
        <v>330.33033033033036</v>
      </c>
      <c r="N1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191" s="10">
        <f>SUMIFS(Expense_master[Monthly_Maintenance],Expense_master[Month_Key],Daily_Data[[#This Row],[Month_key]]) / SUMIFS(Expense_master[Days_in_Month],Expense_master[Month_Key], Daily_Data[[#This Row],[Month_key]])</f>
        <v>645.16129032258061</v>
      </c>
      <c r="P191" s="10">
        <f xml:space="preserve"> Daily_Data[[#This Row],[OTA Commision]] + Daily_Data[[#This Row],[Daily_Rent]]+Daily_Data[[#This Row],[Daily_Staff]]+Daily_Data[[#This Row],[Daily_HK]]+Daily_Data[[#This Row],[Daily_Electricity]] + Daily_Data[[#This Row],[Daily Maintenance]]</f>
        <v>15482.478978978981</v>
      </c>
      <c r="Q191" s="10">
        <f>Daily_Data[[#This Row],[Total_Sales]]-Daily_Data[[#This Row],[Total_Daily_Expense]]</f>
        <v>1732.5210210210189</v>
      </c>
      <c r="R191" s="10">
        <f>Daily_Data[[#This Row],[Total_Sales]]/Daily_Data[[#This Row],[Rooms_Occupied]]</f>
        <v>1565</v>
      </c>
      <c r="S191" s="10">
        <f>Daily_Data[[#This Row],[Total_Sales]] / Daily_Data[[#This Row],[Max_rooms]]</f>
        <v>1229.6428571428571</v>
      </c>
    </row>
    <row r="192" spans="1:19" x14ac:dyDescent="0.25">
      <c r="A192" s="6">
        <v>45117</v>
      </c>
      <c r="B192" s="20">
        <f>DATE(YEAR(Daily_Data[[#This Row],[Date]]), MONTH(Daily_Data[[#This Row],[Date]]), 1)</f>
        <v>45108</v>
      </c>
      <c r="C192" s="20" t="str">
        <f>TEXT(Daily_Data[[#This Row],[Month_key]],"mmmm")</f>
        <v>July</v>
      </c>
      <c r="D192" s="20" t="str">
        <f>TEXT(Daily_Data[[#This Row],[Month_key]],"yyyy")</f>
        <v>2023</v>
      </c>
      <c r="E192" s="7">
        <v>13</v>
      </c>
      <c r="F192" s="7">
        <v>14</v>
      </c>
      <c r="G192" s="8">
        <f>Daily_Data[[#This Row],[Rooms_Occupied]]/F192</f>
        <v>0.9285714285714286</v>
      </c>
      <c r="H192" s="7">
        <v>1753</v>
      </c>
      <c r="I192" s="7">
        <f>Daily_Data[[#This Row],[Room_rate]]*Daily_Data[[#This Row],[Rooms_Occupied]]</f>
        <v>22789</v>
      </c>
      <c r="J192" s="10">
        <f>Daily_Data[[#This Row],[Total_Sales]] * 0.22</f>
        <v>5013.58</v>
      </c>
      <c r="K192" s="10">
        <f>INDEX(Expense_master[Monthly_Rent],MATCH(Daily_Data[[#This Row],[Month_key]],Expense_master[Month_Key],0)) / INDEX(Expense_master[Days_in_Month],MATCH(Daily_Data[[#This Row],[Month_key]],Expense_master[Month_Key],0))</f>
        <v>6774.1935483870966</v>
      </c>
      <c r="L192" s="10">
        <f>SUMIFS(Expense_master[Staff_Salary],Expense_master[Month_Key],Daily_Data[[#This Row],[Month_key]]) / SUMIFS(Expense_master[Days_in_Month],Expense_master[Month_Key],Daily_Data[[#This Row],[Month_key]])</f>
        <v>2258.0645161290322</v>
      </c>
      <c r="M192" s="10">
        <f>Daily_Data[[#This Row],[Rooms_Occupied]] * (SUMIFS(Expense_master[Housekeeping_Laundy],Expense_master[Month_Key],Daily_Data[[#This Row],[Month_key]]) / SUMIFS(Occupancy_table[Monthly_rooms_Occupied],Occupancy_table[Month_Key],Daily_Data[[#This Row],[Month_key]]))</f>
        <v>390.39039039039039</v>
      </c>
      <c r="N1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1873.2563208369661</v>
      </c>
      <c r="O192" s="10">
        <f>SUMIFS(Expense_master[Monthly_Maintenance],Expense_master[Month_Key],Daily_Data[[#This Row],[Month_key]]) / SUMIFS(Expense_master[Days_in_Month],Expense_master[Month_Key], Daily_Data[[#This Row],[Month_key]])</f>
        <v>645.16129032258061</v>
      </c>
      <c r="P192" s="10">
        <f xml:space="preserve"> Daily_Data[[#This Row],[OTA Commision]] + Daily_Data[[#This Row],[Daily_Rent]]+Daily_Data[[#This Row],[Daily_Staff]]+Daily_Data[[#This Row],[Daily_HK]]+Daily_Data[[#This Row],[Daily_Electricity]] + Daily_Data[[#This Row],[Daily Maintenance]]</f>
        <v>16954.646066066067</v>
      </c>
      <c r="Q192" s="10">
        <f>Daily_Data[[#This Row],[Total_Sales]]-Daily_Data[[#This Row],[Total_Daily_Expense]]</f>
        <v>5834.3539339339331</v>
      </c>
      <c r="R192" s="10">
        <f>Daily_Data[[#This Row],[Total_Sales]]/Daily_Data[[#This Row],[Rooms_Occupied]]</f>
        <v>1753</v>
      </c>
      <c r="S192" s="10">
        <f>Daily_Data[[#This Row],[Total_Sales]] / Daily_Data[[#This Row],[Max_rooms]]</f>
        <v>1627.7857142857142</v>
      </c>
    </row>
    <row r="193" spans="1:19" x14ac:dyDescent="0.25">
      <c r="A193" s="6">
        <v>45118</v>
      </c>
      <c r="B193" s="20">
        <f>DATE(YEAR(Daily_Data[[#This Row],[Date]]), MONTH(Daily_Data[[#This Row],[Date]]), 1)</f>
        <v>45108</v>
      </c>
      <c r="C193" s="20" t="str">
        <f>TEXT(Daily_Data[[#This Row],[Month_key]],"mmmm")</f>
        <v>July</v>
      </c>
      <c r="D193" s="20" t="str">
        <f>TEXT(Daily_Data[[#This Row],[Month_key]],"yyyy")</f>
        <v>2023</v>
      </c>
      <c r="E193" s="7">
        <v>14</v>
      </c>
      <c r="F193" s="7">
        <v>14</v>
      </c>
      <c r="G193" s="8">
        <f>Daily_Data[[#This Row],[Rooms_Occupied]]/F193</f>
        <v>1</v>
      </c>
      <c r="H193" s="7">
        <v>1480</v>
      </c>
      <c r="I193" s="7">
        <f>Daily_Data[[#This Row],[Room_rate]]*Daily_Data[[#This Row],[Rooms_Occupied]]</f>
        <v>20720</v>
      </c>
      <c r="J193" s="10">
        <f>Daily_Data[[#This Row],[Total_Sales]] * 0.22</f>
        <v>4558.3999999999996</v>
      </c>
      <c r="K193" s="10">
        <f>INDEX(Expense_master[Monthly_Rent],MATCH(Daily_Data[[#This Row],[Month_key]],Expense_master[Month_Key],0)) / INDEX(Expense_master[Days_in_Month],MATCH(Daily_Data[[#This Row],[Month_key]],Expense_master[Month_Key],0))</f>
        <v>6774.1935483870966</v>
      </c>
      <c r="L193" s="10">
        <f>SUMIFS(Expense_master[Staff_Salary],Expense_master[Month_Key],Daily_Data[[#This Row],[Month_key]]) / SUMIFS(Expense_master[Days_in_Month],Expense_master[Month_Key],Daily_Data[[#This Row],[Month_key]])</f>
        <v>2258.0645161290322</v>
      </c>
      <c r="M193" s="10">
        <f>Daily_Data[[#This Row],[Rooms_Occupied]] * (SUMIFS(Expense_master[Housekeeping_Laundy],Expense_master[Month_Key],Daily_Data[[#This Row],[Month_key]]) / SUMIFS(Occupancy_table[Monthly_rooms_Occupied],Occupancy_table[Month_Key],Daily_Data[[#This Row],[Month_key]]))</f>
        <v>420.42042042042044</v>
      </c>
      <c r="N1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1966.1698343504795</v>
      </c>
      <c r="O193" s="10">
        <f>SUMIFS(Expense_master[Monthly_Maintenance],Expense_master[Month_Key],Daily_Data[[#This Row],[Month_key]]) / SUMIFS(Expense_master[Days_in_Month],Expense_master[Month_Key], Daily_Data[[#This Row],[Month_key]])</f>
        <v>645.16129032258061</v>
      </c>
      <c r="P193" s="10">
        <f xml:space="preserve"> Daily_Data[[#This Row],[OTA Commision]] + Daily_Data[[#This Row],[Daily_Rent]]+Daily_Data[[#This Row],[Daily_Staff]]+Daily_Data[[#This Row],[Daily_HK]]+Daily_Data[[#This Row],[Daily_Electricity]] + Daily_Data[[#This Row],[Daily Maintenance]]</f>
        <v>16622.409609609607</v>
      </c>
      <c r="Q193" s="10">
        <f>Daily_Data[[#This Row],[Total_Sales]]-Daily_Data[[#This Row],[Total_Daily_Expense]]</f>
        <v>4097.5903903903927</v>
      </c>
      <c r="R193" s="10">
        <f>Daily_Data[[#This Row],[Total_Sales]]/Daily_Data[[#This Row],[Rooms_Occupied]]</f>
        <v>1480</v>
      </c>
      <c r="S193" s="10">
        <f>Daily_Data[[#This Row],[Total_Sales]] / Daily_Data[[#This Row],[Max_rooms]]</f>
        <v>1480</v>
      </c>
    </row>
    <row r="194" spans="1:19" x14ac:dyDescent="0.25">
      <c r="A194" s="6">
        <v>45119</v>
      </c>
      <c r="B194" s="20">
        <f>DATE(YEAR(Daily_Data[[#This Row],[Date]]), MONTH(Daily_Data[[#This Row],[Date]]), 1)</f>
        <v>45108</v>
      </c>
      <c r="C194" s="20" t="str">
        <f>TEXT(Daily_Data[[#This Row],[Month_key]],"mmmm")</f>
        <v>July</v>
      </c>
      <c r="D194" s="20" t="str">
        <f>TEXT(Daily_Data[[#This Row],[Month_key]],"yyyy")</f>
        <v>2023</v>
      </c>
      <c r="E194" s="7">
        <v>12</v>
      </c>
      <c r="F194" s="7">
        <v>14</v>
      </c>
      <c r="G194" s="8">
        <f>Daily_Data[[#This Row],[Rooms_Occupied]]/F194</f>
        <v>0.8571428571428571</v>
      </c>
      <c r="H194" s="7">
        <v>1555</v>
      </c>
      <c r="I194" s="7">
        <f>Daily_Data[[#This Row],[Room_rate]]*Daily_Data[[#This Row],[Rooms_Occupied]]</f>
        <v>18660</v>
      </c>
      <c r="J194" s="10">
        <f>Daily_Data[[#This Row],[Total_Sales]] * 0.22</f>
        <v>4105.2</v>
      </c>
      <c r="K194" s="10">
        <f>INDEX(Expense_master[Monthly_Rent],MATCH(Daily_Data[[#This Row],[Month_key]],Expense_master[Month_Key],0)) / INDEX(Expense_master[Days_in_Month],MATCH(Daily_Data[[#This Row],[Month_key]],Expense_master[Month_Key],0))</f>
        <v>6774.1935483870966</v>
      </c>
      <c r="L194" s="10">
        <f>SUMIFS(Expense_master[Staff_Salary],Expense_master[Month_Key],Daily_Data[[#This Row],[Month_key]]) / SUMIFS(Expense_master[Days_in_Month],Expense_master[Month_Key],Daily_Data[[#This Row],[Month_key]])</f>
        <v>2258.0645161290322</v>
      </c>
      <c r="M194" s="10">
        <f>Daily_Data[[#This Row],[Rooms_Occupied]] * (SUMIFS(Expense_master[Housekeeping_Laundy],Expense_master[Month_Key],Daily_Data[[#This Row],[Month_key]]) / SUMIFS(Occupancy_table[Monthly_rooms_Occupied],Occupancy_table[Month_Key],Daily_Data[[#This Row],[Month_key]]))</f>
        <v>360.36036036036035</v>
      </c>
      <c r="N1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1780.3428073234525</v>
      </c>
      <c r="O194" s="10">
        <f>SUMIFS(Expense_master[Monthly_Maintenance],Expense_master[Month_Key],Daily_Data[[#This Row],[Month_key]]) / SUMIFS(Expense_master[Days_in_Month],Expense_master[Month_Key], Daily_Data[[#This Row],[Month_key]])</f>
        <v>645.16129032258061</v>
      </c>
      <c r="P194" s="10">
        <f xml:space="preserve"> Daily_Data[[#This Row],[OTA Commision]] + Daily_Data[[#This Row],[Daily_Rent]]+Daily_Data[[#This Row],[Daily_Staff]]+Daily_Data[[#This Row],[Daily_HK]]+Daily_Data[[#This Row],[Daily_Electricity]] + Daily_Data[[#This Row],[Daily Maintenance]]</f>
        <v>15923.322522522521</v>
      </c>
      <c r="Q194" s="10">
        <f>Daily_Data[[#This Row],[Total_Sales]]-Daily_Data[[#This Row],[Total_Daily_Expense]]</f>
        <v>2736.6774774774785</v>
      </c>
      <c r="R194" s="10">
        <f>Daily_Data[[#This Row],[Total_Sales]]/Daily_Data[[#This Row],[Rooms_Occupied]]</f>
        <v>1555</v>
      </c>
      <c r="S194" s="10">
        <f>Daily_Data[[#This Row],[Total_Sales]] / Daily_Data[[#This Row],[Max_rooms]]</f>
        <v>1332.8571428571429</v>
      </c>
    </row>
    <row r="195" spans="1:19" x14ac:dyDescent="0.25">
      <c r="A195" s="6">
        <v>45120</v>
      </c>
      <c r="B195" s="20">
        <f>DATE(YEAR(Daily_Data[[#This Row],[Date]]), MONTH(Daily_Data[[#This Row],[Date]]), 1)</f>
        <v>45108</v>
      </c>
      <c r="C195" s="20" t="str">
        <f>TEXT(Daily_Data[[#This Row],[Month_key]],"mmmm")</f>
        <v>July</v>
      </c>
      <c r="D195" s="20" t="str">
        <f>TEXT(Daily_Data[[#This Row],[Month_key]],"yyyy")</f>
        <v>2023</v>
      </c>
      <c r="E195" s="7">
        <v>12</v>
      </c>
      <c r="F195" s="7">
        <v>14</v>
      </c>
      <c r="G195" s="8">
        <f>Daily_Data[[#This Row],[Rooms_Occupied]]/F195</f>
        <v>0.8571428571428571</v>
      </c>
      <c r="H195" s="7">
        <v>1748</v>
      </c>
      <c r="I195" s="7">
        <f>Daily_Data[[#This Row],[Room_rate]]*Daily_Data[[#This Row],[Rooms_Occupied]]</f>
        <v>20976</v>
      </c>
      <c r="J195" s="10">
        <f>Daily_Data[[#This Row],[Total_Sales]] * 0.22</f>
        <v>4614.72</v>
      </c>
      <c r="K195" s="10">
        <f>INDEX(Expense_master[Monthly_Rent],MATCH(Daily_Data[[#This Row],[Month_key]],Expense_master[Month_Key],0)) / INDEX(Expense_master[Days_in_Month],MATCH(Daily_Data[[#This Row],[Month_key]],Expense_master[Month_Key],0))</f>
        <v>6774.1935483870966</v>
      </c>
      <c r="L195" s="10">
        <f>SUMIFS(Expense_master[Staff_Salary],Expense_master[Month_Key],Daily_Data[[#This Row],[Month_key]]) / SUMIFS(Expense_master[Days_in_Month],Expense_master[Month_Key],Daily_Data[[#This Row],[Month_key]])</f>
        <v>2258.0645161290322</v>
      </c>
      <c r="M195" s="10">
        <f>Daily_Data[[#This Row],[Rooms_Occupied]] * (SUMIFS(Expense_master[Housekeeping_Laundy],Expense_master[Month_Key],Daily_Data[[#This Row],[Month_key]]) / SUMIFS(Occupancy_table[Monthly_rooms_Occupied],Occupancy_table[Month_Key],Daily_Data[[#This Row],[Month_key]]))</f>
        <v>360.36036036036035</v>
      </c>
      <c r="N1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1780.3428073234525</v>
      </c>
      <c r="O195" s="10">
        <f>SUMIFS(Expense_master[Monthly_Maintenance],Expense_master[Month_Key],Daily_Data[[#This Row],[Month_key]]) / SUMIFS(Expense_master[Days_in_Month],Expense_master[Month_Key], Daily_Data[[#This Row],[Month_key]])</f>
        <v>645.16129032258061</v>
      </c>
      <c r="P195" s="10">
        <f xml:space="preserve"> Daily_Data[[#This Row],[OTA Commision]] + Daily_Data[[#This Row],[Daily_Rent]]+Daily_Data[[#This Row],[Daily_Staff]]+Daily_Data[[#This Row],[Daily_HK]]+Daily_Data[[#This Row],[Daily_Electricity]] + Daily_Data[[#This Row],[Daily Maintenance]]</f>
        <v>16432.842522522522</v>
      </c>
      <c r="Q195" s="10">
        <f>Daily_Data[[#This Row],[Total_Sales]]-Daily_Data[[#This Row],[Total_Daily_Expense]]</f>
        <v>4543.1574774774781</v>
      </c>
      <c r="R195" s="10">
        <f>Daily_Data[[#This Row],[Total_Sales]]/Daily_Data[[#This Row],[Rooms_Occupied]]</f>
        <v>1748</v>
      </c>
      <c r="S195" s="10">
        <f>Daily_Data[[#This Row],[Total_Sales]] / Daily_Data[[#This Row],[Max_rooms]]</f>
        <v>1498.2857142857142</v>
      </c>
    </row>
    <row r="196" spans="1:19" x14ac:dyDescent="0.25">
      <c r="A196" s="6">
        <v>45121</v>
      </c>
      <c r="B196" s="20">
        <f>DATE(YEAR(Daily_Data[[#This Row],[Date]]), MONTH(Daily_Data[[#This Row],[Date]]), 1)</f>
        <v>45108</v>
      </c>
      <c r="C196" s="20" t="str">
        <f>TEXT(Daily_Data[[#This Row],[Month_key]],"mmmm")</f>
        <v>July</v>
      </c>
      <c r="D196" s="20" t="str">
        <f>TEXT(Daily_Data[[#This Row],[Month_key]],"yyyy")</f>
        <v>2023</v>
      </c>
      <c r="E196" s="7">
        <v>11</v>
      </c>
      <c r="F196" s="7">
        <v>14</v>
      </c>
      <c r="G196" s="8">
        <f>Daily_Data[[#This Row],[Rooms_Occupied]]/F196</f>
        <v>0.7857142857142857</v>
      </c>
      <c r="H196" s="7">
        <v>1938</v>
      </c>
      <c r="I196" s="7">
        <f>Daily_Data[[#This Row],[Room_rate]]*Daily_Data[[#This Row],[Rooms_Occupied]]</f>
        <v>21318</v>
      </c>
      <c r="J196" s="10">
        <f>Daily_Data[[#This Row],[Total_Sales]] * 0.22</f>
        <v>4689.96</v>
      </c>
      <c r="K196" s="10">
        <f>INDEX(Expense_master[Monthly_Rent],MATCH(Daily_Data[[#This Row],[Month_key]],Expense_master[Month_Key],0)) / INDEX(Expense_master[Days_in_Month],MATCH(Daily_Data[[#This Row],[Month_key]],Expense_master[Month_Key],0))</f>
        <v>6774.1935483870966</v>
      </c>
      <c r="L196" s="10">
        <f>SUMIFS(Expense_master[Staff_Salary],Expense_master[Month_Key],Daily_Data[[#This Row],[Month_key]]) / SUMIFS(Expense_master[Days_in_Month],Expense_master[Month_Key],Daily_Data[[#This Row],[Month_key]])</f>
        <v>2258.0645161290322</v>
      </c>
      <c r="M196" s="10">
        <f>Daily_Data[[#This Row],[Rooms_Occupied]] * (SUMIFS(Expense_master[Housekeeping_Laundy],Expense_master[Month_Key],Daily_Data[[#This Row],[Month_key]]) / SUMIFS(Occupancy_table[Monthly_rooms_Occupied],Occupancy_table[Month_Key],Daily_Data[[#This Row],[Month_key]]))</f>
        <v>330.33033033033036</v>
      </c>
      <c r="N1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196" s="10">
        <f>SUMIFS(Expense_master[Monthly_Maintenance],Expense_master[Month_Key],Daily_Data[[#This Row],[Month_key]]) / SUMIFS(Expense_master[Days_in_Month],Expense_master[Month_Key], Daily_Data[[#This Row],[Month_key]])</f>
        <v>645.16129032258061</v>
      </c>
      <c r="P196" s="10">
        <f xml:space="preserve"> Daily_Data[[#This Row],[OTA Commision]] + Daily_Data[[#This Row],[Daily_Rent]]+Daily_Data[[#This Row],[Daily_Staff]]+Daily_Data[[#This Row],[Daily_HK]]+Daily_Data[[#This Row],[Daily_Electricity]] + Daily_Data[[#This Row],[Daily Maintenance]]</f>
        <v>16385.138978978979</v>
      </c>
      <c r="Q196" s="10">
        <f>Daily_Data[[#This Row],[Total_Sales]]-Daily_Data[[#This Row],[Total_Daily_Expense]]</f>
        <v>4932.8610210210209</v>
      </c>
      <c r="R196" s="10">
        <f>Daily_Data[[#This Row],[Total_Sales]]/Daily_Data[[#This Row],[Rooms_Occupied]]</f>
        <v>1938</v>
      </c>
      <c r="S196" s="10">
        <f>Daily_Data[[#This Row],[Total_Sales]] / Daily_Data[[#This Row],[Max_rooms]]</f>
        <v>1522.7142857142858</v>
      </c>
    </row>
    <row r="197" spans="1:19" x14ac:dyDescent="0.25">
      <c r="A197" s="6">
        <v>45122</v>
      </c>
      <c r="B197" s="20">
        <f>DATE(YEAR(Daily_Data[[#This Row],[Date]]), MONTH(Daily_Data[[#This Row],[Date]]), 1)</f>
        <v>45108</v>
      </c>
      <c r="C197" s="20" t="str">
        <f>TEXT(Daily_Data[[#This Row],[Month_key]],"mmmm")</f>
        <v>July</v>
      </c>
      <c r="D197" s="20" t="str">
        <f>TEXT(Daily_Data[[#This Row],[Month_key]],"yyyy")</f>
        <v>2023</v>
      </c>
      <c r="E197" s="7">
        <v>13</v>
      </c>
      <c r="F197" s="7">
        <v>14</v>
      </c>
      <c r="G197" s="8">
        <f>Daily_Data[[#This Row],[Rooms_Occupied]]/F197</f>
        <v>0.9285714285714286</v>
      </c>
      <c r="H197" s="7">
        <v>1976</v>
      </c>
      <c r="I197" s="7">
        <f>Daily_Data[[#This Row],[Room_rate]]*Daily_Data[[#This Row],[Rooms_Occupied]]</f>
        <v>25688</v>
      </c>
      <c r="J197" s="10">
        <f>Daily_Data[[#This Row],[Total_Sales]] * 0.22</f>
        <v>5651.36</v>
      </c>
      <c r="K197" s="10">
        <f>INDEX(Expense_master[Monthly_Rent],MATCH(Daily_Data[[#This Row],[Month_key]],Expense_master[Month_Key],0)) / INDEX(Expense_master[Days_in_Month],MATCH(Daily_Data[[#This Row],[Month_key]],Expense_master[Month_Key],0))</f>
        <v>6774.1935483870966</v>
      </c>
      <c r="L197" s="10">
        <f>SUMIFS(Expense_master[Staff_Salary],Expense_master[Month_Key],Daily_Data[[#This Row],[Month_key]]) / SUMIFS(Expense_master[Days_in_Month],Expense_master[Month_Key],Daily_Data[[#This Row],[Month_key]])</f>
        <v>2258.0645161290322</v>
      </c>
      <c r="M197" s="10">
        <f>Daily_Data[[#This Row],[Rooms_Occupied]] * (SUMIFS(Expense_master[Housekeeping_Laundy],Expense_master[Month_Key],Daily_Data[[#This Row],[Month_key]]) / SUMIFS(Occupancy_table[Monthly_rooms_Occupied],Occupancy_table[Month_Key],Daily_Data[[#This Row],[Month_key]]))</f>
        <v>390.39039039039039</v>
      </c>
      <c r="N1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1873.2563208369661</v>
      </c>
      <c r="O197" s="10">
        <f>SUMIFS(Expense_master[Monthly_Maintenance],Expense_master[Month_Key],Daily_Data[[#This Row],[Month_key]]) / SUMIFS(Expense_master[Days_in_Month],Expense_master[Month_Key], Daily_Data[[#This Row],[Month_key]])</f>
        <v>645.16129032258061</v>
      </c>
      <c r="P197" s="10">
        <f xml:space="preserve"> Daily_Data[[#This Row],[OTA Commision]] + Daily_Data[[#This Row],[Daily_Rent]]+Daily_Data[[#This Row],[Daily_Staff]]+Daily_Data[[#This Row],[Daily_HK]]+Daily_Data[[#This Row],[Daily_Electricity]] + Daily_Data[[#This Row],[Daily Maintenance]]</f>
        <v>17592.426066066062</v>
      </c>
      <c r="Q197" s="10">
        <f>Daily_Data[[#This Row],[Total_Sales]]-Daily_Data[[#This Row],[Total_Daily_Expense]]</f>
        <v>8095.573933933938</v>
      </c>
      <c r="R197" s="10">
        <f>Daily_Data[[#This Row],[Total_Sales]]/Daily_Data[[#This Row],[Rooms_Occupied]]</f>
        <v>1976</v>
      </c>
      <c r="S197" s="10">
        <f>Daily_Data[[#This Row],[Total_Sales]] / Daily_Data[[#This Row],[Max_rooms]]</f>
        <v>1834.8571428571429</v>
      </c>
    </row>
    <row r="198" spans="1:19" x14ac:dyDescent="0.25">
      <c r="A198" s="6">
        <v>45123</v>
      </c>
      <c r="B198" s="20">
        <f>DATE(YEAR(Daily_Data[[#This Row],[Date]]), MONTH(Daily_Data[[#This Row],[Date]]), 1)</f>
        <v>45108</v>
      </c>
      <c r="C198" s="20" t="str">
        <f>TEXT(Daily_Data[[#This Row],[Month_key]],"mmmm")</f>
        <v>July</v>
      </c>
      <c r="D198" s="20" t="str">
        <f>TEXT(Daily_Data[[#This Row],[Month_key]],"yyyy")</f>
        <v>2023</v>
      </c>
      <c r="E198" s="7">
        <v>10</v>
      </c>
      <c r="F198" s="7">
        <v>14</v>
      </c>
      <c r="G198" s="8">
        <f>Daily_Data[[#This Row],[Rooms_Occupied]]/F198</f>
        <v>0.7142857142857143</v>
      </c>
      <c r="H198" s="7">
        <v>1892</v>
      </c>
      <c r="I198" s="7">
        <f>Daily_Data[[#This Row],[Room_rate]]*Daily_Data[[#This Row],[Rooms_Occupied]]</f>
        <v>18920</v>
      </c>
      <c r="J198" s="10">
        <f>Daily_Data[[#This Row],[Total_Sales]] * 0.22</f>
        <v>4162.3999999999996</v>
      </c>
      <c r="K198" s="10">
        <f>INDEX(Expense_master[Monthly_Rent],MATCH(Daily_Data[[#This Row],[Month_key]],Expense_master[Month_Key],0)) / INDEX(Expense_master[Days_in_Month],MATCH(Daily_Data[[#This Row],[Month_key]],Expense_master[Month_Key],0))</f>
        <v>6774.1935483870966</v>
      </c>
      <c r="L198" s="10">
        <f>SUMIFS(Expense_master[Staff_Salary],Expense_master[Month_Key],Daily_Data[[#This Row],[Month_key]]) / SUMIFS(Expense_master[Days_in_Month],Expense_master[Month_Key],Daily_Data[[#This Row],[Month_key]])</f>
        <v>2258.0645161290322</v>
      </c>
      <c r="M198" s="10">
        <f>Daily_Data[[#This Row],[Rooms_Occupied]] * (SUMIFS(Expense_master[Housekeeping_Laundy],Expense_master[Month_Key],Daily_Data[[#This Row],[Month_key]]) / SUMIFS(Occupancy_table[Monthly_rooms_Occupied],Occupancy_table[Month_Key],Daily_Data[[#This Row],[Month_key]]))</f>
        <v>300.30030030030031</v>
      </c>
      <c r="N1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1594.5157802964254</v>
      </c>
      <c r="O198" s="10">
        <f>SUMIFS(Expense_master[Monthly_Maintenance],Expense_master[Month_Key],Daily_Data[[#This Row],[Month_key]]) / SUMIFS(Expense_master[Days_in_Month],Expense_master[Month_Key], Daily_Data[[#This Row],[Month_key]])</f>
        <v>645.16129032258061</v>
      </c>
      <c r="P198" s="10">
        <f xml:space="preserve"> Daily_Data[[#This Row],[OTA Commision]] + Daily_Data[[#This Row],[Daily_Rent]]+Daily_Data[[#This Row],[Daily_Staff]]+Daily_Data[[#This Row],[Daily_HK]]+Daily_Data[[#This Row],[Daily_Electricity]] + Daily_Data[[#This Row],[Daily Maintenance]]</f>
        <v>15734.635435435435</v>
      </c>
      <c r="Q198" s="10">
        <f>Daily_Data[[#This Row],[Total_Sales]]-Daily_Data[[#This Row],[Total_Daily_Expense]]</f>
        <v>3185.3645645645647</v>
      </c>
      <c r="R198" s="10">
        <f>Daily_Data[[#This Row],[Total_Sales]]/Daily_Data[[#This Row],[Rooms_Occupied]]</f>
        <v>1892</v>
      </c>
      <c r="S198" s="10">
        <f>Daily_Data[[#This Row],[Total_Sales]] / Daily_Data[[#This Row],[Max_rooms]]</f>
        <v>1351.4285714285713</v>
      </c>
    </row>
    <row r="199" spans="1:19" x14ac:dyDescent="0.25">
      <c r="A199" s="6">
        <v>45124</v>
      </c>
      <c r="B199" s="20">
        <f>DATE(YEAR(Daily_Data[[#This Row],[Date]]), MONTH(Daily_Data[[#This Row],[Date]]), 1)</f>
        <v>45108</v>
      </c>
      <c r="C199" s="20" t="str">
        <f>TEXT(Daily_Data[[#This Row],[Month_key]],"mmmm")</f>
        <v>July</v>
      </c>
      <c r="D199" s="20" t="str">
        <f>TEXT(Daily_Data[[#This Row],[Month_key]],"yyyy")</f>
        <v>2023</v>
      </c>
      <c r="E199" s="7">
        <v>11</v>
      </c>
      <c r="F199" s="7">
        <v>14</v>
      </c>
      <c r="G199" s="8">
        <f>Daily_Data[[#This Row],[Rooms_Occupied]]/F199</f>
        <v>0.7857142857142857</v>
      </c>
      <c r="H199" s="7">
        <v>1526</v>
      </c>
      <c r="I199" s="7">
        <f>Daily_Data[[#This Row],[Room_rate]]*Daily_Data[[#This Row],[Rooms_Occupied]]</f>
        <v>16786</v>
      </c>
      <c r="J199" s="10">
        <f>Daily_Data[[#This Row],[Total_Sales]] * 0.22</f>
        <v>3692.92</v>
      </c>
      <c r="K199" s="10">
        <f>INDEX(Expense_master[Monthly_Rent],MATCH(Daily_Data[[#This Row],[Month_key]],Expense_master[Month_Key],0)) / INDEX(Expense_master[Days_in_Month],MATCH(Daily_Data[[#This Row],[Month_key]],Expense_master[Month_Key],0))</f>
        <v>6774.1935483870966</v>
      </c>
      <c r="L199" s="10">
        <f>SUMIFS(Expense_master[Staff_Salary],Expense_master[Month_Key],Daily_Data[[#This Row],[Month_key]]) / SUMIFS(Expense_master[Days_in_Month],Expense_master[Month_Key],Daily_Data[[#This Row],[Month_key]])</f>
        <v>2258.0645161290322</v>
      </c>
      <c r="M199" s="10">
        <f>Daily_Data[[#This Row],[Rooms_Occupied]] * (SUMIFS(Expense_master[Housekeeping_Laundy],Expense_master[Month_Key],Daily_Data[[#This Row],[Month_key]]) / SUMIFS(Occupancy_table[Monthly_rooms_Occupied],Occupancy_table[Month_Key],Daily_Data[[#This Row],[Month_key]]))</f>
        <v>330.33033033033036</v>
      </c>
      <c r="N1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199" s="10">
        <f>SUMIFS(Expense_master[Monthly_Maintenance],Expense_master[Month_Key],Daily_Data[[#This Row],[Month_key]]) / SUMIFS(Expense_master[Days_in_Month],Expense_master[Month_Key], Daily_Data[[#This Row],[Month_key]])</f>
        <v>645.16129032258061</v>
      </c>
      <c r="P199" s="10">
        <f xml:space="preserve"> Daily_Data[[#This Row],[OTA Commision]] + Daily_Data[[#This Row],[Daily_Rent]]+Daily_Data[[#This Row],[Daily_Staff]]+Daily_Data[[#This Row],[Daily_HK]]+Daily_Data[[#This Row],[Daily_Electricity]] + Daily_Data[[#This Row],[Daily Maintenance]]</f>
        <v>15388.09897897898</v>
      </c>
      <c r="Q199" s="10">
        <f>Daily_Data[[#This Row],[Total_Sales]]-Daily_Data[[#This Row],[Total_Daily_Expense]]</f>
        <v>1397.9010210210199</v>
      </c>
      <c r="R199" s="10">
        <f>Daily_Data[[#This Row],[Total_Sales]]/Daily_Data[[#This Row],[Rooms_Occupied]]</f>
        <v>1526</v>
      </c>
      <c r="S199" s="10">
        <f>Daily_Data[[#This Row],[Total_Sales]] / Daily_Data[[#This Row],[Max_rooms]]</f>
        <v>1199</v>
      </c>
    </row>
    <row r="200" spans="1:19" x14ac:dyDescent="0.25">
      <c r="A200" s="6">
        <v>45125</v>
      </c>
      <c r="B200" s="20">
        <f>DATE(YEAR(Daily_Data[[#This Row],[Date]]), MONTH(Daily_Data[[#This Row],[Date]]), 1)</f>
        <v>45108</v>
      </c>
      <c r="C200" s="20" t="str">
        <f>TEXT(Daily_Data[[#This Row],[Month_key]],"mmmm")</f>
        <v>July</v>
      </c>
      <c r="D200" s="20" t="str">
        <f>TEXT(Daily_Data[[#This Row],[Month_key]],"yyyy")</f>
        <v>2023</v>
      </c>
      <c r="E200" s="7">
        <v>9</v>
      </c>
      <c r="F200" s="7">
        <v>14</v>
      </c>
      <c r="G200" s="8">
        <f>Daily_Data[[#This Row],[Rooms_Occupied]]/F200</f>
        <v>0.6428571428571429</v>
      </c>
      <c r="H200" s="7">
        <v>1446</v>
      </c>
      <c r="I200" s="7">
        <f>Daily_Data[[#This Row],[Room_rate]]*Daily_Data[[#This Row],[Rooms_Occupied]]</f>
        <v>13014</v>
      </c>
      <c r="J200" s="10">
        <f>Daily_Data[[#This Row],[Total_Sales]] * 0.22</f>
        <v>2863.08</v>
      </c>
      <c r="K200" s="10">
        <f>INDEX(Expense_master[Monthly_Rent],MATCH(Daily_Data[[#This Row],[Month_key]],Expense_master[Month_Key],0)) / INDEX(Expense_master[Days_in_Month],MATCH(Daily_Data[[#This Row],[Month_key]],Expense_master[Month_Key],0))</f>
        <v>6774.1935483870966</v>
      </c>
      <c r="L200" s="10">
        <f>SUMIFS(Expense_master[Staff_Salary],Expense_master[Month_Key],Daily_Data[[#This Row],[Month_key]]) / SUMIFS(Expense_master[Days_in_Month],Expense_master[Month_Key],Daily_Data[[#This Row],[Month_key]])</f>
        <v>2258.0645161290322</v>
      </c>
      <c r="M200" s="10">
        <f>Daily_Data[[#This Row],[Rooms_Occupied]] * (SUMIFS(Expense_master[Housekeeping_Laundy],Expense_master[Month_Key],Daily_Data[[#This Row],[Month_key]]) / SUMIFS(Occupancy_table[Monthly_rooms_Occupied],Occupancy_table[Month_Key],Daily_Data[[#This Row],[Month_key]]))</f>
        <v>270.27027027027026</v>
      </c>
      <c r="N2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1501.602266782912</v>
      </c>
      <c r="O200" s="10">
        <f>SUMIFS(Expense_master[Monthly_Maintenance],Expense_master[Month_Key],Daily_Data[[#This Row],[Month_key]]) / SUMIFS(Expense_master[Days_in_Month],Expense_master[Month_Key], Daily_Data[[#This Row],[Month_key]])</f>
        <v>645.16129032258061</v>
      </c>
      <c r="P200" s="10">
        <f xml:space="preserve"> Daily_Data[[#This Row],[OTA Commision]] + Daily_Data[[#This Row],[Daily_Rent]]+Daily_Data[[#This Row],[Daily_Staff]]+Daily_Data[[#This Row],[Daily_HK]]+Daily_Data[[#This Row],[Daily_Electricity]] + Daily_Data[[#This Row],[Daily Maintenance]]</f>
        <v>14312.371891891891</v>
      </c>
      <c r="Q200" s="10">
        <f>Daily_Data[[#This Row],[Total_Sales]]-Daily_Data[[#This Row],[Total_Daily_Expense]]</f>
        <v>-1298.3718918918912</v>
      </c>
      <c r="R200" s="10">
        <f>Daily_Data[[#This Row],[Total_Sales]]/Daily_Data[[#This Row],[Rooms_Occupied]]</f>
        <v>1446</v>
      </c>
      <c r="S200" s="10">
        <f>Daily_Data[[#This Row],[Total_Sales]] / Daily_Data[[#This Row],[Max_rooms]]</f>
        <v>929.57142857142856</v>
      </c>
    </row>
    <row r="201" spans="1:19" x14ac:dyDescent="0.25">
      <c r="A201" s="6">
        <v>45126</v>
      </c>
      <c r="B201" s="20">
        <f>DATE(YEAR(Daily_Data[[#This Row],[Date]]), MONTH(Daily_Data[[#This Row],[Date]]), 1)</f>
        <v>45108</v>
      </c>
      <c r="C201" s="20" t="str">
        <f>TEXT(Daily_Data[[#This Row],[Month_key]],"mmmm")</f>
        <v>July</v>
      </c>
      <c r="D201" s="20" t="str">
        <f>TEXT(Daily_Data[[#This Row],[Month_key]],"yyyy")</f>
        <v>2023</v>
      </c>
      <c r="E201" s="7">
        <v>8</v>
      </c>
      <c r="F201" s="7">
        <v>14</v>
      </c>
      <c r="G201" s="8">
        <f>Daily_Data[[#This Row],[Rooms_Occupied]]/F201</f>
        <v>0.5714285714285714</v>
      </c>
      <c r="H201" s="7">
        <v>1101</v>
      </c>
      <c r="I201" s="7">
        <f>Daily_Data[[#This Row],[Room_rate]]*Daily_Data[[#This Row],[Rooms_Occupied]]</f>
        <v>8808</v>
      </c>
      <c r="J201" s="10">
        <f>Daily_Data[[#This Row],[Total_Sales]] * 0.22</f>
        <v>1937.76</v>
      </c>
      <c r="K201" s="10">
        <f>INDEX(Expense_master[Monthly_Rent],MATCH(Daily_Data[[#This Row],[Month_key]],Expense_master[Month_Key],0)) / INDEX(Expense_master[Days_in_Month],MATCH(Daily_Data[[#This Row],[Month_key]],Expense_master[Month_Key],0))</f>
        <v>6774.1935483870966</v>
      </c>
      <c r="L201" s="10">
        <f>SUMIFS(Expense_master[Staff_Salary],Expense_master[Month_Key],Daily_Data[[#This Row],[Month_key]]) / SUMIFS(Expense_master[Days_in_Month],Expense_master[Month_Key],Daily_Data[[#This Row],[Month_key]])</f>
        <v>2258.0645161290322</v>
      </c>
      <c r="M201" s="10">
        <f>Daily_Data[[#This Row],[Rooms_Occupied]] * (SUMIFS(Expense_master[Housekeeping_Laundy],Expense_master[Month_Key],Daily_Data[[#This Row],[Month_key]]) / SUMIFS(Occupancy_table[Monthly_rooms_Occupied],Occupancy_table[Month_Key],Daily_Data[[#This Row],[Month_key]]))</f>
        <v>240.24024024024024</v>
      </c>
      <c r="N2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201" s="10">
        <f>SUMIFS(Expense_master[Monthly_Maintenance],Expense_master[Month_Key],Daily_Data[[#This Row],[Month_key]]) / SUMIFS(Expense_master[Days_in_Month],Expense_master[Month_Key], Daily_Data[[#This Row],[Month_key]])</f>
        <v>645.16129032258061</v>
      </c>
      <c r="P201" s="10">
        <f xml:space="preserve"> Daily_Data[[#This Row],[OTA Commision]] + Daily_Data[[#This Row],[Daily_Rent]]+Daily_Data[[#This Row],[Daily_Staff]]+Daily_Data[[#This Row],[Daily_HK]]+Daily_Data[[#This Row],[Daily_Electricity]] + Daily_Data[[#This Row],[Daily Maintenance]]</f>
        <v>13264.108348348349</v>
      </c>
      <c r="Q201" s="10">
        <f>Daily_Data[[#This Row],[Total_Sales]]-Daily_Data[[#This Row],[Total_Daily_Expense]]</f>
        <v>-4456.108348348349</v>
      </c>
      <c r="R201" s="10">
        <f>Daily_Data[[#This Row],[Total_Sales]]/Daily_Data[[#This Row],[Rooms_Occupied]]</f>
        <v>1101</v>
      </c>
      <c r="S201" s="10">
        <f>Daily_Data[[#This Row],[Total_Sales]] / Daily_Data[[#This Row],[Max_rooms]]</f>
        <v>629.14285714285711</v>
      </c>
    </row>
    <row r="202" spans="1:19" x14ac:dyDescent="0.25">
      <c r="A202" s="6">
        <v>45127</v>
      </c>
      <c r="B202" s="20">
        <f>DATE(YEAR(Daily_Data[[#This Row],[Date]]), MONTH(Daily_Data[[#This Row],[Date]]), 1)</f>
        <v>45108</v>
      </c>
      <c r="C202" s="20" t="str">
        <f>TEXT(Daily_Data[[#This Row],[Month_key]],"mmmm")</f>
        <v>July</v>
      </c>
      <c r="D202" s="20" t="str">
        <f>TEXT(Daily_Data[[#This Row],[Month_key]],"yyyy")</f>
        <v>2023</v>
      </c>
      <c r="E202" s="7">
        <v>9</v>
      </c>
      <c r="F202" s="7">
        <v>14</v>
      </c>
      <c r="G202" s="8">
        <f>Daily_Data[[#This Row],[Rooms_Occupied]]/F202</f>
        <v>0.6428571428571429</v>
      </c>
      <c r="H202" s="7">
        <v>1688</v>
      </c>
      <c r="I202" s="7">
        <f>Daily_Data[[#This Row],[Room_rate]]*Daily_Data[[#This Row],[Rooms_Occupied]]</f>
        <v>15192</v>
      </c>
      <c r="J202" s="10">
        <f>Daily_Data[[#This Row],[Total_Sales]] * 0.22</f>
        <v>3342.2400000000002</v>
      </c>
      <c r="K202" s="10">
        <f>INDEX(Expense_master[Monthly_Rent],MATCH(Daily_Data[[#This Row],[Month_key]],Expense_master[Month_Key],0)) / INDEX(Expense_master[Days_in_Month],MATCH(Daily_Data[[#This Row],[Month_key]],Expense_master[Month_Key],0))</f>
        <v>6774.1935483870966</v>
      </c>
      <c r="L202" s="10">
        <f>SUMIFS(Expense_master[Staff_Salary],Expense_master[Month_Key],Daily_Data[[#This Row],[Month_key]]) / SUMIFS(Expense_master[Days_in_Month],Expense_master[Month_Key],Daily_Data[[#This Row],[Month_key]])</f>
        <v>2258.0645161290322</v>
      </c>
      <c r="M202" s="10">
        <f>Daily_Data[[#This Row],[Rooms_Occupied]] * (SUMIFS(Expense_master[Housekeeping_Laundy],Expense_master[Month_Key],Daily_Data[[#This Row],[Month_key]]) / SUMIFS(Occupancy_table[Monthly_rooms_Occupied],Occupancy_table[Month_Key],Daily_Data[[#This Row],[Month_key]]))</f>
        <v>270.27027027027026</v>
      </c>
      <c r="N2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1501.602266782912</v>
      </c>
      <c r="O202" s="10">
        <f>SUMIFS(Expense_master[Monthly_Maintenance],Expense_master[Month_Key],Daily_Data[[#This Row],[Month_key]]) / SUMIFS(Expense_master[Days_in_Month],Expense_master[Month_Key], Daily_Data[[#This Row],[Month_key]])</f>
        <v>645.16129032258061</v>
      </c>
      <c r="P202" s="10">
        <f xml:space="preserve"> Daily_Data[[#This Row],[OTA Commision]] + Daily_Data[[#This Row],[Daily_Rent]]+Daily_Data[[#This Row],[Daily_Staff]]+Daily_Data[[#This Row],[Daily_HK]]+Daily_Data[[#This Row],[Daily_Electricity]] + Daily_Data[[#This Row],[Daily Maintenance]]</f>
        <v>14791.531891891891</v>
      </c>
      <c r="Q202" s="10">
        <f>Daily_Data[[#This Row],[Total_Sales]]-Daily_Data[[#This Row],[Total_Daily_Expense]]</f>
        <v>400.46810810810894</v>
      </c>
      <c r="R202" s="10">
        <f>Daily_Data[[#This Row],[Total_Sales]]/Daily_Data[[#This Row],[Rooms_Occupied]]</f>
        <v>1688</v>
      </c>
      <c r="S202" s="10">
        <f>Daily_Data[[#This Row],[Total_Sales]] / Daily_Data[[#This Row],[Max_rooms]]</f>
        <v>1085.1428571428571</v>
      </c>
    </row>
    <row r="203" spans="1:19" x14ac:dyDescent="0.25">
      <c r="A203" s="6">
        <v>45128</v>
      </c>
      <c r="B203" s="20">
        <f>DATE(YEAR(Daily_Data[[#This Row],[Date]]), MONTH(Daily_Data[[#This Row],[Date]]), 1)</f>
        <v>45108</v>
      </c>
      <c r="C203" s="20" t="str">
        <f>TEXT(Daily_Data[[#This Row],[Month_key]],"mmmm")</f>
        <v>July</v>
      </c>
      <c r="D203" s="20" t="str">
        <f>TEXT(Daily_Data[[#This Row],[Month_key]],"yyyy")</f>
        <v>2023</v>
      </c>
      <c r="E203" s="7">
        <v>8</v>
      </c>
      <c r="F203" s="7">
        <v>14</v>
      </c>
      <c r="G203" s="8">
        <f>Daily_Data[[#This Row],[Rooms_Occupied]]/F203</f>
        <v>0.5714285714285714</v>
      </c>
      <c r="H203" s="7">
        <v>1870</v>
      </c>
      <c r="I203" s="7">
        <f>Daily_Data[[#This Row],[Room_rate]]*Daily_Data[[#This Row],[Rooms_Occupied]]</f>
        <v>14960</v>
      </c>
      <c r="J203" s="10">
        <f>Daily_Data[[#This Row],[Total_Sales]] * 0.22</f>
        <v>3291.2</v>
      </c>
      <c r="K203" s="10">
        <f>INDEX(Expense_master[Monthly_Rent],MATCH(Daily_Data[[#This Row],[Month_key]],Expense_master[Month_Key],0)) / INDEX(Expense_master[Days_in_Month],MATCH(Daily_Data[[#This Row],[Month_key]],Expense_master[Month_Key],0))</f>
        <v>6774.1935483870966</v>
      </c>
      <c r="L203" s="10">
        <f>SUMIFS(Expense_master[Staff_Salary],Expense_master[Month_Key],Daily_Data[[#This Row],[Month_key]]) / SUMIFS(Expense_master[Days_in_Month],Expense_master[Month_Key],Daily_Data[[#This Row],[Month_key]])</f>
        <v>2258.0645161290322</v>
      </c>
      <c r="M203" s="10">
        <f>Daily_Data[[#This Row],[Rooms_Occupied]] * (SUMIFS(Expense_master[Housekeeping_Laundy],Expense_master[Month_Key],Daily_Data[[#This Row],[Month_key]]) / SUMIFS(Occupancy_table[Monthly_rooms_Occupied],Occupancy_table[Month_Key],Daily_Data[[#This Row],[Month_key]]))</f>
        <v>240.24024024024024</v>
      </c>
      <c r="N2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203" s="10">
        <f>SUMIFS(Expense_master[Monthly_Maintenance],Expense_master[Month_Key],Daily_Data[[#This Row],[Month_key]]) / SUMIFS(Expense_master[Days_in_Month],Expense_master[Month_Key], Daily_Data[[#This Row],[Month_key]])</f>
        <v>645.16129032258061</v>
      </c>
      <c r="P203" s="10">
        <f xml:space="preserve"> Daily_Data[[#This Row],[OTA Commision]] + Daily_Data[[#This Row],[Daily_Rent]]+Daily_Data[[#This Row],[Daily_Staff]]+Daily_Data[[#This Row],[Daily_HK]]+Daily_Data[[#This Row],[Daily_Electricity]] + Daily_Data[[#This Row],[Daily Maintenance]]</f>
        <v>14617.548348348348</v>
      </c>
      <c r="Q203" s="10">
        <f>Daily_Data[[#This Row],[Total_Sales]]-Daily_Data[[#This Row],[Total_Daily_Expense]]</f>
        <v>342.45165165165236</v>
      </c>
      <c r="R203" s="10">
        <f>Daily_Data[[#This Row],[Total_Sales]]/Daily_Data[[#This Row],[Rooms_Occupied]]</f>
        <v>1870</v>
      </c>
      <c r="S203" s="10">
        <f>Daily_Data[[#This Row],[Total_Sales]] / Daily_Data[[#This Row],[Max_rooms]]</f>
        <v>1068.5714285714287</v>
      </c>
    </row>
    <row r="204" spans="1:19" x14ac:dyDescent="0.25">
      <c r="A204" s="6">
        <v>45129</v>
      </c>
      <c r="B204" s="20">
        <f>DATE(YEAR(Daily_Data[[#This Row],[Date]]), MONTH(Daily_Data[[#This Row],[Date]]), 1)</f>
        <v>45108</v>
      </c>
      <c r="C204" s="20" t="str">
        <f>TEXT(Daily_Data[[#This Row],[Month_key]],"mmmm")</f>
        <v>July</v>
      </c>
      <c r="D204" s="20" t="str">
        <f>TEXT(Daily_Data[[#This Row],[Month_key]],"yyyy")</f>
        <v>2023</v>
      </c>
      <c r="E204" s="7">
        <v>12</v>
      </c>
      <c r="F204" s="7">
        <v>14</v>
      </c>
      <c r="G204" s="8">
        <f>Daily_Data[[#This Row],[Rooms_Occupied]]/F204</f>
        <v>0.8571428571428571</v>
      </c>
      <c r="H204" s="7">
        <v>1621</v>
      </c>
      <c r="I204" s="7">
        <f>Daily_Data[[#This Row],[Room_rate]]*Daily_Data[[#This Row],[Rooms_Occupied]]</f>
        <v>19452</v>
      </c>
      <c r="J204" s="10">
        <f>Daily_Data[[#This Row],[Total_Sales]] * 0.22</f>
        <v>4279.4399999999996</v>
      </c>
      <c r="K204" s="10">
        <f>INDEX(Expense_master[Monthly_Rent],MATCH(Daily_Data[[#This Row],[Month_key]],Expense_master[Month_Key],0)) / INDEX(Expense_master[Days_in_Month],MATCH(Daily_Data[[#This Row],[Month_key]],Expense_master[Month_Key],0))</f>
        <v>6774.1935483870966</v>
      </c>
      <c r="L204" s="10">
        <f>SUMIFS(Expense_master[Staff_Salary],Expense_master[Month_Key],Daily_Data[[#This Row],[Month_key]]) / SUMIFS(Expense_master[Days_in_Month],Expense_master[Month_Key],Daily_Data[[#This Row],[Month_key]])</f>
        <v>2258.0645161290322</v>
      </c>
      <c r="M204" s="10">
        <f>Daily_Data[[#This Row],[Rooms_Occupied]] * (SUMIFS(Expense_master[Housekeeping_Laundy],Expense_master[Month_Key],Daily_Data[[#This Row],[Month_key]]) / SUMIFS(Occupancy_table[Monthly_rooms_Occupied],Occupancy_table[Month_Key],Daily_Data[[#This Row],[Month_key]]))</f>
        <v>360.36036036036035</v>
      </c>
      <c r="N2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1780.3428073234525</v>
      </c>
      <c r="O204" s="10">
        <f>SUMIFS(Expense_master[Monthly_Maintenance],Expense_master[Month_Key],Daily_Data[[#This Row],[Month_key]]) / SUMIFS(Expense_master[Days_in_Month],Expense_master[Month_Key], Daily_Data[[#This Row],[Month_key]])</f>
        <v>645.16129032258061</v>
      </c>
      <c r="P204" s="10">
        <f xml:space="preserve"> Daily_Data[[#This Row],[OTA Commision]] + Daily_Data[[#This Row],[Daily_Rent]]+Daily_Data[[#This Row],[Daily_Staff]]+Daily_Data[[#This Row],[Daily_HK]]+Daily_Data[[#This Row],[Daily_Electricity]] + Daily_Data[[#This Row],[Daily Maintenance]]</f>
        <v>16097.562522522523</v>
      </c>
      <c r="Q204" s="10">
        <f>Daily_Data[[#This Row],[Total_Sales]]-Daily_Data[[#This Row],[Total_Daily_Expense]]</f>
        <v>3354.4374774774769</v>
      </c>
      <c r="R204" s="10">
        <f>Daily_Data[[#This Row],[Total_Sales]]/Daily_Data[[#This Row],[Rooms_Occupied]]</f>
        <v>1621</v>
      </c>
      <c r="S204" s="10">
        <f>Daily_Data[[#This Row],[Total_Sales]] / Daily_Data[[#This Row],[Max_rooms]]</f>
        <v>1389.4285714285713</v>
      </c>
    </row>
    <row r="205" spans="1:19" x14ac:dyDescent="0.25">
      <c r="A205" s="6">
        <v>45130</v>
      </c>
      <c r="B205" s="20">
        <f>DATE(YEAR(Daily_Data[[#This Row],[Date]]), MONTH(Daily_Data[[#This Row],[Date]]), 1)</f>
        <v>45108</v>
      </c>
      <c r="C205" s="20" t="str">
        <f>TEXT(Daily_Data[[#This Row],[Month_key]],"mmmm")</f>
        <v>July</v>
      </c>
      <c r="D205" s="20" t="str">
        <f>TEXT(Daily_Data[[#This Row],[Month_key]],"yyyy")</f>
        <v>2023</v>
      </c>
      <c r="E205" s="7">
        <v>12</v>
      </c>
      <c r="F205" s="7">
        <v>14</v>
      </c>
      <c r="G205" s="8">
        <f>Daily_Data[[#This Row],[Rooms_Occupied]]/F205</f>
        <v>0.8571428571428571</v>
      </c>
      <c r="H205" s="7">
        <v>1373</v>
      </c>
      <c r="I205" s="7">
        <f>Daily_Data[[#This Row],[Room_rate]]*Daily_Data[[#This Row],[Rooms_Occupied]]</f>
        <v>16476</v>
      </c>
      <c r="J205" s="10">
        <f>Daily_Data[[#This Row],[Total_Sales]] * 0.22</f>
        <v>3624.72</v>
      </c>
      <c r="K205" s="10">
        <f>INDEX(Expense_master[Monthly_Rent],MATCH(Daily_Data[[#This Row],[Month_key]],Expense_master[Month_Key],0)) / INDEX(Expense_master[Days_in_Month],MATCH(Daily_Data[[#This Row],[Month_key]],Expense_master[Month_Key],0))</f>
        <v>6774.1935483870966</v>
      </c>
      <c r="L205" s="10">
        <f>SUMIFS(Expense_master[Staff_Salary],Expense_master[Month_Key],Daily_Data[[#This Row],[Month_key]]) / SUMIFS(Expense_master[Days_in_Month],Expense_master[Month_Key],Daily_Data[[#This Row],[Month_key]])</f>
        <v>2258.0645161290322</v>
      </c>
      <c r="M205" s="10">
        <f>Daily_Data[[#This Row],[Rooms_Occupied]] * (SUMIFS(Expense_master[Housekeeping_Laundy],Expense_master[Month_Key],Daily_Data[[#This Row],[Month_key]]) / SUMIFS(Occupancy_table[Monthly_rooms_Occupied],Occupancy_table[Month_Key],Daily_Data[[#This Row],[Month_key]]))</f>
        <v>360.36036036036035</v>
      </c>
      <c r="N2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1780.3428073234525</v>
      </c>
      <c r="O205" s="10">
        <f>SUMIFS(Expense_master[Monthly_Maintenance],Expense_master[Month_Key],Daily_Data[[#This Row],[Month_key]]) / SUMIFS(Expense_master[Days_in_Month],Expense_master[Month_Key], Daily_Data[[#This Row],[Month_key]])</f>
        <v>645.16129032258061</v>
      </c>
      <c r="P205" s="10">
        <f xml:space="preserve"> Daily_Data[[#This Row],[OTA Commision]] + Daily_Data[[#This Row],[Daily_Rent]]+Daily_Data[[#This Row],[Daily_Staff]]+Daily_Data[[#This Row],[Daily_HK]]+Daily_Data[[#This Row],[Daily_Electricity]] + Daily_Data[[#This Row],[Daily Maintenance]]</f>
        <v>15442.842522522522</v>
      </c>
      <c r="Q205" s="10">
        <f>Daily_Data[[#This Row],[Total_Sales]]-Daily_Data[[#This Row],[Total_Daily_Expense]]</f>
        <v>1033.1574774774781</v>
      </c>
      <c r="R205" s="10">
        <f>Daily_Data[[#This Row],[Total_Sales]]/Daily_Data[[#This Row],[Rooms_Occupied]]</f>
        <v>1373</v>
      </c>
      <c r="S205" s="10">
        <f>Daily_Data[[#This Row],[Total_Sales]] / Daily_Data[[#This Row],[Max_rooms]]</f>
        <v>1176.8571428571429</v>
      </c>
    </row>
    <row r="206" spans="1:19" x14ac:dyDescent="0.25">
      <c r="A206" s="6">
        <v>45131</v>
      </c>
      <c r="B206" s="20">
        <f>DATE(YEAR(Daily_Data[[#This Row],[Date]]), MONTH(Daily_Data[[#This Row],[Date]]), 1)</f>
        <v>45108</v>
      </c>
      <c r="C206" s="20" t="str">
        <f>TEXT(Daily_Data[[#This Row],[Month_key]],"mmmm")</f>
        <v>July</v>
      </c>
      <c r="D206" s="20" t="str">
        <f>TEXT(Daily_Data[[#This Row],[Month_key]],"yyyy")</f>
        <v>2023</v>
      </c>
      <c r="E206" s="7">
        <v>12</v>
      </c>
      <c r="F206" s="7">
        <v>14</v>
      </c>
      <c r="G206" s="8">
        <f>Daily_Data[[#This Row],[Rooms_Occupied]]/F206</f>
        <v>0.8571428571428571</v>
      </c>
      <c r="H206" s="7">
        <v>1363</v>
      </c>
      <c r="I206" s="7">
        <f>Daily_Data[[#This Row],[Room_rate]]*Daily_Data[[#This Row],[Rooms_Occupied]]</f>
        <v>16356</v>
      </c>
      <c r="J206" s="10">
        <f>Daily_Data[[#This Row],[Total_Sales]] * 0.22</f>
        <v>3598.32</v>
      </c>
      <c r="K206" s="10">
        <f>INDEX(Expense_master[Monthly_Rent],MATCH(Daily_Data[[#This Row],[Month_key]],Expense_master[Month_Key],0)) / INDEX(Expense_master[Days_in_Month],MATCH(Daily_Data[[#This Row],[Month_key]],Expense_master[Month_Key],0))</f>
        <v>6774.1935483870966</v>
      </c>
      <c r="L206" s="10">
        <f>SUMIFS(Expense_master[Staff_Salary],Expense_master[Month_Key],Daily_Data[[#This Row],[Month_key]]) / SUMIFS(Expense_master[Days_in_Month],Expense_master[Month_Key],Daily_Data[[#This Row],[Month_key]])</f>
        <v>2258.0645161290322</v>
      </c>
      <c r="M206" s="10">
        <f>Daily_Data[[#This Row],[Rooms_Occupied]] * (SUMIFS(Expense_master[Housekeeping_Laundy],Expense_master[Month_Key],Daily_Data[[#This Row],[Month_key]]) / SUMIFS(Occupancy_table[Monthly_rooms_Occupied],Occupancy_table[Month_Key],Daily_Data[[#This Row],[Month_key]]))</f>
        <v>360.36036036036035</v>
      </c>
      <c r="N2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1780.3428073234525</v>
      </c>
      <c r="O206" s="10">
        <f>SUMIFS(Expense_master[Monthly_Maintenance],Expense_master[Month_Key],Daily_Data[[#This Row],[Month_key]]) / SUMIFS(Expense_master[Days_in_Month],Expense_master[Month_Key], Daily_Data[[#This Row],[Month_key]])</f>
        <v>645.16129032258061</v>
      </c>
      <c r="P206" s="10">
        <f xml:space="preserve"> Daily_Data[[#This Row],[OTA Commision]] + Daily_Data[[#This Row],[Daily_Rent]]+Daily_Data[[#This Row],[Daily_Staff]]+Daily_Data[[#This Row],[Daily_HK]]+Daily_Data[[#This Row],[Daily_Electricity]] + Daily_Data[[#This Row],[Daily Maintenance]]</f>
        <v>15416.442522522522</v>
      </c>
      <c r="Q206" s="10">
        <f>Daily_Data[[#This Row],[Total_Sales]]-Daily_Data[[#This Row],[Total_Daily_Expense]]</f>
        <v>939.55747747747773</v>
      </c>
      <c r="R206" s="10">
        <f>Daily_Data[[#This Row],[Total_Sales]]/Daily_Data[[#This Row],[Rooms_Occupied]]</f>
        <v>1363</v>
      </c>
      <c r="S206" s="10">
        <f>Daily_Data[[#This Row],[Total_Sales]] / Daily_Data[[#This Row],[Max_rooms]]</f>
        <v>1168.2857142857142</v>
      </c>
    </row>
    <row r="207" spans="1:19" x14ac:dyDescent="0.25">
      <c r="A207" s="6">
        <v>45132</v>
      </c>
      <c r="B207" s="20">
        <f>DATE(YEAR(Daily_Data[[#This Row],[Date]]), MONTH(Daily_Data[[#This Row],[Date]]), 1)</f>
        <v>45108</v>
      </c>
      <c r="C207" s="20" t="str">
        <f>TEXT(Daily_Data[[#This Row],[Month_key]],"mmmm")</f>
        <v>July</v>
      </c>
      <c r="D207" s="20" t="str">
        <f>TEXT(Daily_Data[[#This Row],[Month_key]],"yyyy")</f>
        <v>2023</v>
      </c>
      <c r="E207" s="7">
        <v>11</v>
      </c>
      <c r="F207" s="7">
        <v>14</v>
      </c>
      <c r="G207" s="8">
        <f>Daily_Data[[#This Row],[Rooms_Occupied]]/F207</f>
        <v>0.7857142857142857</v>
      </c>
      <c r="H207" s="7">
        <v>1126</v>
      </c>
      <c r="I207" s="7">
        <f>Daily_Data[[#This Row],[Room_rate]]*Daily_Data[[#This Row],[Rooms_Occupied]]</f>
        <v>12386</v>
      </c>
      <c r="J207" s="10">
        <f>Daily_Data[[#This Row],[Total_Sales]] * 0.22</f>
        <v>2724.92</v>
      </c>
      <c r="K207" s="10">
        <f>INDEX(Expense_master[Monthly_Rent],MATCH(Daily_Data[[#This Row],[Month_key]],Expense_master[Month_Key],0)) / INDEX(Expense_master[Days_in_Month],MATCH(Daily_Data[[#This Row],[Month_key]],Expense_master[Month_Key],0))</f>
        <v>6774.1935483870966</v>
      </c>
      <c r="L207" s="10">
        <f>SUMIFS(Expense_master[Staff_Salary],Expense_master[Month_Key],Daily_Data[[#This Row],[Month_key]]) / SUMIFS(Expense_master[Days_in_Month],Expense_master[Month_Key],Daily_Data[[#This Row],[Month_key]])</f>
        <v>2258.0645161290322</v>
      </c>
      <c r="M207" s="10">
        <f>Daily_Data[[#This Row],[Rooms_Occupied]] * (SUMIFS(Expense_master[Housekeeping_Laundy],Expense_master[Month_Key],Daily_Data[[#This Row],[Month_key]]) / SUMIFS(Occupancy_table[Monthly_rooms_Occupied],Occupancy_table[Month_Key],Daily_Data[[#This Row],[Month_key]]))</f>
        <v>330.33033033033036</v>
      </c>
      <c r="N2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207" s="10">
        <f>SUMIFS(Expense_master[Monthly_Maintenance],Expense_master[Month_Key],Daily_Data[[#This Row],[Month_key]]) / SUMIFS(Expense_master[Days_in_Month],Expense_master[Month_Key], Daily_Data[[#This Row],[Month_key]])</f>
        <v>645.16129032258061</v>
      </c>
      <c r="P207" s="10">
        <f xml:space="preserve"> Daily_Data[[#This Row],[OTA Commision]] + Daily_Data[[#This Row],[Daily_Rent]]+Daily_Data[[#This Row],[Daily_Staff]]+Daily_Data[[#This Row],[Daily_HK]]+Daily_Data[[#This Row],[Daily_Electricity]] + Daily_Data[[#This Row],[Daily Maintenance]]</f>
        <v>14420.09897897898</v>
      </c>
      <c r="Q207" s="10">
        <f>Daily_Data[[#This Row],[Total_Sales]]-Daily_Data[[#This Row],[Total_Daily_Expense]]</f>
        <v>-2034.0989789789801</v>
      </c>
      <c r="R207" s="10">
        <f>Daily_Data[[#This Row],[Total_Sales]]/Daily_Data[[#This Row],[Rooms_Occupied]]</f>
        <v>1126</v>
      </c>
      <c r="S207" s="10">
        <f>Daily_Data[[#This Row],[Total_Sales]] / Daily_Data[[#This Row],[Max_rooms]]</f>
        <v>884.71428571428567</v>
      </c>
    </row>
    <row r="208" spans="1:19" x14ac:dyDescent="0.25">
      <c r="A208" s="6">
        <v>45133</v>
      </c>
      <c r="B208" s="20">
        <f>DATE(YEAR(Daily_Data[[#This Row],[Date]]), MONTH(Daily_Data[[#This Row],[Date]]), 1)</f>
        <v>45108</v>
      </c>
      <c r="C208" s="20" t="str">
        <f>TEXT(Daily_Data[[#This Row],[Month_key]],"mmmm")</f>
        <v>July</v>
      </c>
      <c r="D208" s="20" t="str">
        <f>TEXT(Daily_Data[[#This Row],[Month_key]],"yyyy")</f>
        <v>2023</v>
      </c>
      <c r="E208" s="7">
        <v>11</v>
      </c>
      <c r="F208" s="7">
        <v>14</v>
      </c>
      <c r="G208" s="8">
        <f>Daily_Data[[#This Row],[Rooms_Occupied]]/F208</f>
        <v>0.7857142857142857</v>
      </c>
      <c r="H208" s="7">
        <v>1412</v>
      </c>
      <c r="I208" s="7">
        <f>Daily_Data[[#This Row],[Room_rate]]*Daily_Data[[#This Row],[Rooms_Occupied]]</f>
        <v>15532</v>
      </c>
      <c r="J208" s="10">
        <f>Daily_Data[[#This Row],[Total_Sales]] * 0.22</f>
        <v>3417.04</v>
      </c>
      <c r="K208" s="10">
        <f>INDEX(Expense_master[Monthly_Rent],MATCH(Daily_Data[[#This Row],[Month_key]],Expense_master[Month_Key],0)) / INDEX(Expense_master[Days_in_Month],MATCH(Daily_Data[[#This Row],[Month_key]],Expense_master[Month_Key],0))</f>
        <v>6774.1935483870966</v>
      </c>
      <c r="L208" s="10">
        <f>SUMIFS(Expense_master[Staff_Salary],Expense_master[Month_Key],Daily_Data[[#This Row],[Month_key]]) / SUMIFS(Expense_master[Days_in_Month],Expense_master[Month_Key],Daily_Data[[#This Row],[Month_key]])</f>
        <v>2258.0645161290322</v>
      </c>
      <c r="M208" s="10">
        <f>Daily_Data[[#This Row],[Rooms_Occupied]] * (SUMIFS(Expense_master[Housekeeping_Laundy],Expense_master[Month_Key],Daily_Data[[#This Row],[Month_key]]) / SUMIFS(Occupancy_table[Monthly_rooms_Occupied],Occupancy_table[Month_Key],Daily_Data[[#This Row],[Month_key]]))</f>
        <v>330.33033033033036</v>
      </c>
      <c r="N2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208" s="10">
        <f>SUMIFS(Expense_master[Monthly_Maintenance],Expense_master[Month_Key],Daily_Data[[#This Row],[Month_key]]) / SUMIFS(Expense_master[Days_in_Month],Expense_master[Month_Key], Daily_Data[[#This Row],[Month_key]])</f>
        <v>645.16129032258061</v>
      </c>
      <c r="P208" s="10">
        <f xml:space="preserve"> Daily_Data[[#This Row],[OTA Commision]] + Daily_Data[[#This Row],[Daily_Rent]]+Daily_Data[[#This Row],[Daily_Staff]]+Daily_Data[[#This Row],[Daily_HK]]+Daily_Data[[#This Row],[Daily_Electricity]] + Daily_Data[[#This Row],[Daily Maintenance]]</f>
        <v>15112.218978978979</v>
      </c>
      <c r="Q208" s="10">
        <f>Daily_Data[[#This Row],[Total_Sales]]-Daily_Data[[#This Row],[Total_Daily_Expense]]</f>
        <v>419.78102102102093</v>
      </c>
      <c r="R208" s="10">
        <f>Daily_Data[[#This Row],[Total_Sales]]/Daily_Data[[#This Row],[Rooms_Occupied]]</f>
        <v>1412</v>
      </c>
      <c r="S208" s="10">
        <f>Daily_Data[[#This Row],[Total_Sales]] / Daily_Data[[#This Row],[Max_rooms]]</f>
        <v>1109.4285714285713</v>
      </c>
    </row>
    <row r="209" spans="1:19" x14ac:dyDescent="0.25">
      <c r="A209" s="6">
        <v>45134</v>
      </c>
      <c r="B209" s="20">
        <f>DATE(YEAR(Daily_Data[[#This Row],[Date]]), MONTH(Daily_Data[[#This Row],[Date]]), 1)</f>
        <v>45108</v>
      </c>
      <c r="C209" s="20" t="str">
        <f>TEXT(Daily_Data[[#This Row],[Month_key]],"mmmm")</f>
        <v>July</v>
      </c>
      <c r="D209" s="20" t="str">
        <f>TEXT(Daily_Data[[#This Row],[Month_key]],"yyyy")</f>
        <v>2023</v>
      </c>
      <c r="E209" s="7">
        <v>8</v>
      </c>
      <c r="F209" s="7">
        <v>14</v>
      </c>
      <c r="G209" s="8">
        <f>Daily_Data[[#This Row],[Rooms_Occupied]]/F209</f>
        <v>0.5714285714285714</v>
      </c>
      <c r="H209" s="7">
        <v>1347</v>
      </c>
      <c r="I209" s="7">
        <f>Daily_Data[[#This Row],[Room_rate]]*Daily_Data[[#This Row],[Rooms_Occupied]]</f>
        <v>10776</v>
      </c>
      <c r="J209" s="10">
        <f>Daily_Data[[#This Row],[Total_Sales]] * 0.22</f>
        <v>2370.7199999999998</v>
      </c>
      <c r="K209" s="10">
        <f>INDEX(Expense_master[Monthly_Rent],MATCH(Daily_Data[[#This Row],[Month_key]],Expense_master[Month_Key],0)) / INDEX(Expense_master[Days_in_Month],MATCH(Daily_Data[[#This Row],[Month_key]],Expense_master[Month_Key],0))</f>
        <v>6774.1935483870966</v>
      </c>
      <c r="L209" s="10">
        <f>SUMIFS(Expense_master[Staff_Salary],Expense_master[Month_Key],Daily_Data[[#This Row],[Month_key]]) / SUMIFS(Expense_master[Days_in_Month],Expense_master[Month_Key],Daily_Data[[#This Row],[Month_key]])</f>
        <v>2258.0645161290322</v>
      </c>
      <c r="M209" s="10">
        <f>Daily_Data[[#This Row],[Rooms_Occupied]] * (SUMIFS(Expense_master[Housekeeping_Laundy],Expense_master[Month_Key],Daily_Data[[#This Row],[Month_key]]) / SUMIFS(Occupancy_table[Monthly_rooms_Occupied],Occupancy_table[Month_Key],Daily_Data[[#This Row],[Month_key]]))</f>
        <v>240.24024024024024</v>
      </c>
      <c r="N2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209" s="10">
        <f>SUMIFS(Expense_master[Monthly_Maintenance],Expense_master[Month_Key],Daily_Data[[#This Row],[Month_key]]) / SUMIFS(Expense_master[Days_in_Month],Expense_master[Month_Key], Daily_Data[[#This Row],[Month_key]])</f>
        <v>645.16129032258061</v>
      </c>
      <c r="P209" s="10">
        <f xml:space="preserve"> Daily_Data[[#This Row],[OTA Commision]] + Daily_Data[[#This Row],[Daily_Rent]]+Daily_Data[[#This Row],[Daily_Staff]]+Daily_Data[[#This Row],[Daily_HK]]+Daily_Data[[#This Row],[Daily_Electricity]] + Daily_Data[[#This Row],[Daily Maintenance]]</f>
        <v>13697.068348348348</v>
      </c>
      <c r="Q209" s="10">
        <f>Daily_Data[[#This Row],[Total_Sales]]-Daily_Data[[#This Row],[Total_Daily_Expense]]</f>
        <v>-2921.0683483483481</v>
      </c>
      <c r="R209" s="10">
        <f>Daily_Data[[#This Row],[Total_Sales]]/Daily_Data[[#This Row],[Rooms_Occupied]]</f>
        <v>1347</v>
      </c>
      <c r="S209" s="10">
        <f>Daily_Data[[#This Row],[Total_Sales]] / Daily_Data[[#This Row],[Max_rooms]]</f>
        <v>769.71428571428567</v>
      </c>
    </row>
    <row r="210" spans="1:19" x14ac:dyDescent="0.25">
      <c r="A210" s="6">
        <v>45135</v>
      </c>
      <c r="B210" s="20">
        <f>DATE(YEAR(Daily_Data[[#This Row],[Date]]), MONTH(Daily_Data[[#This Row],[Date]]), 1)</f>
        <v>45108</v>
      </c>
      <c r="C210" s="20" t="str">
        <f>TEXT(Daily_Data[[#This Row],[Month_key]],"mmmm")</f>
        <v>July</v>
      </c>
      <c r="D210" s="20" t="str">
        <f>TEXT(Daily_Data[[#This Row],[Month_key]],"yyyy")</f>
        <v>2023</v>
      </c>
      <c r="E210" s="7">
        <v>13</v>
      </c>
      <c r="F210" s="7">
        <v>14</v>
      </c>
      <c r="G210" s="8">
        <f>Daily_Data[[#This Row],[Rooms_Occupied]]/F210</f>
        <v>0.9285714285714286</v>
      </c>
      <c r="H210" s="7">
        <v>1859</v>
      </c>
      <c r="I210" s="7">
        <f>Daily_Data[[#This Row],[Room_rate]]*Daily_Data[[#This Row],[Rooms_Occupied]]</f>
        <v>24167</v>
      </c>
      <c r="J210" s="10">
        <f>Daily_Data[[#This Row],[Total_Sales]] * 0.22</f>
        <v>5316.74</v>
      </c>
      <c r="K210" s="10">
        <f>INDEX(Expense_master[Monthly_Rent],MATCH(Daily_Data[[#This Row],[Month_key]],Expense_master[Month_Key],0)) / INDEX(Expense_master[Days_in_Month],MATCH(Daily_Data[[#This Row],[Month_key]],Expense_master[Month_Key],0))</f>
        <v>6774.1935483870966</v>
      </c>
      <c r="L210" s="10">
        <f>SUMIFS(Expense_master[Staff_Salary],Expense_master[Month_Key],Daily_Data[[#This Row],[Month_key]]) / SUMIFS(Expense_master[Days_in_Month],Expense_master[Month_Key],Daily_Data[[#This Row],[Month_key]])</f>
        <v>2258.0645161290322</v>
      </c>
      <c r="M210" s="10">
        <f>Daily_Data[[#This Row],[Rooms_Occupied]] * (SUMIFS(Expense_master[Housekeeping_Laundy],Expense_master[Month_Key],Daily_Data[[#This Row],[Month_key]]) / SUMIFS(Occupancy_table[Monthly_rooms_Occupied],Occupancy_table[Month_Key],Daily_Data[[#This Row],[Month_key]]))</f>
        <v>390.39039039039039</v>
      </c>
      <c r="N2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1873.2563208369661</v>
      </c>
      <c r="O210" s="10">
        <f>SUMIFS(Expense_master[Monthly_Maintenance],Expense_master[Month_Key],Daily_Data[[#This Row],[Month_key]]) / SUMIFS(Expense_master[Days_in_Month],Expense_master[Month_Key], Daily_Data[[#This Row],[Month_key]])</f>
        <v>645.16129032258061</v>
      </c>
      <c r="P210" s="10">
        <f xml:space="preserve"> Daily_Data[[#This Row],[OTA Commision]] + Daily_Data[[#This Row],[Daily_Rent]]+Daily_Data[[#This Row],[Daily_Staff]]+Daily_Data[[#This Row],[Daily_HK]]+Daily_Data[[#This Row],[Daily_Electricity]] + Daily_Data[[#This Row],[Daily Maintenance]]</f>
        <v>17257.806066066063</v>
      </c>
      <c r="Q210" s="10">
        <f>Daily_Data[[#This Row],[Total_Sales]]-Daily_Data[[#This Row],[Total_Daily_Expense]]</f>
        <v>6909.1939339339369</v>
      </c>
      <c r="R210" s="10">
        <f>Daily_Data[[#This Row],[Total_Sales]]/Daily_Data[[#This Row],[Rooms_Occupied]]</f>
        <v>1859</v>
      </c>
      <c r="S210" s="10">
        <f>Daily_Data[[#This Row],[Total_Sales]] / Daily_Data[[#This Row],[Max_rooms]]</f>
        <v>1726.2142857142858</v>
      </c>
    </row>
    <row r="211" spans="1:19" x14ac:dyDescent="0.25">
      <c r="A211" s="6">
        <v>45136</v>
      </c>
      <c r="B211" s="20">
        <f>DATE(YEAR(Daily_Data[[#This Row],[Date]]), MONTH(Daily_Data[[#This Row],[Date]]), 1)</f>
        <v>45108</v>
      </c>
      <c r="C211" s="20" t="str">
        <f>TEXT(Daily_Data[[#This Row],[Month_key]],"mmmm")</f>
        <v>July</v>
      </c>
      <c r="D211" s="20" t="str">
        <f>TEXT(Daily_Data[[#This Row],[Month_key]],"yyyy")</f>
        <v>2023</v>
      </c>
      <c r="E211" s="7">
        <v>9</v>
      </c>
      <c r="F211" s="7">
        <v>14</v>
      </c>
      <c r="G211" s="8">
        <f>Daily_Data[[#This Row],[Rooms_Occupied]]/F211</f>
        <v>0.6428571428571429</v>
      </c>
      <c r="H211" s="7">
        <v>1893</v>
      </c>
      <c r="I211" s="7">
        <f>Daily_Data[[#This Row],[Room_rate]]*Daily_Data[[#This Row],[Rooms_Occupied]]</f>
        <v>17037</v>
      </c>
      <c r="J211" s="10">
        <f>Daily_Data[[#This Row],[Total_Sales]] * 0.22</f>
        <v>3748.14</v>
      </c>
      <c r="K211" s="10">
        <f>INDEX(Expense_master[Monthly_Rent],MATCH(Daily_Data[[#This Row],[Month_key]],Expense_master[Month_Key],0)) / INDEX(Expense_master[Days_in_Month],MATCH(Daily_Data[[#This Row],[Month_key]],Expense_master[Month_Key],0))</f>
        <v>6774.1935483870966</v>
      </c>
      <c r="L211" s="10">
        <f>SUMIFS(Expense_master[Staff_Salary],Expense_master[Month_Key],Daily_Data[[#This Row],[Month_key]]) / SUMIFS(Expense_master[Days_in_Month],Expense_master[Month_Key],Daily_Data[[#This Row],[Month_key]])</f>
        <v>2258.0645161290322</v>
      </c>
      <c r="M211" s="10">
        <f>Daily_Data[[#This Row],[Rooms_Occupied]] * (SUMIFS(Expense_master[Housekeeping_Laundy],Expense_master[Month_Key],Daily_Data[[#This Row],[Month_key]]) / SUMIFS(Occupancy_table[Monthly_rooms_Occupied],Occupancy_table[Month_Key],Daily_Data[[#This Row],[Month_key]]))</f>
        <v>270.27027027027026</v>
      </c>
      <c r="N2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1501.602266782912</v>
      </c>
      <c r="O211" s="10">
        <f>SUMIFS(Expense_master[Monthly_Maintenance],Expense_master[Month_Key],Daily_Data[[#This Row],[Month_key]]) / SUMIFS(Expense_master[Days_in_Month],Expense_master[Month_Key], Daily_Data[[#This Row],[Month_key]])</f>
        <v>645.16129032258061</v>
      </c>
      <c r="P211" s="10">
        <f xml:space="preserve"> Daily_Data[[#This Row],[OTA Commision]] + Daily_Data[[#This Row],[Daily_Rent]]+Daily_Data[[#This Row],[Daily_Staff]]+Daily_Data[[#This Row],[Daily_HK]]+Daily_Data[[#This Row],[Daily_Electricity]] + Daily_Data[[#This Row],[Daily Maintenance]]</f>
        <v>15197.431891891893</v>
      </c>
      <c r="Q211" s="10">
        <f>Daily_Data[[#This Row],[Total_Sales]]-Daily_Data[[#This Row],[Total_Daily_Expense]]</f>
        <v>1839.5681081081075</v>
      </c>
      <c r="R211" s="10">
        <f>Daily_Data[[#This Row],[Total_Sales]]/Daily_Data[[#This Row],[Rooms_Occupied]]</f>
        <v>1893</v>
      </c>
      <c r="S211" s="10">
        <f>Daily_Data[[#This Row],[Total_Sales]] / Daily_Data[[#This Row],[Max_rooms]]</f>
        <v>1216.9285714285713</v>
      </c>
    </row>
    <row r="212" spans="1:19" x14ac:dyDescent="0.25">
      <c r="A212" s="6">
        <v>45137</v>
      </c>
      <c r="B212" s="20">
        <f>DATE(YEAR(Daily_Data[[#This Row],[Date]]), MONTH(Daily_Data[[#This Row],[Date]]), 1)</f>
        <v>45108</v>
      </c>
      <c r="C212" s="20" t="str">
        <f>TEXT(Daily_Data[[#This Row],[Month_key]],"mmmm")</f>
        <v>July</v>
      </c>
      <c r="D212" s="20" t="str">
        <f>TEXT(Daily_Data[[#This Row],[Month_key]],"yyyy")</f>
        <v>2023</v>
      </c>
      <c r="E212" s="7">
        <v>11</v>
      </c>
      <c r="F212" s="7">
        <v>14</v>
      </c>
      <c r="G212" s="8">
        <f>Daily_Data[[#This Row],[Rooms_Occupied]]/F212</f>
        <v>0.7857142857142857</v>
      </c>
      <c r="H212" s="7">
        <v>1379</v>
      </c>
      <c r="I212" s="7">
        <f>Daily_Data[[#This Row],[Room_rate]]*Daily_Data[[#This Row],[Rooms_Occupied]]</f>
        <v>15169</v>
      </c>
      <c r="J212" s="10">
        <f>Daily_Data[[#This Row],[Total_Sales]] * 0.22</f>
        <v>3337.18</v>
      </c>
      <c r="K212" s="10">
        <f>INDEX(Expense_master[Monthly_Rent],MATCH(Daily_Data[[#This Row],[Month_key]],Expense_master[Month_Key],0)) / INDEX(Expense_master[Days_in_Month],MATCH(Daily_Data[[#This Row],[Month_key]],Expense_master[Month_Key],0))</f>
        <v>6774.1935483870966</v>
      </c>
      <c r="L212" s="10">
        <f>SUMIFS(Expense_master[Staff_Salary],Expense_master[Month_Key],Daily_Data[[#This Row],[Month_key]]) / SUMIFS(Expense_master[Days_in_Month],Expense_master[Month_Key],Daily_Data[[#This Row],[Month_key]])</f>
        <v>2258.0645161290322</v>
      </c>
      <c r="M212" s="10">
        <f>Daily_Data[[#This Row],[Rooms_Occupied]] * (SUMIFS(Expense_master[Housekeeping_Laundy],Expense_master[Month_Key],Daily_Data[[#This Row],[Month_key]]) / SUMIFS(Occupancy_table[Monthly_rooms_Occupied],Occupancy_table[Month_Key],Daily_Data[[#This Row],[Month_key]]))</f>
        <v>330.33033033033036</v>
      </c>
      <c r="N2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1687.4292938099391</v>
      </c>
      <c r="O212" s="10">
        <f>SUMIFS(Expense_master[Monthly_Maintenance],Expense_master[Month_Key],Daily_Data[[#This Row],[Month_key]]) / SUMIFS(Expense_master[Days_in_Month],Expense_master[Month_Key], Daily_Data[[#This Row],[Month_key]])</f>
        <v>645.16129032258061</v>
      </c>
      <c r="P212" s="10">
        <f xml:space="preserve"> Daily_Data[[#This Row],[OTA Commision]] + Daily_Data[[#This Row],[Daily_Rent]]+Daily_Data[[#This Row],[Daily_Staff]]+Daily_Data[[#This Row],[Daily_HK]]+Daily_Data[[#This Row],[Daily_Electricity]] + Daily_Data[[#This Row],[Daily Maintenance]]</f>
        <v>15032.35897897898</v>
      </c>
      <c r="Q212" s="10">
        <f>Daily_Data[[#This Row],[Total_Sales]]-Daily_Data[[#This Row],[Total_Daily_Expense]]</f>
        <v>136.6410210210197</v>
      </c>
      <c r="R212" s="10">
        <f>Daily_Data[[#This Row],[Total_Sales]]/Daily_Data[[#This Row],[Rooms_Occupied]]</f>
        <v>1379</v>
      </c>
      <c r="S212" s="10">
        <f>Daily_Data[[#This Row],[Total_Sales]] / Daily_Data[[#This Row],[Max_rooms]]</f>
        <v>1083.5</v>
      </c>
    </row>
    <row r="213" spans="1:19" x14ac:dyDescent="0.25">
      <c r="A213" s="6">
        <v>45138</v>
      </c>
      <c r="B213" s="20">
        <f>DATE(YEAR(Daily_Data[[#This Row],[Date]]), MONTH(Daily_Data[[#This Row],[Date]]), 1)</f>
        <v>45108</v>
      </c>
      <c r="C213" s="20" t="str">
        <f>TEXT(Daily_Data[[#This Row],[Month_key]],"mmmm")</f>
        <v>July</v>
      </c>
      <c r="D213" s="20" t="str">
        <f>TEXT(Daily_Data[[#This Row],[Month_key]],"yyyy")</f>
        <v>2023</v>
      </c>
      <c r="E213" s="7">
        <v>8</v>
      </c>
      <c r="F213" s="7">
        <v>14</v>
      </c>
      <c r="G213" s="8">
        <f>Daily_Data[[#This Row],[Rooms_Occupied]]/F213</f>
        <v>0.5714285714285714</v>
      </c>
      <c r="H213" s="7">
        <v>1911</v>
      </c>
      <c r="I213" s="7">
        <f>Daily_Data[[#This Row],[Room_rate]]*Daily_Data[[#This Row],[Rooms_Occupied]]</f>
        <v>15288</v>
      </c>
      <c r="J213" s="10">
        <f>Daily_Data[[#This Row],[Total_Sales]] * 0.22</f>
        <v>3363.36</v>
      </c>
      <c r="K213" s="10">
        <f>INDEX(Expense_master[Monthly_Rent],MATCH(Daily_Data[[#This Row],[Month_key]],Expense_master[Month_Key],0)) / INDEX(Expense_master[Days_in_Month],MATCH(Daily_Data[[#This Row],[Month_key]],Expense_master[Month_Key],0))</f>
        <v>6774.1935483870966</v>
      </c>
      <c r="L213" s="10">
        <f>SUMIFS(Expense_master[Staff_Salary],Expense_master[Month_Key],Daily_Data[[#This Row],[Month_key]]) / SUMIFS(Expense_master[Days_in_Month],Expense_master[Month_Key],Daily_Data[[#This Row],[Month_key]])</f>
        <v>2258.0645161290322</v>
      </c>
      <c r="M213" s="10">
        <f>Daily_Data[[#This Row],[Rooms_Occupied]] * (SUMIFS(Expense_master[Housekeeping_Laundy],Expense_master[Month_Key],Daily_Data[[#This Row],[Month_key]]) / SUMIFS(Occupancy_table[Monthly_rooms_Occupied],Occupancy_table[Month_Key],Daily_Data[[#This Row],[Month_key]]))</f>
        <v>240.24024024024024</v>
      </c>
      <c r="N2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1408.6887532693986</v>
      </c>
      <c r="O213" s="10">
        <f>SUMIFS(Expense_master[Monthly_Maintenance],Expense_master[Month_Key],Daily_Data[[#This Row],[Month_key]]) / SUMIFS(Expense_master[Days_in_Month],Expense_master[Month_Key], Daily_Data[[#This Row],[Month_key]])</f>
        <v>645.16129032258061</v>
      </c>
      <c r="P213" s="10">
        <f xml:space="preserve"> Daily_Data[[#This Row],[OTA Commision]] + Daily_Data[[#This Row],[Daily_Rent]]+Daily_Data[[#This Row],[Daily_Staff]]+Daily_Data[[#This Row],[Daily_HK]]+Daily_Data[[#This Row],[Daily_Electricity]] + Daily_Data[[#This Row],[Daily Maintenance]]</f>
        <v>14689.708348348349</v>
      </c>
      <c r="Q213" s="10">
        <f>Daily_Data[[#This Row],[Total_Sales]]-Daily_Data[[#This Row],[Total_Daily_Expense]]</f>
        <v>598.29165165165068</v>
      </c>
      <c r="R213" s="10">
        <f>Daily_Data[[#This Row],[Total_Sales]]/Daily_Data[[#This Row],[Rooms_Occupied]]</f>
        <v>1911</v>
      </c>
      <c r="S213" s="10">
        <f>Daily_Data[[#This Row],[Total_Sales]] / Daily_Data[[#This Row],[Max_rooms]]</f>
        <v>1092</v>
      </c>
    </row>
    <row r="214" spans="1:19" x14ac:dyDescent="0.25">
      <c r="A214" s="6">
        <v>45139</v>
      </c>
      <c r="B214" s="20">
        <f>DATE(YEAR(Daily_Data[[#This Row],[Date]]), MONTH(Daily_Data[[#This Row],[Date]]), 1)</f>
        <v>45139</v>
      </c>
      <c r="C214" s="20" t="str">
        <f>TEXT(Daily_Data[[#This Row],[Month_key]],"mmmm")</f>
        <v>August</v>
      </c>
      <c r="D214" s="20" t="str">
        <f>TEXT(Daily_Data[[#This Row],[Month_key]],"yyyy")</f>
        <v>2023</v>
      </c>
      <c r="E214" s="7">
        <v>9</v>
      </c>
      <c r="F214" s="7">
        <v>14</v>
      </c>
      <c r="G214" s="8">
        <f>Daily_Data[[#This Row],[Rooms_Occupied]]/F214</f>
        <v>0.6428571428571429</v>
      </c>
      <c r="H214" s="7">
        <v>1786</v>
      </c>
      <c r="I214" s="7">
        <f>Daily_Data[[#This Row],[Room_rate]]*Daily_Data[[#This Row],[Rooms_Occupied]]</f>
        <v>16074</v>
      </c>
      <c r="J214" s="10">
        <f>Daily_Data[[#This Row],[Total_Sales]] * 0.22</f>
        <v>3536.28</v>
      </c>
      <c r="K214" s="10">
        <f>INDEX(Expense_master[Monthly_Rent],MATCH(Daily_Data[[#This Row],[Month_key]],Expense_master[Month_Key],0)) / INDEX(Expense_master[Days_in_Month],MATCH(Daily_Data[[#This Row],[Month_key]],Expense_master[Month_Key],0))</f>
        <v>6774.1935483870966</v>
      </c>
      <c r="L214" s="10">
        <f>SUMIFS(Expense_master[Staff_Salary],Expense_master[Month_Key],Daily_Data[[#This Row],[Month_key]]) / SUMIFS(Expense_master[Days_in_Month],Expense_master[Month_Key],Daily_Data[[#This Row],[Month_key]])</f>
        <v>2258.0645161290322</v>
      </c>
      <c r="M214" s="10">
        <f>Daily_Data[[#This Row],[Rooms_Occupied]] * (SUMIFS(Expense_master[Housekeeping_Laundy],Expense_master[Month_Key],Daily_Data[[#This Row],[Month_key]]) / SUMIFS(Occupancy_table[Monthly_rooms_Occupied],Occupancy_table[Month_Key],Daily_Data[[#This Row],[Month_key]]))</f>
        <v>266.27218934911241</v>
      </c>
      <c r="N2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1469.362989120061</v>
      </c>
      <c r="O214" s="10">
        <f>SUMIFS(Expense_master[Monthly_Maintenance],Expense_master[Month_Key],Daily_Data[[#This Row],[Month_key]]) / SUMIFS(Expense_master[Days_in_Month],Expense_master[Month_Key], Daily_Data[[#This Row],[Month_key]])</f>
        <v>645.16129032258061</v>
      </c>
      <c r="P214" s="10">
        <f xml:space="preserve"> Daily_Data[[#This Row],[OTA Commision]] + Daily_Data[[#This Row],[Daily_Rent]]+Daily_Data[[#This Row],[Daily_Staff]]+Daily_Data[[#This Row],[Daily_HK]]+Daily_Data[[#This Row],[Daily_Electricity]] + Daily_Data[[#This Row],[Daily Maintenance]]</f>
        <v>14949.334533307885</v>
      </c>
      <c r="Q214" s="10">
        <f>Daily_Data[[#This Row],[Total_Sales]]-Daily_Data[[#This Row],[Total_Daily_Expense]]</f>
        <v>1124.6654666921149</v>
      </c>
      <c r="R214" s="10">
        <f>Daily_Data[[#This Row],[Total_Sales]]/Daily_Data[[#This Row],[Rooms_Occupied]]</f>
        <v>1786</v>
      </c>
      <c r="S214" s="10">
        <f>Daily_Data[[#This Row],[Total_Sales]] / Daily_Data[[#This Row],[Max_rooms]]</f>
        <v>1148.1428571428571</v>
      </c>
    </row>
    <row r="215" spans="1:19" x14ac:dyDescent="0.25">
      <c r="A215" s="6">
        <v>45140</v>
      </c>
      <c r="B215" s="20">
        <f>DATE(YEAR(Daily_Data[[#This Row],[Date]]), MONTH(Daily_Data[[#This Row],[Date]]), 1)</f>
        <v>45139</v>
      </c>
      <c r="C215" s="20" t="str">
        <f>TEXT(Daily_Data[[#This Row],[Month_key]],"mmmm")</f>
        <v>August</v>
      </c>
      <c r="D215" s="20" t="str">
        <f>TEXT(Daily_Data[[#This Row],[Month_key]],"yyyy")</f>
        <v>2023</v>
      </c>
      <c r="E215" s="7">
        <v>13</v>
      </c>
      <c r="F215" s="7">
        <v>14</v>
      </c>
      <c r="G215" s="8">
        <f>Daily_Data[[#This Row],[Rooms_Occupied]]/F215</f>
        <v>0.9285714285714286</v>
      </c>
      <c r="H215" s="7">
        <v>1427</v>
      </c>
      <c r="I215" s="7">
        <f>Daily_Data[[#This Row],[Room_rate]]*Daily_Data[[#This Row],[Rooms_Occupied]]</f>
        <v>18551</v>
      </c>
      <c r="J215" s="10">
        <f>Daily_Data[[#This Row],[Total_Sales]] * 0.22</f>
        <v>4081.22</v>
      </c>
      <c r="K215" s="10">
        <f>INDEX(Expense_master[Monthly_Rent],MATCH(Daily_Data[[#This Row],[Month_key]],Expense_master[Month_Key],0)) / INDEX(Expense_master[Days_in_Month],MATCH(Daily_Data[[#This Row],[Month_key]],Expense_master[Month_Key],0))</f>
        <v>6774.1935483870966</v>
      </c>
      <c r="L215" s="10">
        <f>SUMIFS(Expense_master[Staff_Salary],Expense_master[Month_Key],Daily_Data[[#This Row],[Month_key]]) / SUMIFS(Expense_master[Days_in_Month],Expense_master[Month_Key],Daily_Data[[#This Row],[Month_key]])</f>
        <v>2258.0645161290322</v>
      </c>
      <c r="M215" s="10">
        <f>Daily_Data[[#This Row],[Rooms_Occupied]] * (SUMIFS(Expense_master[Housekeeping_Laundy],Expense_master[Month_Key],Daily_Data[[#This Row],[Month_key]]) / SUMIFS(Occupancy_table[Monthly_rooms_Occupied],Occupancy_table[Month_Key],Daily_Data[[#This Row],[Month_key]]))</f>
        <v>384.61538461538464</v>
      </c>
      <c r="N2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1830.6339950372208</v>
      </c>
      <c r="O215" s="10">
        <f>SUMIFS(Expense_master[Monthly_Maintenance],Expense_master[Month_Key],Daily_Data[[#This Row],[Month_key]]) / SUMIFS(Expense_master[Days_in_Month],Expense_master[Month_Key], Daily_Data[[#This Row],[Month_key]])</f>
        <v>645.16129032258061</v>
      </c>
      <c r="P215" s="10">
        <f xml:space="preserve"> Daily_Data[[#This Row],[OTA Commision]] + Daily_Data[[#This Row],[Daily_Rent]]+Daily_Data[[#This Row],[Daily_Staff]]+Daily_Data[[#This Row],[Daily_HK]]+Daily_Data[[#This Row],[Daily_Electricity]] + Daily_Data[[#This Row],[Daily Maintenance]]</f>
        <v>15973.888734491315</v>
      </c>
      <c r="Q215" s="10">
        <f>Daily_Data[[#This Row],[Total_Sales]]-Daily_Data[[#This Row],[Total_Daily_Expense]]</f>
        <v>2577.1112655086854</v>
      </c>
      <c r="R215" s="10">
        <f>Daily_Data[[#This Row],[Total_Sales]]/Daily_Data[[#This Row],[Rooms_Occupied]]</f>
        <v>1427</v>
      </c>
      <c r="S215" s="10">
        <f>Daily_Data[[#This Row],[Total_Sales]] / Daily_Data[[#This Row],[Max_rooms]]</f>
        <v>1325.0714285714287</v>
      </c>
    </row>
    <row r="216" spans="1:19" x14ac:dyDescent="0.25">
      <c r="A216" s="6">
        <v>45141</v>
      </c>
      <c r="B216" s="20">
        <f>DATE(YEAR(Daily_Data[[#This Row],[Date]]), MONTH(Daily_Data[[#This Row],[Date]]), 1)</f>
        <v>45139</v>
      </c>
      <c r="C216" s="20" t="str">
        <f>TEXT(Daily_Data[[#This Row],[Month_key]],"mmmm")</f>
        <v>August</v>
      </c>
      <c r="D216" s="20" t="str">
        <f>TEXT(Daily_Data[[#This Row],[Month_key]],"yyyy")</f>
        <v>2023</v>
      </c>
      <c r="E216" s="7">
        <v>14</v>
      </c>
      <c r="F216" s="7">
        <v>14</v>
      </c>
      <c r="G216" s="8">
        <f>Daily_Data[[#This Row],[Rooms_Occupied]]/F216</f>
        <v>1</v>
      </c>
      <c r="H216" s="7">
        <v>1292</v>
      </c>
      <c r="I216" s="7">
        <f>Daily_Data[[#This Row],[Room_rate]]*Daily_Data[[#This Row],[Rooms_Occupied]]</f>
        <v>18088</v>
      </c>
      <c r="J216" s="10">
        <f>Daily_Data[[#This Row],[Total_Sales]] * 0.22</f>
        <v>3979.36</v>
      </c>
      <c r="K216" s="10">
        <f>INDEX(Expense_master[Monthly_Rent],MATCH(Daily_Data[[#This Row],[Month_key]],Expense_master[Month_Key],0)) / INDEX(Expense_master[Days_in_Month],MATCH(Daily_Data[[#This Row],[Month_key]],Expense_master[Month_Key],0))</f>
        <v>6774.1935483870966</v>
      </c>
      <c r="L216" s="10">
        <f>SUMIFS(Expense_master[Staff_Salary],Expense_master[Month_Key],Daily_Data[[#This Row],[Month_key]]) / SUMIFS(Expense_master[Days_in_Month],Expense_master[Month_Key],Daily_Data[[#This Row],[Month_key]])</f>
        <v>2258.0645161290322</v>
      </c>
      <c r="M216" s="10">
        <f>Daily_Data[[#This Row],[Rooms_Occupied]] * (SUMIFS(Expense_master[Housekeeping_Laundy],Expense_master[Month_Key],Daily_Data[[#This Row],[Month_key]]) / SUMIFS(Occupancy_table[Monthly_rooms_Occupied],Occupancy_table[Month_Key],Daily_Data[[#This Row],[Month_key]]))</f>
        <v>414.20118343195264</v>
      </c>
      <c r="N2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1920.9517465165109</v>
      </c>
      <c r="O216" s="10">
        <f>SUMIFS(Expense_master[Monthly_Maintenance],Expense_master[Month_Key],Daily_Data[[#This Row],[Month_key]]) / SUMIFS(Expense_master[Days_in_Month],Expense_master[Month_Key], Daily_Data[[#This Row],[Month_key]])</f>
        <v>645.16129032258061</v>
      </c>
      <c r="P216" s="10">
        <f xml:space="preserve"> Daily_Data[[#This Row],[OTA Commision]] + Daily_Data[[#This Row],[Daily_Rent]]+Daily_Data[[#This Row],[Daily_Staff]]+Daily_Data[[#This Row],[Daily_HK]]+Daily_Data[[#This Row],[Daily_Electricity]] + Daily_Data[[#This Row],[Daily Maintenance]]</f>
        <v>15991.932284787175</v>
      </c>
      <c r="Q216" s="10">
        <f>Daily_Data[[#This Row],[Total_Sales]]-Daily_Data[[#This Row],[Total_Daily_Expense]]</f>
        <v>2096.0677152128246</v>
      </c>
      <c r="R216" s="10">
        <f>Daily_Data[[#This Row],[Total_Sales]]/Daily_Data[[#This Row],[Rooms_Occupied]]</f>
        <v>1292</v>
      </c>
      <c r="S216" s="10">
        <f>Daily_Data[[#This Row],[Total_Sales]] / Daily_Data[[#This Row],[Max_rooms]]</f>
        <v>1292</v>
      </c>
    </row>
    <row r="217" spans="1:19" x14ac:dyDescent="0.25">
      <c r="A217" s="6">
        <v>45142</v>
      </c>
      <c r="B217" s="20">
        <f>DATE(YEAR(Daily_Data[[#This Row],[Date]]), MONTH(Daily_Data[[#This Row],[Date]]), 1)</f>
        <v>45139</v>
      </c>
      <c r="C217" s="20" t="str">
        <f>TEXT(Daily_Data[[#This Row],[Month_key]],"mmmm")</f>
        <v>August</v>
      </c>
      <c r="D217" s="20" t="str">
        <f>TEXT(Daily_Data[[#This Row],[Month_key]],"yyyy")</f>
        <v>2023</v>
      </c>
      <c r="E217" s="7">
        <v>10</v>
      </c>
      <c r="F217" s="7">
        <v>14</v>
      </c>
      <c r="G217" s="8">
        <f>Daily_Data[[#This Row],[Rooms_Occupied]]/F217</f>
        <v>0.7142857142857143</v>
      </c>
      <c r="H217" s="7">
        <v>1134</v>
      </c>
      <c r="I217" s="7">
        <f>Daily_Data[[#This Row],[Room_rate]]*Daily_Data[[#This Row],[Rooms_Occupied]]</f>
        <v>11340</v>
      </c>
      <c r="J217" s="10">
        <f>Daily_Data[[#This Row],[Total_Sales]] * 0.22</f>
        <v>2494.8000000000002</v>
      </c>
      <c r="K217" s="10">
        <f>INDEX(Expense_master[Monthly_Rent],MATCH(Daily_Data[[#This Row],[Month_key]],Expense_master[Month_Key],0)) / INDEX(Expense_master[Days_in_Month],MATCH(Daily_Data[[#This Row],[Month_key]],Expense_master[Month_Key],0))</f>
        <v>6774.1935483870966</v>
      </c>
      <c r="L217" s="10">
        <f>SUMIFS(Expense_master[Staff_Salary],Expense_master[Month_Key],Daily_Data[[#This Row],[Month_key]]) / SUMIFS(Expense_master[Days_in_Month],Expense_master[Month_Key],Daily_Data[[#This Row],[Month_key]])</f>
        <v>2258.0645161290322</v>
      </c>
      <c r="M217" s="10">
        <f>Daily_Data[[#This Row],[Rooms_Occupied]] * (SUMIFS(Expense_master[Housekeeping_Laundy],Expense_master[Month_Key],Daily_Data[[#This Row],[Month_key]]) / SUMIFS(Occupancy_table[Monthly_rooms_Occupied],Occupancy_table[Month_Key],Daily_Data[[#This Row],[Month_key]]))</f>
        <v>295.85798816568047</v>
      </c>
      <c r="N2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1559.6807405993509</v>
      </c>
      <c r="O217" s="10">
        <f>SUMIFS(Expense_master[Monthly_Maintenance],Expense_master[Month_Key],Daily_Data[[#This Row],[Month_key]]) / SUMIFS(Expense_master[Days_in_Month],Expense_master[Month_Key], Daily_Data[[#This Row],[Month_key]])</f>
        <v>645.16129032258061</v>
      </c>
      <c r="P217" s="10">
        <f xml:space="preserve"> Daily_Data[[#This Row],[OTA Commision]] + Daily_Data[[#This Row],[Daily_Rent]]+Daily_Data[[#This Row],[Daily_Staff]]+Daily_Data[[#This Row],[Daily_HK]]+Daily_Data[[#This Row],[Daily_Electricity]] + Daily_Data[[#This Row],[Daily Maintenance]]</f>
        <v>14027.758083603743</v>
      </c>
      <c r="Q217" s="10">
        <f>Daily_Data[[#This Row],[Total_Sales]]-Daily_Data[[#This Row],[Total_Daily_Expense]]</f>
        <v>-2687.7580836037432</v>
      </c>
      <c r="R217" s="10">
        <f>Daily_Data[[#This Row],[Total_Sales]]/Daily_Data[[#This Row],[Rooms_Occupied]]</f>
        <v>1134</v>
      </c>
      <c r="S217" s="10">
        <f>Daily_Data[[#This Row],[Total_Sales]] / Daily_Data[[#This Row],[Max_rooms]]</f>
        <v>810</v>
      </c>
    </row>
    <row r="218" spans="1:19" x14ac:dyDescent="0.25">
      <c r="A218" s="6">
        <v>45143</v>
      </c>
      <c r="B218" s="20">
        <f>DATE(YEAR(Daily_Data[[#This Row],[Date]]), MONTH(Daily_Data[[#This Row],[Date]]), 1)</f>
        <v>45139</v>
      </c>
      <c r="C218" s="20" t="str">
        <f>TEXT(Daily_Data[[#This Row],[Month_key]],"mmmm")</f>
        <v>August</v>
      </c>
      <c r="D218" s="20" t="str">
        <f>TEXT(Daily_Data[[#This Row],[Month_key]],"yyyy")</f>
        <v>2023</v>
      </c>
      <c r="E218" s="7">
        <v>10</v>
      </c>
      <c r="F218" s="7">
        <v>14</v>
      </c>
      <c r="G218" s="8">
        <f>Daily_Data[[#This Row],[Rooms_Occupied]]/F218</f>
        <v>0.7142857142857143</v>
      </c>
      <c r="H218" s="7">
        <v>1448</v>
      </c>
      <c r="I218" s="7">
        <f>Daily_Data[[#This Row],[Room_rate]]*Daily_Data[[#This Row],[Rooms_Occupied]]</f>
        <v>14480</v>
      </c>
      <c r="J218" s="10">
        <f>Daily_Data[[#This Row],[Total_Sales]] * 0.22</f>
        <v>3185.6</v>
      </c>
      <c r="K218" s="10">
        <f>INDEX(Expense_master[Monthly_Rent],MATCH(Daily_Data[[#This Row],[Month_key]],Expense_master[Month_Key],0)) / INDEX(Expense_master[Days_in_Month],MATCH(Daily_Data[[#This Row],[Month_key]],Expense_master[Month_Key],0))</f>
        <v>6774.1935483870966</v>
      </c>
      <c r="L218" s="10">
        <f>SUMIFS(Expense_master[Staff_Salary],Expense_master[Month_Key],Daily_Data[[#This Row],[Month_key]]) / SUMIFS(Expense_master[Days_in_Month],Expense_master[Month_Key],Daily_Data[[#This Row],[Month_key]])</f>
        <v>2258.0645161290322</v>
      </c>
      <c r="M218" s="10">
        <f>Daily_Data[[#This Row],[Rooms_Occupied]] * (SUMIFS(Expense_master[Housekeeping_Laundy],Expense_master[Month_Key],Daily_Data[[#This Row],[Month_key]]) / SUMIFS(Occupancy_table[Monthly_rooms_Occupied],Occupancy_table[Month_Key],Daily_Data[[#This Row],[Month_key]]))</f>
        <v>295.85798816568047</v>
      </c>
      <c r="N2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1559.6807405993509</v>
      </c>
      <c r="O218" s="10">
        <f>SUMIFS(Expense_master[Monthly_Maintenance],Expense_master[Month_Key],Daily_Data[[#This Row],[Month_key]]) / SUMIFS(Expense_master[Days_in_Month],Expense_master[Month_Key], Daily_Data[[#This Row],[Month_key]])</f>
        <v>645.16129032258061</v>
      </c>
      <c r="P218" s="10">
        <f xml:space="preserve"> Daily_Data[[#This Row],[OTA Commision]] + Daily_Data[[#This Row],[Daily_Rent]]+Daily_Data[[#This Row],[Daily_Staff]]+Daily_Data[[#This Row],[Daily_HK]]+Daily_Data[[#This Row],[Daily_Electricity]] + Daily_Data[[#This Row],[Daily Maintenance]]</f>
        <v>14718.558083603742</v>
      </c>
      <c r="Q218" s="10">
        <f>Daily_Data[[#This Row],[Total_Sales]]-Daily_Data[[#This Row],[Total_Daily_Expense]]</f>
        <v>-238.55808360374249</v>
      </c>
      <c r="R218" s="10">
        <f>Daily_Data[[#This Row],[Total_Sales]]/Daily_Data[[#This Row],[Rooms_Occupied]]</f>
        <v>1448</v>
      </c>
      <c r="S218" s="10">
        <f>Daily_Data[[#This Row],[Total_Sales]] / Daily_Data[[#This Row],[Max_rooms]]</f>
        <v>1034.2857142857142</v>
      </c>
    </row>
    <row r="219" spans="1:19" x14ac:dyDescent="0.25">
      <c r="A219" s="6">
        <v>45144</v>
      </c>
      <c r="B219" s="20">
        <f>DATE(YEAR(Daily_Data[[#This Row],[Date]]), MONTH(Daily_Data[[#This Row],[Date]]), 1)</f>
        <v>45139</v>
      </c>
      <c r="C219" s="20" t="str">
        <f>TEXT(Daily_Data[[#This Row],[Month_key]],"mmmm")</f>
        <v>August</v>
      </c>
      <c r="D219" s="20" t="str">
        <f>TEXT(Daily_Data[[#This Row],[Month_key]],"yyyy")</f>
        <v>2023</v>
      </c>
      <c r="E219" s="7">
        <v>13</v>
      </c>
      <c r="F219" s="7">
        <v>14</v>
      </c>
      <c r="G219" s="8">
        <f>Daily_Data[[#This Row],[Rooms_Occupied]]/F219</f>
        <v>0.9285714285714286</v>
      </c>
      <c r="H219" s="7">
        <v>1524</v>
      </c>
      <c r="I219" s="7">
        <f>Daily_Data[[#This Row],[Room_rate]]*Daily_Data[[#This Row],[Rooms_Occupied]]</f>
        <v>19812</v>
      </c>
      <c r="J219" s="10">
        <f>Daily_Data[[#This Row],[Total_Sales]] * 0.22</f>
        <v>4358.6400000000003</v>
      </c>
      <c r="K219" s="10">
        <f>INDEX(Expense_master[Monthly_Rent],MATCH(Daily_Data[[#This Row],[Month_key]],Expense_master[Month_Key],0)) / INDEX(Expense_master[Days_in_Month],MATCH(Daily_Data[[#This Row],[Month_key]],Expense_master[Month_Key],0))</f>
        <v>6774.1935483870966</v>
      </c>
      <c r="L219" s="10">
        <f>SUMIFS(Expense_master[Staff_Salary],Expense_master[Month_Key],Daily_Data[[#This Row],[Month_key]]) / SUMIFS(Expense_master[Days_in_Month],Expense_master[Month_Key],Daily_Data[[#This Row],[Month_key]])</f>
        <v>2258.0645161290322</v>
      </c>
      <c r="M219" s="10">
        <f>Daily_Data[[#This Row],[Rooms_Occupied]] * (SUMIFS(Expense_master[Housekeeping_Laundy],Expense_master[Month_Key],Daily_Data[[#This Row],[Month_key]]) / SUMIFS(Occupancy_table[Monthly_rooms_Occupied],Occupancy_table[Month_Key],Daily_Data[[#This Row],[Month_key]]))</f>
        <v>384.61538461538464</v>
      </c>
      <c r="N2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1830.6339950372208</v>
      </c>
      <c r="O219" s="10">
        <f>SUMIFS(Expense_master[Monthly_Maintenance],Expense_master[Month_Key],Daily_Data[[#This Row],[Month_key]]) / SUMIFS(Expense_master[Days_in_Month],Expense_master[Month_Key], Daily_Data[[#This Row],[Month_key]])</f>
        <v>645.16129032258061</v>
      </c>
      <c r="P219" s="10">
        <f xml:space="preserve"> Daily_Data[[#This Row],[OTA Commision]] + Daily_Data[[#This Row],[Daily_Rent]]+Daily_Data[[#This Row],[Daily_Staff]]+Daily_Data[[#This Row],[Daily_HK]]+Daily_Data[[#This Row],[Daily_Electricity]] + Daily_Data[[#This Row],[Daily Maintenance]]</f>
        <v>16251.308734491316</v>
      </c>
      <c r="Q219" s="10">
        <f>Daily_Data[[#This Row],[Total_Sales]]-Daily_Data[[#This Row],[Total_Daily_Expense]]</f>
        <v>3560.6912655086835</v>
      </c>
      <c r="R219" s="10">
        <f>Daily_Data[[#This Row],[Total_Sales]]/Daily_Data[[#This Row],[Rooms_Occupied]]</f>
        <v>1524</v>
      </c>
      <c r="S219" s="10">
        <f>Daily_Data[[#This Row],[Total_Sales]] / Daily_Data[[#This Row],[Max_rooms]]</f>
        <v>1415.1428571428571</v>
      </c>
    </row>
    <row r="220" spans="1:19" x14ac:dyDescent="0.25">
      <c r="A220" s="6">
        <v>45145</v>
      </c>
      <c r="B220" s="20">
        <f>DATE(YEAR(Daily_Data[[#This Row],[Date]]), MONTH(Daily_Data[[#This Row],[Date]]), 1)</f>
        <v>45139</v>
      </c>
      <c r="C220" s="20" t="str">
        <f>TEXT(Daily_Data[[#This Row],[Month_key]],"mmmm")</f>
        <v>August</v>
      </c>
      <c r="D220" s="20" t="str">
        <f>TEXT(Daily_Data[[#This Row],[Month_key]],"yyyy")</f>
        <v>2023</v>
      </c>
      <c r="E220" s="7">
        <v>14</v>
      </c>
      <c r="F220" s="7">
        <v>14</v>
      </c>
      <c r="G220" s="8">
        <f>Daily_Data[[#This Row],[Rooms_Occupied]]/F220</f>
        <v>1</v>
      </c>
      <c r="H220" s="7">
        <v>1378</v>
      </c>
      <c r="I220" s="7">
        <f>Daily_Data[[#This Row],[Room_rate]]*Daily_Data[[#This Row],[Rooms_Occupied]]</f>
        <v>19292</v>
      </c>
      <c r="J220" s="10">
        <f>Daily_Data[[#This Row],[Total_Sales]] * 0.22</f>
        <v>4244.24</v>
      </c>
      <c r="K220" s="10">
        <f>INDEX(Expense_master[Monthly_Rent],MATCH(Daily_Data[[#This Row],[Month_key]],Expense_master[Month_Key],0)) / INDEX(Expense_master[Days_in_Month],MATCH(Daily_Data[[#This Row],[Month_key]],Expense_master[Month_Key],0))</f>
        <v>6774.1935483870966</v>
      </c>
      <c r="L220" s="10">
        <f>SUMIFS(Expense_master[Staff_Salary],Expense_master[Month_Key],Daily_Data[[#This Row],[Month_key]]) / SUMIFS(Expense_master[Days_in_Month],Expense_master[Month_Key],Daily_Data[[#This Row],[Month_key]])</f>
        <v>2258.0645161290322</v>
      </c>
      <c r="M220" s="10">
        <f>Daily_Data[[#This Row],[Rooms_Occupied]] * (SUMIFS(Expense_master[Housekeeping_Laundy],Expense_master[Month_Key],Daily_Data[[#This Row],[Month_key]]) / SUMIFS(Occupancy_table[Monthly_rooms_Occupied],Occupancy_table[Month_Key],Daily_Data[[#This Row],[Month_key]]))</f>
        <v>414.20118343195264</v>
      </c>
      <c r="N2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1920.9517465165109</v>
      </c>
      <c r="O220" s="10">
        <f>SUMIFS(Expense_master[Monthly_Maintenance],Expense_master[Month_Key],Daily_Data[[#This Row],[Month_key]]) / SUMIFS(Expense_master[Days_in_Month],Expense_master[Month_Key], Daily_Data[[#This Row],[Month_key]])</f>
        <v>645.16129032258061</v>
      </c>
      <c r="P220" s="10">
        <f xml:space="preserve"> Daily_Data[[#This Row],[OTA Commision]] + Daily_Data[[#This Row],[Daily_Rent]]+Daily_Data[[#This Row],[Daily_Staff]]+Daily_Data[[#This Row],[Daily_HK]]+Daily_Data[[#This Row],[Daily_Electricity]] + Daily_Data[[#This Row],[Daily Maintenance]]</f>
        <v>16256.812284787173</v>
      </c>
      <c r="Q220" s="10">
        <f>Daily_Data[[#This Row],[Total_Sales]]-Daily_Data[[#This Row],[Total_Daily_Expense]]</f>
        <v>3035.1877152128272</v>
      </c>
      <c r="R220" s="10">
        <f>Daily_Data[[#This Row],[Total_Sales]]/Daily_Data[[#This Row],[Rooms_Occupied]]</f>
        <v>1378</v>
      </c>
      <c r="S220" s="10">
        <f>Daily_Data[[#This Row],[Total_Sales]] / Daily_Data[[#This Row],[Max_rooms]]</f>
        <v>1378</v>
      </c>
    </row>
    <row r="221" spans="1:19" x14ac:dyDescent="0.25">
      <c r="A221" s="6">
        <v>45146</v>
      </c>
      <c r="B221" s="20">
        <f>DATE(YEAR(Daily_Data[[#This Row],[Date]]), MONTH(Daily_Data[[#This Row],[Date]]), 1)</f>
        <v>45139</v>
      </c>
      <c r="C221" s="20" t="str">
        <f>TEXT(Daily_Data[[#This Row],[Month_key]],"mmmm")</f>
        <v>August</v>
      </c>
      <c r="D221" s="20" t="str">
        <f>TEXT(Daily_Data[[#This Row],[Month_key]],"yyyy")</f>
        <v>2023</v>
      </c>
      <c r="E221" s="7">
        <v>11</v>
      </c>
      <c r="F221" s="7">
        <v>14</v>
      </c>
      <c r="G221" s="8">
        <f>Daily_Data[[#This Row],[Rooms_Occupied]]/F221</f>
        <v>0.7857142857142857</v>
      </c>
      <c r="H221" s="7">
        <v>1181</v>
      </c>
      <c r="I221" s="7">
        <f>Daily_Data[[#This Row],[Room_rate]]*Daily_Data[[#This Row],[Rooms_Occupied]]</f>
        <v>12991</v>
      </c>
      <c r="J221" s="10">
        <f>Daily_Data[[#This Row],[Total_Sales]] * 0.22</f>
        <v>2858.02</v>
      </c>
      <c r="K221" s="10">
        <f>INDEX(Expense_master[Monthly_Rent],MATCH(Daily_Data[[#This Row],[Month_key]],Expense_master[Month_Key],0)) / INDEX(Expense_master[Days_in_Month],MATCH(Daily_Data[[#This Row],[Month_key]],Expense_master[Month_Key],0))</f>
        <v>6774.1935483870966</v>
      </c>
      <c r="L221" s="10">
        <f>SUMIFS(Expense_master[Staff_Salary],Expense_master[Month_Key],Daily_Data[[#This Row],[Month_key]]) / SUMIFS(Expense_master[Days_in_Month],Expense_master[Month_Key],Daily_Data[[#This Row],[Month_key]])</f>
        <v>2258.0645161290322</v>
      </c>
      <c r="M221" s="10">
        <f>Daily_Data[[#This Row],[Rooms_Occupied]] * (SUMIFS(Expense_master[Housekeeping_Laundy],Expense_master[Month_Key],Daily_Data[[#This Row],[Month_key]]) / SUMIFS(Occupancy_table[Monthly_rooms_Occupied],Occupancy_table[Month_Key],Daily_Data[[#This Row],[Month_key]]))</f>
        <v>325.44378698224853</v>
      </c>
      <c r="N2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1649.998492078641</v>
      </c>
      <c r="O221" s="10">
        <f>SUMIFS(Expense_master[Monthly_Maintenance],Expense_master[Month_Key],Daily_Data[[#This Row],[Month_key]]) / SUMIFS(Expense_master[Days_in_Month],Expense_master[Month_Key], Daily_Data[[#This Row],[Month_key]])</f>
        <v>645.16129032258061</v>
      </c>
      <c r="P221" s="10">
        <f xml:space="preserve"> Daily_Data[[#This Row],[OTA Commision]] + Daily_Data[[#This Row],[Daily_Rent]]+Daily_Data[[#This Row],[Daily_Staff]]+Daily_Data[[#This Row],[Daily_HK]]+Daily_Data[[#This Row],[Daily_Electricity]] + Daily_Data[[#This Row],[Daily Maintenance]]</f>
        <v>14510.8816338996</v>
      </c>
      <c r="Q221" s="10">
        <f>Daily_Data[[#This Row],[Total_Sales]]-Daily_Data[[#This Row],[Total_Daily_Expense]]</f>
        <v>-1519.8816338996003</v>
      </c>
      <c r="R221" s="10">
        <f>Daily_Data[[#This Row],[Total_Sales]]/Daily_Data[[#This Row],[Rooms_Occupied]]</f>
        <v>1181</v>
      </c>
      <c r="S221" s="10">
        <f>Daily_Data[[#This Row],[Total_Sales]] / Daily_Data[[#This Row],[Max_rooms]]</f>
        <v>927.92857142857144</v>
      </c>
    </row>
    <row r="222" spans="1:19" x14ac:dyDescent="0.25">
      <c r="A222" s="6">
        <v>45147</v>
      </c>
      <c r="B222" s="20">
        <f>DATE(YEAR(Daily_Data[[#This Row],[Date]]), MONTH(Daily_Data[[#This Row],[Date]]), 1)</f>
        <v>45139</v>
      </c>
      <c r="C222" s="20" t="str">
        <f>TEXT(Daily_Data[[#This Row],[Month_key]],"mmmm")</f>
        <v>August</v>
      </c>
      <c r="D222" s="20" t="str">
        <f>TEXT(Daily_Data[[#This Row],[Month_key]],"yyyy")</f>
        <v>2023</v>
      </c>
      <c r="E222" s="7">
        <v>9</v>
      </c>
      <c r="F222" s="7">
        <v>14</v>
      </c>
      <c r="G222" s="8">
        <f>Daily_Data[[#This Row],[Rooms_Occupied]]/F222</f>
        <v>0.6428571428571429</v>
      </c>
      <c r="H222" s="7">
        <v>1208</v>
      </c>
      <c r="I222" s="7">
        <f>Daily_Data[[#This Row],[Room_rate]]*Daily_Data[[#This Row],[Rooms_Occupied]]</f>
        <v>10872</v>
      </c>
      <c r="J222" s="10">
        <f>Daily_Data[[#This Row],[Total_Sales]] * 0.22</f>
        <v>2391.84</v>
      </c>
      <c r="K222" s="10">
        <f>INDEX(Expense_master[Monthly_Rent],MATCH(Daily_Data[[#This Row],[Month_key]],Expense_master[Month_Key],0)) / INDEX(Expense_master[Days_in_Month],MATCH(Daily_Data[[#This Row],[Month_key]],Expense_master[Month_Key],0))</f>
        <v>6774.1935483870966</v>
      </c>
      <c r="L222" s="10">
        <f>SUMIFS(Expense_master[Staff_Salary],Expense_master[Month_Key],Daily_Data[[#This Row],[Month_key]]) / SUMIFS(Expense_master[Days_in_Month],Expense_master[Month_Key],Daily_Data[[#This Row],[Month_key]])</f>
        <v>2258.0645161290322</v>
      </c>
      <c r="M222" s="10">
        <f>Daily_Data[[#This Row],[Rooms_Occupied]] * (SUMIFS(Expense_master[Housekeeping_Laundy],Expense_master[Month_Key],Daily_Data[[#This Row],[Month_key]]) / SUMIFS(Occupancy_table[Monthly_rooms_Occupied],Occupancy_table[Month_Key],Daily_Data[[#This Row],[Month_key]]))</f>
        <v>266.27218934911241</v>
      </c>
      <c r="N2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1469.362989120061</v>
      </c>
      <c r="O222" s="10">
        <f>SUMIFS(Expense_master[Monthly_Maintenance],Expense_master[Month_Key],Daily_Data[[#This Row],[Month_key]]) / SUMIFS(Expense_master[Days_in_Month],Expense_master[Month_Key], Daily_Data[[#This Row],[Month_key]])</f>
        <v>645.16129032258061</v>
      </c>
      <c r="P222" s="10">
        <f xml:space="preserve"> Daily_Data[[#This Row],[OTA Commision]] + Daily_Data[[#This Row],[Daily_Rent]]+Daily_Data[[#This Row],[Daily_Staff]]+Daily_Data[[#This Row],[Daily_HK]]+Daily_Data[[#This Row],[Daily_Electricity]] + Daily_Data[[#This Row],[Daily Maintenance]]</f>
        <v>13804.894533307885</v>
      </c>
      <c r="Q222" s="10">
        <f>Daily_Data[[#This Row],[Total_Sales]]-Daily_Data[[#This Row],[Total_Daily_Expense]]</f>
        <v>-2932.8945333078846</v>
      </c>
      <c r="R222" s="10">
        <f>Daily_Data[[#This Row],[Total_Sales]]/Daily_Data[[#This Row],[Rooms_Occupied]]</f>
        <v>1208</v>
      </c>
      <c r="S222" s="10">
        <f>Daily_Data[[#This Row],[Total_Sales]] / Daily_Data[[#This Row],[Max_rooms]]</f>
        <v>776.57142857142856</v>
      </c>
    </row>
    <row r="223" spans="1:19" x14ac:dyDescent="0.25">
      <c r="A223" s="6">
        <v>45148</v>
      </c>
      <c r="B223" s="20">
        <f>DATE(YEAR(Daily_Data[[#This Row],[Date]]), MONTH(Daily_Data[[#This Row],[Date]]), 1)</f>
        <v>45139</v>
      </c>
      <c r="C223" s="20" t="str">
        <f>TEXT(Daily_Data[[#This Row],[Month_key]],"mmmm")</f>
        <v>August</v>
      </c>
      <c r="D223" s="20" t="str">
        <f>TEXT(Daily_Data[[#This Row],[Month_key]],"yyyy")</f>
        <v>2023</v>
      </c>
      <c r="E223" s="7">
        <v>8</v>
      </c>
      <c r="F223" s="7">
        <v>14</v>
      </c>
      <c r="G223" s="8">
        <f>Daily_Data[[#This Row],[Rooms_Occupied]]/F223</f>
        <v>0.5714285714285714</v>
      </c>
      <c r="H223" s="7">
        <v>1638</v>
      </c>
      <c r="I223" s="7">
        <f>Daily_Data[[#This Row],[Room_rate]]*Daily_Data[[#This Row],[Rooms_Occupied]]</f>
        <v>13104</v>
      </c>
      <c r="J223" s="10">
        <f>Daily_Data[[#This Row],[Total_Sales]] * 0.22</f>
        <v>2882.88</v>
      </c>
      <c r="K223" s="10">
        <f>INDEX(Expense_master[Monthly_Rent],MATCH(Daily_Data[[#This Row],[Month_key]],Expense_master[Month_Key],0)) / INDEX(Expense_master[Days_in_Month],MATCH(Daily_Data[[#This Row],[Month_key]],Expense_master[Month_Key],0))</f>
        <v>6774.1935483870966</v>
      </c>
      <c r="L223" s="10">
        <f>SUMIFS(Expense_master[Staff_Salary],Expense_master[Month_Key],Daily_Data[[#This Row],[Month_key]]) / SUMIFS(Expense_master[Days_in_Month],Expense_master[Month_Key],Daily_Data[[#This Row],[Month_key]])</f>
        <v>2258.0645161290322</v>
      </c>
      <c r="M223" s="10">
        <f>Daily_Data[[#This Row],[Rooms_Occupied]] * (SUMIFS(Expense_master[Housekeeping_Laundy],Expense_master[Month_Key],Daily_Data[[#This Row],[Month_key]]) / SUMIFS(Occupancy_table[Monthly_rooms_Occupied],Occupancy_table[Month_Key],Daily_Data[[#This Row],[Month_key]]))</f>
        <v>236.68639053254438</v>
      </c>
      <c r="N2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1379.0452376407711</v>
      </c>
      <c r="O223" s="10">
        <f>SUMIFS(Expense_master[Monthly_Maintenance],Expense_master[Month_Key],Daily_Data[[#This Row],[Month_key]]) / SUMIFS(Expense_master[Days_in_Month],Expense_master[Month_Key], Daily_Data[[#This Row],[Month_key]])</f>
        <v>645.16129032258061</v>
      </c>
      <c r="P223" s="10">
        <f xml:space="preserve"> Daily_Data[[#This Row],[OTA Commision]] + Daily_Data[[#This Row],[Daily_Rent]]+Daily_Data[[#This Row],[Daily_Staff]]+Daily_Data[[#This Row],[Daily_HK]]+Daily_Data[[#This Row],[Daily_Electricity]] + Daily_Data[[#This Row],[Daily Maintenance]]</f>
        <v>14176.030983012026</v>
      </c>
      <c r="Q223" s="10">
        <f>Daily_Data[[#This Row],[Total_Sales]]-Daily_Data[[#This Row],[Total_Daily_Expense]]</f>
        <v>-1072.0309830120259</v>
      </c>
      <c r="R223" s="10">
        <f>Daily_Data[[#This Row],[Total_Sales]]/Daily_Data[[#This Row],[Rooms_Occupied]]</f>
        <v>1638</v>
      </c>
      <c r="S223" s="10">
        <f>Daily_Data[[#This Row],[Total_Sales]] / Daily_Data[[#This Row],[Max_rooms]]</f>
        <v>936</v>
      </c>
    </row>
    <row r="224" spans="1:19" x14ac:dyDescent="0.25">
      <c r="A224" s="6">
        <v>45149</v>
      </c>
      <c r="B224" s="20">
        <f>DATE(YEAR(Daily_Data[[#This Row],[Date]]), MONTH(Daily_Data[[#This Row],[Date]]), 1)</f>
        <v>45139</v>
      </c>
      <c r="C224" s="20" t="str">
        <f>TEXT(Daily_Data[[#This Row],[Month_key]],"mmmm")</f>
        <v>August</v>
      </c>
      <c r="D224" s="20" t="str">
        <f>TEXT(Daily_Data[[#This Row],[Month_key]],"yyyy")</f>
        <v>2023</v>
      </c>
      <c r="E224" s="7">
        <v>8</v>
      </c>
      <c r="F224" s="7">
        <v>14</v>
      </c>
      <c r="G224" s="8">
        <f>Daily_Data[[#This Row],[Rooms_Occupied]]/F224</f>
        <v>0.5714285714285714</v>
      </c>
      <c r="H224" s="7">
        <v>1293</v>
      </c>
      <c r="I224" s="7">
        <f>Daily_Data[[#This Row],[Room_rate]]*Daily_Data[[#This Row],[Rooms_Occupied]]</f>
        <v>10344</v>
      </c>
      <c r="J224" s="10">
        <f>Daily_Data[[#This Row],[Total_Sales]] * 0.22</f>
        <v>2275.6799999999998</v>
      </c>
      <c r="K224" s="10">
        <f>INDEX(Expense_master[Monthly_Rent],MATCH(Daily_Data[[#This Row],[Month_key]],Expense_master[Month_Key],0)) / INDEX(Expense_master[Days_in_Month],MATCH(Daily_Data[[#This Row],[Month_key]],Expense_master[Month_Key],0))</f>
        <v>6774.1935483870966</v>
      </c>
      <c r="L224" s="10">
        <f>SUMIFS(Expense_master[Staff_Salary],Expense_master[Month_Key],Daily_Data[[#This Row],[Month_key]]) / SUMIFS(Expense_master[Days_in_Month],Expense_master[Month_Key],Daily_Data[[#This Row],[Month_key]])</f>
        <v>2258.0645161290322</v>
      </c>
      <c r="M224" s="10">
        <f>Daily_Data[[#This Row],[Rooms_Occupied]] * (SUMIFS(Expense_master[Housekeeping_Laundy],Expense_master[Month_Key],Daily_Data[[#This Row],[Month_key]]) / SUMIFS(Occupancy_table[Monthly_rooms_Occupied],Occupancy_table[Month_Key],Daily_Data[[#This Row],[Month_key]]))</f>
        <v>236.68639053254438</v>
      </c>
      <c r="N2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1379.0452376407711</v>
      </c>
      <c r="O224" s="10">
        <f>SUMIFS(Expense_master[Monthly_Maintenance],Expense_master[Month_Key],Daily_Data[[#This Row],[Month_key]]) / SUMIFS(Expense_master[Days_in_Month],Expense_master[Month_Key], Daily_Data[[#This Row],[Month_key]])</f>
        <v>645.16129032258061</v>
      </c>
      <c r="P224" s="10">
        <f xml:space="preserve"> Daily_Data[[#This Row],[OTA Commision]] + Daily_Data[[#This Row],[Daily_Rent]]+Daily_Data[[#This Row],[Daily_Staff]]+Daily_Data[[#This Row],[Daily_HK]]+Daily_Data[[#This Row],[Daily_Electricity]] + Daily_Data[[#This Row],[Daily Maintenance]]</f>
        <v>13568.830983012025</v>
      </c>
      <c r="Q224" s="10">
        <f>Daily_Data[[#This Row],[Total_Sales]]-Daily_Data[[#This Row],[Total_Daily_Expense]]</f>
        <v>-3224.8309830120252</v>
      </c>
      <c r="R224" s="10">
        <f>Daily_Data[[#This Row],[Total_Sales]]/Daily_Data[[#This Row],[Rooms_Occupied]]</f>
        <v>1293</v>
      </c>
      <c r="S224" s="10">
        <f>Daily_Data[[#This Row],[Total_Sales]] / Daily_Data[[#This Row],[Max_rooms]]</f>
        <v>738.85714285714289</v>
      </c>
    </row>
    <row r="225" spans="1:19" x14ac:dyDescent="0.25">
      <c r="A225" s="6">
        <v>45150</v>
      </c>
      <c r="B225" s="20">
        <f>DATE(YEAR(Daily_Data[[#This Row],[Date]]), MONTH(Daily_Data[[#This Row],[Date]]), 1)</f>
        <v>45139</v>
      </c>
      <c r="C225" s="20" t="str">
        <f>TEXT(Daily_Data[[#This Row],[Month_key]],"mmmm")</f>
        <v>August</v>
      </c>
      <c r="D225" s="20" t="str">
        <f>TEXT(Daily_Data[[#This Row],[Month_key]],"yyyy")</f>
        <v>2023</v>
      </c>
      <c r="E225" s="7">
        <v>11</v>
      </c>
      <c r="F225" s="7">
        <v>14</v>
      </c>
      <c r="G225" s="8">
        <f>Daily_Data[[#This Row],[Rooms_Occupied]]/F225</f>
        <v>0.7857142857142857</v>
      </c>
      <c r="H225" s="7">
        <v>1223</v>
      </c>
      <c r="I225" s="7">
        <f>Daily_Data[[#This Row],[Room_rate]]*Daily_Data[[#This Row],[Rooms_Occupied]]</f>
        <v>13453</v>
      </c>
      <c r="J225" s="10">
        <f>Daily_Data[[#This Row],[Total_Sales]] * 0.22</f>
        <v>2959.66</v>
      </c>
      <c r="K225" s="10">
        <f>INDEX(Expense_master[Monthly_Rent],MATCH(Daily_Data[[#This Row],[Month_key]],Expense_master[Month_Key],0)) / INDEX(Expense_master[Days_in_Month],MATCH(Daily_Data[[#This Row],[Month_key]],Expense_master[Month_Key],0))</f>
        <v>6774.1935483870966</v>
      </c>
      <c r="L225" s="10">
        <f>SUMIFS(Expense_master[Staff_Salary],Expense_master[Month_Key],Daily_Data[[#This Row],[Month_key]]) / SUMIFS(Expense_master[Days_in_Month],Expense_master[Month_Key],Daily_Data[[#This Row],[Month_key]])</f>
        <v>2258.0645161290322</v>
      </c>
      <c r="M225" s="10">
        <f>Daily_Data[[#This Row],[Rooms_Occupied]] * (SUMIFS(Expense_master[Housekeeping_Laundy],Expense_master[Month_Key],Daily_Data[[#This Row],[Month_key]]) / SUMIFS(Occupancy_table[Monthly_rooms_Occupied],Occupancy_table[Month_Key],Daily_Data[[#This Row],[Month_key]]))</f>
        <v>325.44378698224853</v>
      </c>
      <c r="N2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1649.998492078641</v>
      </c>
      <c r="O225" s="10">
        <f>SUMIFS(Expense_master[Monthly_Maintenance],Expense_master[Month_Key],Daily_Data[[#This Row],[Month_key]]) / SUMIFS(Expense_master[Days_in_Month],Expense_master[Month_Key], Daily_Data[[#This Row],[Month_key]])</f>
        <v>645.16129032258061</v>
      </c>
      <c r="P225" s="10">
        <f xml:space="preserve"> Daily_Data[[#This Row],[OTA Commision]] + Daily_Data[[#This Row],[Daily_Rent]]+Daily_Data[[#This Row],[Daily_Staff]]+Daily_Data[[#This Row],[Daily_HK]]+Daily_Data[[#This Row],[Daily_Electricity]] + Daily_Data[[#This Row],[Daily Maintenance]]</f>
        <v>14612.5216338996</v>
      </c>
      <c r="Q225" s="10">
        <f>Daily_Data[[#This Row],[Total_Sales]]-Daily_Data[[#This Row],[Total_Daily_Expense]]</f>
        <v>-1159.5216338995997</v>
      </c>
      <c r="R225" s="10">
        <f>Daily_Data[[#This Row],[Total_Sales]]/Daily_Data[[#This Row],[Rooms_Occupied]]</f>
        <v>1223</v>
      </c>
      <c r="S225" s="10">
        <f>Daily_Data[[#This Row],[Total_Sales]] / Daily_Data[[#This Row],[Max_rooms]]</f>
        <v>960.92857142857144</v>
      </c>
    </row>
    <row r="226" spans="1:19" x14ac:dyDescent="0.25">
      <c r="A226" s="6">
        <v>45151</v>
      </c>
      <c r="B226" s="20">
        <f>DATE(YEAR(Daily_Data[[#This Row],[Date]]), MONTH(Daily_Data[[#This Row],[Date]]), 1)</f>
        <v>45139</v>
      </c>
      <c r="C226" s="20" t="str">
        <f>TEXT(Daily_Data[[#This Row],[Month_key]],"mmmm")</f>
        <v>August</v>
      </c>
      <c r="D226" s="20" t="str">
        <f>TEXT(Daily_Data[[#This Row],[Month_key]],"yyyy")</f>
        <v>2023</v>
      </c>
      <c r="E226" s="7">
        <v>13</v>
      </c>
      <c r="F226" s="7">
        <v>14</v>
      </c>
      <c r="G226" s="8">
        <f>Daily_Data[[#This Row],[Rooms_Occupied]]/F226</f>
        <v>0.9285714285714286</v>
      </c>
      <c r="H226" s="7">
        <v>1849</v>
      </c>
      <c r="I226" s="7">
        <f>Daily_Data[[#This Row],[Room_rate]]*Daily_Data[[#This Row],[Rooms_Occupied]]</f>
        <v>24037</v>
      </c>
      <c r="J226" s="10">
        <f>Daily_Data[[#This Row],[Total_Sales]] * 0.22</f>
        <v>5288.14</v>
      </c>
      <c r="K226" s="10">
        <f>INDEX(Expense_master[Monthly_Rent],MATCH(Daily_Data[[#This Row],[Month_key]],Expense_master[Month_Key],0)) / INDEX(Expense_master[Days_in_Month],MATCH(Daily_Data[[#This Row],[Month_key]],Expense_master[Month_Key],0))</f>
        <v>6774.1935483870966</v>
      </c>
      <c r="L226" s="10">
        <f>SUMIFS(Expense_master[Staff_Salary],Expense_master[Month_Key],Daily_Data[[#This Row],[Month_key]]) / SUMIFS(Expense_master[Days_in_Month],Expense_master[Month_Key],Daily_Data[[#This Row],[Month_key]])</f>
        <v>2258.0645161290322</v>
      </c>
      <c r="M226" s="10">
        <f>Daily_Data[[#This Row],[Rooms_Occupied]] * (SUMIFS(Expense_master[Housekeeping_Laundy],Expense_master[Month_Key],Daily_Data[[#This Row],[Month_key]]) / SUMIFS(Occupancy_table[Monthly_rooms_Occupied],Occupancy_table[Month_Key],Daily_Data[[#This Row],[Month_key]]))</f>
        <v>384.61538461538464</v>
      </c>
      <c r="N2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1830.6339950372208</v>
      </c>
      <c r="O226" s="10">
        <f>SUMIFS(Expense_master[Monthly_Maintenance],Expense_master[Month_Key],Daily_Data[[#This Row],[Month_key]]) / SUMIFS(Expense_master[Days_in_Month],Expense_master[Month_Key], Daily_Data[[#This Row],[Month_key]])</f>
        <v>645.16129032258061</v>
      </c>
      <c r="P226" s="10">
        <f xml:space="preserve"> Daily_Data[[#This Row],[OTA Commision]] + Daily_Data[[#This Row],[Daily_Rent]]+Daily_Data[[#This Row],[Daily_Staff]]+Daily_Data[[#This Row],[Daily_HK]]+Daily_Data[[#This Row],[Daily_Electricity]] + Daily_Data[[#This Row],[Daily Maintenance]]</f>
        <v>17180.808734491315</v>
      </c>
      <c r="Q226" s="10">
        <f>Daily_Data[[#This Row],[Total_Sales]]-Daily_Data[[#This Row],[Total_Daily_Expense]]</f>
        <v>6856.1912655086853</v>
      </c>
      <c r="R226" s="10">
        <f>Daily_Data[[#This Row],[Total_Sales]]/Daily_Data[[#This Row],[Rooms_Occupied]]</f>
        <v>1849</v>
      </c>
      <c r="S226" s="10">
        <f>Daily_Data[[#This Row],[Total_Sales]] / Daily_Data[[#This Row],[Max_rooms]]</f>
        <v>1716.9285714285713</v>
      </c>
    </row>
    <row r="227" spans="1:19" x14ac:dyDescent="0.25">
      <c r="A227" s="6">
        <v>45152</v>
      </c>
      <c r="B227" s="20">
        <f>DATE(YEAR(Daily_Data[[#This Row],[Date]]), MONTH(Daily_Data[[#This Row],[Date]]), 1)</f>
        <v>45139</v>
      </c>
      <c r="C227" s="20" t="str">
        <f>TEXT(Daily_Data[[#This Row],[Month_key]],"mmmm")</f>
        <v>August</v>
      </c>
      <c r="D227" s="20" t="str">
        <f>TEXT(Daily_Data[[#This Row],[Month_key]],"yyyy")</f>
        <v>2023</v>
      </c>
      <c r="E227" s="7">
        <v>8</v>
      </c>
      <c r="F227" s="7">
        <v>14</v>
      </c>
      <c r="G227" s="8">
        <f>Daily_Data[[#This Row],[Rooms_Occupied]]/F227</f>
        <v>0.5714285714285714</v>
      </c>
      <c r="H227" s="7">
        <v>1253</v>
      </c>
      <c r="I227" s="7">
        <f>Daily_Data[[#This Row],[Room_rate]]*Daily_Data[[#This Row],[Rooms_Occupied]]</f>
        <v>10024</v>
      </c>
      <c r="J227" s="10">
        <f>Daily_Data[[#This Row],[Total_Sales]] * 0.22</f>
        <v>2205.2800000000002</v>
      </c>
      <c r="K227" s="10">
        <f>INDEX(Expense_master[Monthly_Rent],MATCH(Daily_Data[[#This Row],[Month_key]],Expense_master[Month_Key],0)) / INDEX(Expense_master[Days_in_Month],MATCH(Daily_Data[[#This Row],[Month_key]],Expense_master[Month_Key],0))</f>
        <v>6774.1935483870966</v>
      </c>
      <c r="L227" s="10">
        <f>SUMIFS(Expense_master[Staff_Salary],Expense_master[Month_Key],Daily_Data[[#This Row],[Month_key]]) / SUMIFS(Expense_master[Days_in_Month],Expense_master[Month_Key],Daily_Data[[#This Row],[Month_key]])</f>
        <v>2258.0645161290322</v>
      </c>
      <c r="M227" s="10">
        <f>Daily_Data[[#This Row],[Rooms_Occupied]] * (SUMIFS(Expense_master[Housekeeping_Laundy],Expense_master[Month_Key],Daily_Data[[#This Row],[Month_key]]) / SUMIFS(Occupancy_table[Monthly_rooms_Occupied],Occupancy_table[Month_Key],Daily_Data[[#This Row],[Month_key]]))</f>
        <v>236.68639053254438</v>
      </c>
      <c r="N2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1379.0452376407711</v>
      </c>
      <c r="O227" s="10">
        <f>SUMIFS(Expense_master[Monthly_Maintenance],Expense_master[Month_Key],Daily_Data[[#This Row],[Month_key]]) / SUMIFS(Expense_master[Days_in_Month],Expense_master[Month_Key], Daily_Data[[#This Row],[Month_key]])</f>
        <v>645.16129032258061</v>
      </c>
      <c r="P227" s="10">
        <f xml:space="preserve"> Daily_Data[[#This Row],[OTA Commision]] + Daily_Data[[#This Row],[Daily_Rent]]+Daily_Data[[#This Row],[Daily_Staff]]+Daily_Data[[#This Row],[Daily_HK]]+Daily_Data[[#This Row],[Daily_Electricity]] + Daily_Data[[#This Row],[Daily Maintenance]]</f>
        <v>13498.430983012027</v>
      </c>
      <c r="Q227" s="10">
        <f>Daily_Data[[#This Row],[Total_Sales]]-Daily_Data[[#This Row],[Total_Daily_Expense]]</f>
        <v>-3474.4309830120274</v>
      </c>
      <c r="R227" s="10">
        <f>Daily_Data[[#This Row],[Total_Sales]]/Daily_Data[[#This Row],[Rooms_Occupied]]</f>
        <v>1253</v>
      </c>
      <c r="S227" s="10">
        <f>Daily_Data[[#This Row],[Total_Sales]] / Daily_Data[[#This Row],[Max_rooms]]</f>
        <v>716</v>
      </c>
    </row>
    <row r="228" spans="1:19" x14ac:dyDescent="0.25">
      <c r="A228" s="6">
        <v>45153</v>
      </c>
      <c r="B228" s="20">
        <f>DATE(YEAR(Daily_Data[[#This Row],[Date]]), MONTH(Daily_Data[[#This Row],[Date]]), 1)</f>
        <v>45139</v>
      </c>
      <c r="C228" s="20" t="str">
        <f>TEXT(Daily_Data[[#This Row],[Month_key]],"mmmm")</f>
        <v>August</v>
      </c>
      <c r="D228" s="20" t="str">
        <f>TEXT(Daily_Data[[#This Row],[Month_key]],"yyyy")</f>
        <v>2023</v>
      </c>
      <c r="E228" s="7">
        <v>8</v>
      </c>
      <c r="F228" s="7">
        <v>14</v>
      </c>
      <c r="G228" s="8">
        <f>Daily_Data[[#This Row],[Rooms_Occupied]]/F228</f>
        <v>0.5714285714285714</v>
      </c>
      <c r="H228" s="7">
        <v>1734</v>
      </c>
      <c r="I228" s="7">
        <f>Daily_Data[[#This Row],[Room_rate]]*Daily_Data[[#This Row],[Rooms_Occupied]]</f>
        <v>13872</v>
      </c>
      <c r="J228" s="10">
        <f>Daily_Data[[#This Row],[Total_Sales]] * 0.22</f>
        <v>3051.84</v>
      </c>
      <c r="K228" s="10">
        <f>INDEX(Expense_master[Monthly_Rent],MATCH(Daily_Data[[#This Row],[Month_key]],Expense_master[Month_Key],0)) / INDEX(Expense_master[Days_in_Month],MATCH(Daily_Data[[#This Row],[Month_key]],Expense_master[Month_Key],0))</f>
        <v>6774.1935483870966</v>
      </c>
      <c r="L228" s="10">
        <f>SUMIFS(Expense_master[Staff_Salary],Expense_master[Month_Key],Daily_Data[[#This Row],[Month_key]]) / SUMIFS(Expense_master[Days_in_Month],Expense_master[Month_Key],Daily_Data[[#This Row],[Month_key]])</f>
        <v>2258.0645161290322</v>
      </c>
      <c r="M228" s="10">
        <f>Daily_Data[[#This Row],[Rooms_Occupied]] * (SUMIFS(Expense_master[Housekeeping_Laundy],Expense_master[Month_Key],Daily_Data[[#This Row],[Month_key]]) / SUMIFS(Occupancy_table[Monthly_rooms_Occupied],Occupancy_table[Month_Key],Daily_Data[[#This Row],[Month_key]]))</f>
        <v>236.68639053254438</v>
      </c>
      <c r="N2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1379.0452376407711</v>
      </c>
      <c r="O228" s="10">
        <f>SUMIFS(Expense_master[Monthly_Maintenance],Expense_master[Month_Key],Daily_Data[[#This Row],[Month_key]]) / SUMIFS(Expense_master[Days_in_Month],Expense_master[Month_Key], Daily_Data[[#This Row],[Month_key]])</f>
        <v>645.16129032258061</v>
      </c>
      <c r="P228" s="10">
        <f xml:space="preserve"> Daily_Data[[#This Row],[OTA Commision]] + Daily_Data[[#This Row],[Daily_Rent]]+Daily_Data[[#This Row],[Daily_Staff]]+Daily_Data[[#This Row],[Daily_HK]]+Daily_Data[[#This Row],[Daily_Electricity]] + Daily_Data[[#This Row],[Daily Maintenance]]</f>
        <v>14344.990983012025</v>
      </c>
      <c r="Q228" s="10">
        <f>Daily_Data[[#This Row],[Total_Sales]]-Daily_Data[[#This Row],[Total_Daily_Expense]]</f>
        <v>-472.99098301202503</v>
      </c>
      <c r="R228" s="10">
        <f>Daily_Data[[#This Row],[Total_Sales]]/Daily_Data[[#This Row],[Rooms_Occupied]]</f>
        <v>1734</v>
      </c>
      <c r="S228" s="10">
        <f>Daily_Data[[#This Row],[Total_Sales]] / Daily_Data[[#This Row],[Max_rooms]]</f>
        <v>990.85714285714289</v>
      </c>
    </row>
    <row r="229" spans="1:19" x14ac:dyDescent="0.25">
      <c r="A229" s="6">
        <v>45154</v>
      </c>
      <c r="B229" s="20">
        <f>DATE(YEAR(Daily_Data[[#This Row],[Date]]), MONTH(Daily_Data[[#This Row],[Date]]), 1)</f>
        <v>45139</v>
      </c>
      <c r="C229" s="20" t="str">
        <f>TEXT(Daily_Data[[#This Row],[Month_key]],"mmmm")</f>
        <v>August</v>
      </c>
      <c r="D229" s="20" t="str">
        <f>TEXT(Daily_Data[[#This Row],[Month_key]],"yyyy")</f>
        <v>2023</v>
      </c>
      <c r="E229" s="7">
        <v>10</v>
      </c>
      <c r="F229" s="7">
        <v>14</v>
      </c>
      <c r="G229" s="8">
        <f>Daily_Data[[#This Row],[Rooms_Occupied]]/F229</f>
        <v>0.7142857142857143</v>
      </c>
      <c r="H229" s="7">
        <v>1407</v>
      </c>
      <c r="I229" s="7">
        <f>Daily_Data[[#This Row],[Room_rate]]*Daily_Data[[#This Row],[Rooms_Occupied]]</f>
        <v>14070</v>
      </c>
      <c r="J229" s="10">
        <f>Daily_Data[[#This Row],[Total_Sales]] * 0.22</f>
        <v>3095.4</v>
      </c>
      <c r="K229" s="10">
        <f>INDEX(Expense_master[Monthly_Rent],MATCH(Daily_Data[[#This Row],[Month_key]],Expense_master[Month_Key],0)) / INDEX(Expense_master[Days_in_Month],MATCH(Daily_Data[[#This Row],[Month_key]],Expense_master[Month_Key],0))</f>
        <v>6774.1935483870966</v>
      </c>
      <c r="L229" s="10">
        <f>SUMIFS(Expense_master[Staff_Salary],Expense_master[Month_Key],Daily_Data[[#This Row],[Month_key]]) / SUMIFS(Expense_master[Days_in_Month],Expense_master[Month_Key],Daily_Data[[#This Row],[Month_key]])</f>
        <v>2258.0645161290322</v>
      </c>
      <c r="M229" s="10">
        <f>Daily_Data[[#This Row],[Rooms_Occupied]] * (SUMIFS(Expense_master[Housekeeping_Laundy],Expense_master[Month_Key],Daily_Data[[#This Row],[Month_key]]) / SUMIFS(Occupancy_table[Monthly_rooms_Occupied],Occupancy_table[Month_Key],Daily_Data[[#This Row],[Month_key]]))</f>
        <v>295.85798816568047</v>
      </c>
      <c r="N2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1559.6807405993509</v>
      </c>
      <c r="O229" s="10">
        <f>SUMIFS(Expense_master[Monthly_Maintenance],Expense_master[Month_Key],Daily_Data[[#This Row],[Month_key]]) / SUMIFS(Expense_master[Days_in_Month],Expense_master[Month_Key], Daily_Data[[#This Row],[Month_key]])</f>
        <v>645.16129032258061</v>
      </c>
      <c r="P229" s="10">
        <f xml:space="preserve"> Daily_Data[[#This Row],[OTA Commision]] + Daily_Data[[#This Row],[Daily_Rent]]+Daily_Data[[#This Row],[Daily_Staff]]+Daily_Data[[#This Row],[Daily_HK]]+Daily_Data[[#This Row],[Daily_Electricity]] + Daily_Data[[#This Row],[Daily Maintenance]]</f>
        <v>14628.358083603742</v>
      </c>
      <c r="Q229" s="10">
        <f>Daily_Data[[#This Row],[Total_Sales]]-Daily_Data[[#This Row],[Total_Daily_Expense]]</f>
        <v>-558.35808360374176</v>
      </c>
      <c r="R229" s="10">
        <f>Daily_Data[[#This Row],[Total_Sales]]/Daily_Data[[#This Row],[Rooms_Occupied]]</f>
        <v>1407</v>
      </c>
      <c r="S229" s="10">
        <f>Daily_Data[[#This Row],[Total_Sales]] / Daily_Data[[#This Row],[Max_rooms]]</f>
        <v>1005</v>
      </c>
    </row>
    <row r="230" spans="1:19" x14ac:dyDescent="0.25">
      <c r="A230" s="6">
        <v>45155</v>
      </c>
      <c r="B230" s="20">
        <f>DATE(YEAR(Daily_Data[[#This Row],[Date]]), MONTH(Daily_Data[[#This Row],[Date]]), 1)</f>
        <v>45139</v>
      </c>
      <c r="C230" s="20" t="str">
        <f>TEXT(Daily_Data[[#This Row],[Month_key]],"mmmm")</f>
        <v>August</v>
      </c>
      <c r="D230" s="20" t="str">
        <f>TEXT(Daily_Data[[#This Row],[Month_key]],"yyyy")</f>
        <v>2023</v>
      </c>
      <c r="E230" s="7">
        <v>11</v>
      </c>
      <c r="F230" s="7">
        <v>14</v>
      </c>
      <c r="G230" s="8">
        <f>Daily_Data[[#This Row],[Rooms_Occupied]]/F230</f>
        <v>0.7857142857142857</v>
      </c>
      <c r="H230" s="7">
        <v>1123</v>
      </c>
      <c r="I230" s="7">
        <f>Daily_Data[[#This Row],[Room_rate]]*Daily_Data[[#This Row],[Rooms_Occupied]]</f>
        <v>12353</v>
      </c>
      <c r="J230" s="10">
        <f>Daily_Data[[#This Row],[Total_Sales]] * 0.22</f>
        <v>2717.66</v>
      </c>
      <c r="K230" s="10">
        <f>INDEX(Expense_master[Monthly_Rent],MATCH(Daily_Data[[#This Row],[Month_key]],Expense_master[Month_Key],0)) / INDEX(Expense_master[Days_in_Month],MATCH(Daily_Data[[#This Row],[Month_key]],Expense_master[Month_Key],0))</f>
        <v>6774.1935483870966</v>
      </c>
      <c r="L230" s="10">
        <f>SUMIFS(Expense_master[Staff_Salary],Expense_master[Month_Key],Daily_Data[[#This Row],[Month_key]]) / SUMIFS(Expense_master[Days_in_Month],Expense_master[Month_Key],Daily_Data[[#This Row],[Month_key]])</f>
        <v>2258.0645161290322</v>
      </c>
      <c r="M230" s="10">
        <f>Daily_Data[[#This Row],[Rooms_Occupied]] * (SUMIFS(Expense_master[Housekeeping_Laundy],Expense_master[Month_Key],Daily_Data[[#This Row],[Month_key]]) / SUMIFS(Occupancy_table[Monthly_rooms_Occupied],Occupancy_table[Month_Key],Daily_Data[[#This Row],[Month_key]]))</f>
        <v>325.44378698224853</v>
      </c>
      <c r="N2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1649.998492078641</v>
      </c>
      <c r="O230" s="10">
        <f>SUMIFS(Expense_master[Monthly_Maintenance],Expense_master[Month_Key],Daily_Data[[#This Row],[Month_key]]) / SUMIFS(Expense_master[Days_in_Month],Expense_master[Month_Key], Daily_Data[[#This Row],[Month_key]])</f>
        <v>645.16129032258061</v>
      </c>
      <c r="P230" s="10">
        <f xml:space="preserve"> Daily_Data[[#This Row],[OTA Commision]] + Daily_Data[[#This Row],[Daily_Rent]]+Daily_Data[[#This Row],[Daily_Staff]]+Daily_Data[[#This Row],[Daily_HK]]+Daily_Data[[#This Row],[Daily_Electricity]] + Daily_Data[[#This Row],[Daily Maintenance]]</f>
        <v>14370.5216338996</v>
      </c>
      <c r="Q230" s="10">
        <f>Daily_Data[[#This Row],[Total_Sales]]-Daily_Data[[#This Row],[Total_Daily_Expense]]</f>
        <v>-2017.5216338995997</v>
      </c>
      <c r="R230" s="10">
        <f>Daily_Data[[#This Row],[Total_Sales]]/Daily_Data[[#This Row],[Rooms_Occupied]]</f>
        <v>1123</v>
      </c>
      <c r="S230" s="10">
        <f>Daily_Data[[#This Row],[Total_Sales]] / Daily_Data[[#This Row],[Max_rooms]]</f>
        <v>882.35714285714289</v>
      </c>
    </row>
    <row r="231" spans="1:19" x14ac:dyDescent="0.25">
      <c r="A231" s="6">
        <v>45156</v>
      </c>
      <c r="B231" s="20">
        <f>DATE(YEAR(Daily_Data[[#This Row],[Date]]), MONTH(Daily_Data[[#This Row],[Date]]), 1)</f>
        <v>45139</v>
      </c>
      <c r="C231" s="20" t="str">
        <f>TEXT(Daily_Data[[#This Row],[Month_key]],"mmmm")</f>
        <v>August</v>
      </c>
      <c r="D231" s="20" t="str">
        <f>TEXT(Daily_Data[[#This Row],[Month_key]],"yyyy")</f>
        <v>2023</v>
      </c>
      <c r="E231" s="7">
        <v>12</v>
      </c>
      <c r="F231" s="7">
        <v>14</v>
      </c>
      <c r="G231" s="8">
        <f>Daily_Data[[#This Row],[Rooms_Occupied]]/F231</f>
        <v>0.8571428571428571</v>
      </c>
      <c r="H231" s="7">
        <v>1498</v>
      </c>
      <c r="I231" s="7">
        <f>Daily_Data[[#This Row],[Room_rate]]*Daily_Data[[#This Row],[Rooms_Occupied]]</f>
        <v>17976</v>
      </c>
      <c r="J231" s="10">
        <f>Daily_Data[[#This Row],[Total_Sales]] * 0.22</f>
        <v>3954.72</v>
      </c>
      <c r="K231" s="10">
        <f>INDEX(Expense_master[Monthly_Rent],MATCH(Daily_Data[[#This Row],[Month_key]],Expense_master[Month_Key],0)) / INDEX(Expense_master[Days_in_Month],MATCH(Daily_Data[[#This Row],[Month_key]],Expense_master[Month_Key],0))</f>
        <v>6774.1935483870966</v>
      </c>
      <c r="L231" s="10">
        <f>SUMIFS(Expense_master[Staff_Salary],Expense_master[Month_Key],Daily_Data[[#This Row],[Month_key]]) / SUMIFS(Expense_master[Days_in_Month],Expense_master[Month_Key],Daily_Data[[#This Row],[Month_key]])</f>
        <v>2258.0645161290322</v>
      </c>
      <c r="M231" s="10">
        <f>Daily_Data[[#This Row],[Rooms_Occupied]] * (SUMIFS(Expense_master[Housekeeping_Laundy],Expense_master[Month_Key],Daily_Data[[#This Row],[Month_key]]) / SUMIFS(Occupancy_table[Monthly_rooms_Occupied],Occupancy_table[Month_Key],Daily_Data[[#This Row],[Month_key]]))</f>
        <v>355.02958579881658</v>
      </c>
      <c r="N2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1740.3162435579309</v>
      </c>
      <c r="O231" s="10">
        <f>SUMIFS(Expense_master[Monthly_Maintenance],Expense_master[Month_Key],Daily_Data[[#This Row],[Month_key]]) / SUMIFS(Expense_master[Days_in_Month],Expense_master[Month_Key], Daily_Data[[#This Row],[Month_key]])</f>
        <v>645.16129032258061</v>
      </c>
      <c r="P231" s="10">
        <f xml:space="preserve"> Daily_Data[[#This Row],[OTA Commision]] + Daily_Data[[#This Row],[Daily_Rent]]+Daily_Data[[#This Row],[Daily_Staff]]+Daily_Data[[#This Row],[Daily_HK]]+Daily_Data[[#This Row],[Daily_Electricity]] + Daily_Data[[#This Row],[Daily Maintenance]]</f>
        <v>15727.485184195457</v>
      </c>
      <c r="Q231" s="10">
        <f>Daily_Data[[#This Row],[Total_Sales]]-Daily_Data[[#This Row],[Total_Daily_Expense]]</f>
        <v>2248.5148158045431</v>
      </c>
      <c r="R231" s="10">
        <f>Daily_Data[[#This Row],[Total_Sales]]/Daily_Data[[#This Row],[Rooms_Occupied]]</f>
        <v>1498</v>
      </c>
      <c r="S231" s="10">
        <f>Daily_Data[[#This Row],[Total_Sales]] / Daily_Data[[#This Row],[Max_rooms]]</f>
        <v>1284</v>
      </c>
    </row>
    <row r="232" spans="1:19" x14ac:dyDescent="0.25">
      <c r="A232" s="6">
        <v>45157</v>
      </c>
      <c r="B232" s="20">
        <f>DATE(YEAR(Daily_Data[[#This Row],[Date]]), MONTH(Daily_Data[[#This Row],[Date]]), 1)</f>
        <v>45139</v>
      </c>
      <c r="C232" s="20" t="str">
        <f>TEXT(Daily_Data[[#This Row],[Month_key]],"mmmm")</f>
        <v>August</v>
      </c>
      <c r="D232" s="20" t="str">
        <f>TEXT(Daily_Data[[#This Row],[Month_key]],"yyyy")</f>
        <v>2023</v>
      </c>
      <c r="E232" s="7">
        <v>12</v>
      </c>
      <c r="F232" s="7">
        <v>14</v>
      </c>
      <c r="G232" s="8">
        <f>Daily_Data[[#This Row],[Rooms_Occupied]]/F232</f>
        <v>0.8571428571428571</v>
      </c>
      <c r="H232" s="7">
        <v>1902</v>
      </c>
      <c r="I232" s="7">
        <f>Daily_Data[[#This Row],[Room_rate]]*Daily_Data[[#This Row],[Rooms_Occupied]]</f>
        <v>22824</v>
      </c>
      <c r="J232" s="10">
        <f>Daily_Data[[#This Row],[Total_Sales]] * 0.22</f>
        <v>5021.28</v>
      </c>
      <c r="K232" s="10">
        <f>INDEX(Expense_master[Monthly_Rent],MATCH(Daily_Data[[#This Row],[Month_key]],Expense_master[Month_Key],0)) / INDEX(Expense_master[Days_in_Month],MATCH(Daily_Data[[#This Row],[Month_key]],Expense_master[Month_Key],0))</f>
        <v>6774.1935483870966</v>
      </c>
      <c r="L232" s="10">
        <f>SUMIFS(Expense_master[Staff_Salary],Expense_master[Month_Key],Daily_Data[[#This Row],[Month_key]]) / SUMIFS(Expense_master[Days_in_Month],Expense_master[Month_Key],Daily_Data[[#This Row],[Month_key]])</f>
        <v>2258.0645161290322</v>
      </c>
      <c r="M232" s="10">
        <f>Daily_Data[[#This Row],[Rooms_Occupied]] * (SUMIFS(Expense_master[Housekeeping_Laundy],Expense_master[Month_Key],Daily_Data[[#This Row],[Month_key]]) / SUMIFS(Occupancy_table[Monthly_rooms_Occupied],Occupancy_table[Month_Key],Daily_Data[[#This Row],[Month_key]]))</f>
        <v>355.02958579881658</v>
      </c>
      <c r="N2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1740.3162435579309</v>
      </c>
      <c r="O232" s="10">
        <f>SUMIFS(Expense_master[Monthly_Maintenance],Expense_master[Month_Key],Daily_Data[[#This Row],[Month_key]]) / SUMIFS(Expense_master[Days_in_Month],Expense_master[Month_Key], Daily_Data[[#This Row],[Month_key]])</f>
        <v>645.16129032258061</v>
      </c>
      <c r="P232" s="10">
        <f xml:space="preserve"> Daily_Data[[#This Row],[OTA Commision]] + Daily_Data[[#This Row],[Daily_Rent]]+Daily_Data[[#This Row],[Daily_Staff]]+Daily_Data[[#This Row],[Daily_HK]]+Daily_Data[[#This Row],[Daily_Electricity]] + Daily_Data[[#This Row],[Daily Maintenance]]</f>
        <v>16794.045184195456</v>
      </c>
      <c r="Q232" s="10">
        <f>Daily_Data[[#This Row],[Total_Sales]]-Daily_Data[[#This Row],[Total_Daily_Expense]]</f>
        <v>6029.9548158045436</v>
      </c>
      <c r="R232" s="10">
        <f>Daily_Data[[#This Row],[Total_Sales]]/Daily_Data[[#This Row],[Rooms_Occupied]]</f>
        <v>1902</v>
      </c>
      <c r="S232" s="10">
        <f>Daily_Data[[#This Row],[Total_Sales]] / Daily_Data[[#This Row],[Max_rooms]]</f>
        <v>1630.2857142857142</v>
      </c>
    </row>
    <row r="233" spans="1:19" x14ac:dyDescent="0.25">
      <c r="A233" s="6">
        <v>45158</v>
      </c>
      <c r="B233" s="20">
        <f>DATE(YEAR(Daily_Data[[#This Row],[Date]]), MONTH(Daily_Data[[#This Row],[Date]]), 1)</f>
        <v>45139</v>
      </c>
      <c r="C233" s="20" t="str">
        <f>TEXT(Daily_Data[[#This Row],[Month_key]],"mmmm")</f>
        <v>August</v>
      </c>
      <c r="D233" s="20" t="str">
        <f>TEXT(Daily_Data[[#This Row],[Month_key]],"yyyy")</f>
        <v>2023</v>
      </c>
      <c r="E233" s="7">
        <v>12</v>
      </c>
      <c r="F233" s="7">
        <v>14</v>
      </c>
      <c r="G233" s="8">
        <f>Daily_Data[[#This Row],[Rooms_Occupied]]/F233</f>
        <v>0.8571428571428571</v>
      </c>
      <c r="H233" s="7">
        <v>1556</v>
      </c>
      <c r="I233" s="7">
        <f>Daily_Data[[#This Row],[Room_rate]]*Daily_Data[[#This Row],[Rooms_Occupied]]</f>
        <v>18672</v>
      </c>
      <c r="J233" s="10">
        <f>Daily_Data[[#This Row],[Total_Sales]] * 0.22</f>
        <v>4107.84</v>
      </c>
      <c r="K233" s="10">
        <f>INDEX(Expense_master[Monthly_Rent],MATCH(Daily_Data[[#This Row],[Month_key]],Expense_master[Month_Key],0)) / INDEX(Expense_master[Days_in_Month],MATCH(Daily_Data[[#This Row],[Month_key]],Expense_master[Month_Key],0))</f>
        <v>6774.1935483870966</v>
      </c>
      <c r="L233" s="10">
        <f>SUMIFS(Expense_master[Staff_Salary],Expense_master[Month_Key],Daily_Data[[#This Row],[Month_key]]) / SUMIFS(Expense_master[Days_in_Month],Expense_master[Month_Key],Daily_Data[[#This Row],[Month_key]])</f>
        <v>2258.0645161290322</v>
      </c>
      <c r="M233" s="10">
        <f>Daily_Data[[#This Row],[Rooms_Occupied]] * (SUMIFS(Expense_master[Housekeeping_Laundy],Expense_master[Month_Key],Daily_Data[[#This Row],[Month_key]]) / SUMIFS(Occupancy_table[Monthly_rooms_Occupied],Occupancy_table[Month_Key],Daily_Data[[#This Row],[Month_key]]))</f>
        <v>355.02958579881658</v>
      </c>
      <c r="N2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1740.3162435579309</v>
      </c>
      <c r="O233" s="10">
        <f>SUMIFS(Expense_master[Monthly_Maintenance],Expense_master[Month_Key],Daily_Data[[#This Row],[Month_key]]) / SUMIFS(Expense_master[Days_in_Month],Expense_master[Month_Key], Daily_Data[[#This Row],[Month_key]])</f>
        <v>645.16129032258061</v>
      </c>
      <c r="P233" s="10">
        <f xml:space="preserve"> Daily_Data[[#This Row],[OTA Commision]] + Daily_Data[[#This Row],[Daily_Rent]]+Daily_Data[[#This Row],[Daily_Staff]]+Daily_Data[[#This Row],[Daily_HK]]+Daily_Data[[#This Row],[Daily_Electricity]] + Daily_Data[[#This Row],[Daily Maintenance]]</f>
        <v>15880.605184195458</v>
      </c>
      <c r="Q233" s="10">
        <f>Daily_Data[[#This Row],[Total_Sales]]-Daily_Data[[#This Row],[Total_Daily_Expense]]</f>
        <v>2791.3948158045423</v>
      </c>
      <c r="R233" s="10">
        <f>Daily_Data[[#This Row],[Total_Sales]]/Daily_Data[[#This Row],[Rooms_Occupied]]</f>
        <v>1556</v>
      </c>
      <c r="S233" s="10">
        <f>Daily_Data[[#This Row],[Total_Sales]] / Daily_Data[[#This Row],[Max_rooms]]</f>
        <v>1333.7142857142858</v>
      </c>
    </row>
    <row r="234" spans="1:19" x14ac:dyDescent="0.25">
      <c r="A234" s="6">
        <v>45159</v>
      </c>
      <c r="B234" s="20">
        <f>DATE(YEAR(Daily_Data[[#This Row],[Date]]), MONTH(Daily_Data[[#This Row],[Date]]), 1)</f>
        <v>45139</v>
      </c>
      <c r="C234" s="20" t="str">
        <f>TEXT(Daily_Data[[#This Row],[Month_key]],"mmmm")</f>
        <v>August</v>
      </c>
      <c r="D234" s="20" t="str">
        <f>TEXT(Daily_Data[[#This Row],[Month_key]],"yyyy")</f>
        <v>2023</v>
      </c>
      <c r="E234" s="7">
        <v>9</v>
      </c>
      <c r="F234" s="7">
        <v>14</v>
      </c>
      <c r="G234" s="8">
        <f>Daily_Data[[#This Row],[Rooms_Occupied]]/F234</f>
        <v>0.6428571428571429</v>
      </c>
      <c r="H234" s="7">
        <v>1167</v>
      </c>
      <c r="I234" s="7">
        <f>Daily_Data[[#This Row],[Room_rate]]*Daily_Data[[#This Row],[Rooms_Occupied]]</f>
        <v>10503</v>
      </c>
      <c r="J234" s="10">
        <f>Daily_Data[[#This Row],[Total_Sales]] * 0.22</f>
        <v>2310.66</v>
      </c>
      <c r="K234" s="10">
        <f>INDEX(Expense_master[Monthly_Rent],MATCH(Daily_Data[[#This Row],[Month_key]],Expense_master[Month_Key],0)) / INDEX(Expense_master[Days_in_Month],MATCH(Daily_Data[[#This Row],[Month_key]],Expense_master[Month_Key],0))</f>
        <v>6774.1935483870966</v>
      </c>
      <c r="L234" s="10">
        <f>SUMIFS(Expense_master[Staff_Salary],Expense_master[Month_Key],Daily_Data[[#This Row],[Month_key]]) / SUMIFS(Expense_master[Days_in_Month],Expense_master[Month_Key],Daily_Data[[#This Row],[Month_key]])</f>
        <v>2258.0645161290322</v>
      </c>
      <c r="M234" s="10">
        <f>Daily_Data[[#This Row],[Rooms_Occupied]] * (SUMIFS(Expense_master[Housekeeping_Laundy],Expense_master[Month_Key],Daily_Data[[#This Row],[Month_key]]) / SUMIFS(Occupancy_table[Monthly_rooms_Occupied],Occupancy_table[Month_Key],Daily_Data[[#This Row],[Month_key]]))</f>
        <v>266.27218934911241</v>
      </c>
      <c r="N2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1469.362989120061</v>
      </c>
      <c r="O234" s="10">
        <f>SUMIFS(Expense_master[Monthly_Maintenance],Expense_master[Month_Key],Daily_Data[[#This Row],[Month_key]]) / SUMIFS(Expense_master[Days_in_Month],Expense_master[Month_Key], Daily_Data[[#This Row],[Month_key]])</f>
        <v>645.16129032258061</v>
      </c>
      <c r="P234" s="10">
        <f xml:space="preserve"> Daily_Data[[#This Row],[OTA Commision]] + Daily_Data[[#This Row],[Daily_Rent]]+Daily_Data[[#This Row],[Daily_Staff]]+Daily_Data[[#This Row],[Daily_HK]]+Daily_Data[[#This Row],[Daily_Electricity]] + Daily_Data[[#This Row],[Daily Maintenance]]</f>
        <v>13723.714533307884</v>
      </c>
      <c r="Q234" s="10">
        <f>Daily_Data[[#This Row],[Total_Sales]]-Daily_Data[[#This Row],[Total_Daily_Expense]]</f>
        <v>-3220.7145333078843</v>
      </c>
      <c r="R234" s="10">
        <f>Daily_Data[[#This Row],[Total_Sales]]/Daily_Data[[#This Row],[Rooms_Occupied]]</f>
        <v>1167</v>
      </c>
      <c r="S234" s="10">
        <f>Daily_Data[[#This Row],[Total_Sales]] / Daily_Data[[#This Row],[Max_rooms]]</f>
        <v>750.21428571428567</v>
      </c>
    </row>
    <row r="235" spans="1:19" x14ac:dyDescent="0.25">
      <c r="A235" s="6">
        <v>45160</v>
      </c>
      <c r="B235" s="20">
        <f>DATE(YEAR(Daily_Data[[#This Row],[Date]]), MONTH(Daily_Data[[#This Row],[Date]]), 1)</f>
        <v>45139</v>
      </c>
      <c r="C235" s="20" t="str">
        <f>TEXT(Daily_Data[[#This Row],[Month_key]],"mmmm")</f>
        <v>August</v>
      </c>
      <c r="D235" s="20" t="str">
        <f>TEXT(Daily_Data[[#This Row],[Month_key]],"yyyy")</f>
        <v>2023</v>
      </c>
      <c r="E235" s="7">
        <v>13</v>
      </c>
      <c r="F235" s="7">
        <v>14</v>
      </c>
      <c r="G235" s="8">
        <f>Daily_Data[[#This Row],[Rooms_Occupied]]/F235</f>
        <v>0.9285714285714286</v>
      </c>
      <c r="H235" s="7">
        <v>1875</v>
      </c>
      <c r="I235" s="7">
        <f>Daily_Data[[#This Row],[Room_rate]]*Daily_Data[[#This Row],[Rooms_Occupied]]</f>
        <v>24375</v>
      </c>
      <c r="J235" s="10">
        <f>Daily_Data[[#This Row],[Total_Sales]] * 0.22</f>
        <v>5362.5</v>
      </c>
      <c r="K235" s="10">
        <f>INDEX(Expense_master[Monthly_Rent],MATCH(Daily_Data[[#This Row],[Month_key]],Expense_master[Month_Key],0)) / INDEX(Expense_master[Days_in_Month],MATCH(Daily_Data[[#This Row],[Month_key]],Expense_master[Month_Key],0))</f>
        <v>6774.1935483870966</v>
      </c>
      <c r="L235" s="10">
        <f>SUMIFS(Expense_master[Staff_Salary],Expense_master[Month_Key],Daily_Data[[#This Row],[Month_key]]) / SUMIFS(Expense_master[Days_in_Month],Expense_master[Month_Key],Daily_Data[[#This Row],[Month_key]])</f>
        <v>2258.0645161290322</v>
      </c>
      <c r="M235" s="10">
        <f>Daily_Data[[#This Row],[Rooms_Occupied]] * (SUMIFS(Expense_master[Housekeeping_Laundy],Expense_master[Month_Key],Daily_Data[[#This Row],[Month_key]]) / SUMIFS(Occupancy_table[Monthly_rooms_Occupied],Occupancy_table[Month_Key],Daily_Data[[#This Row],[Month_key]]))</f>
        <v>384.61538461538464</v>
      </c>
      <c r="N2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1830.6339950372208</v>
      </c>
      <c r="O235" s="10">
        <f>SUMIFS(Expense_master[Monthly_Maintenance],Expense_master[Month_Key],Daily_Data[[#This Row],[Month_key]]) / SUMIFS(Expense_master[Days_in_Month],Expense_master[Month_Key], Daily_Data[[#This Row],[Month_key]])</f>
        <v>645.16129032258061</v>
      </c>
      <c r="P235" s="10">
        <f xml:space="preserve"> Daily_Data[[#This Row],[OTA Commision]] + Daily_Data[[#This Row],[Daily_Rent]]+Daily_Data[[#This Row],[Daily_Staff]]+Daily_Data[[#This Row],[Daily_HK]]+Daily_Data[[#This Row],[Daily_Electricity]] + Daily_Data[[#This Row],[Daily Maintenance]]</f>
        <v>17255.168734491315</v>
      </c>
      <c r="Q235" s="10">
        <f>Daily_Data[[#This Row],[Total_Sales]]-Daily_Data[[#This Row],[Total_Daily_Expense]]</f>
        <v>7119.8312655086847</v>
      </c>
      <c r="R235" s="10">
        <f>Daily_Data[[#This Row],[Total_Sales]]/Daily_Data[[#This Row],[Rooms_Occupied]]</f>
        <v>1875</v>
      </c>
      <c r="S235" s="10">
        <f>Daily_Data[[#This Row],[Total_Sales]] / Daily_Data[[#This Row],[Max_rooms]]</f>
        <v>1741.0714285714287</v>
      </c>
    </row>
    <row r="236" spans="1:19" x14ac:dyDescent="0.25">
      <c r="A236" s="6">
        <v>45161</v>
      </c>
      <c r="B236" s="20">
        <f>DATE(YEAR(Daily_Data[[#This Row],[Date]]), MONTH(Daily_Data[[#This Row],[Date]]), 1)</f>
        <v>45139</v>
      </c>
      <c r="C236" s="20" t="str">
        <f>TEXT(Daily_Data[[#This Row],[Month_key]],"mmmm")</f>
        <v>August</v>
      </c>
      <c r="D236" s="20" t="str">
        <f>TEXT(Daily_Data[[#This Row],[Month_key]],"yyyy")</f>
        <v>2023</v>
      </c>
      <c r="E236" s="7">
        <v>8</v>
      </c>
      <c r="F236" s="7">
        <v>14</v>
      </c>
      <c r="G236" s="8">
        <f>Daily_Data[[#This Row],[Rooms_Occupied]]/F236</f>
        <v>0.5714285714285714</v>
      </c>
      <c r="H236" s="7">
        <v>1208</v>
      </c>
      <c r="I236" s="7">
        <f>Daily_Data[[#This Row],[Room_rate]]*Daily_Data[[#This Row],[Rooms_Occupied]]</f>
        <v>9664</v>
      </c>
      <c r="J236" s="10">
        <f>Daily_Data[[#This Row],[Total_Sales]] * 0.22</f>
        <v>2126.08</v>
      </c>
      <c r="K236" s="10">
        <f>INDEX(Expense_master[Monthly_Rent],MATCH(Daily_Data[[#This Row],[Month_key]],Expense_master[Month_Key],0)) / INDEX(Expense_master[Days_in_Month],MATCH(Daily_Data[[#This Row],[Month_key]],Expense_master[Month_Key],0))</f>
        <v>6774.1935483870966</v>
      </c>
      <c r="L236" s="10">
        <f>SUMIFS(Expense_master[Staff_Salary],Expense_master[Month_Key],Daily_Data[[#This Row],[Month_key]]) / SUMIFS(Expense_master[Days_in_Month],Expense_master[Month_Key],Daily_Data[[#This Row],[Month_key]])</f>
        <v>2258.0645161290322</v>
      </c>
      <c r="M236" s="10">
        <f>Daily_Data[[#This Row],[Rooms_Occupied]] * (SUMIFS(Expense_master[Housekeeping_Laundy],Expense_master[Month_Key],Daily_Data[[#This Row],[Month_key]]) / SUMIFS(Occupancy_table[Monthly_rooms_Occupied],Occupancy_table[Month_Key],Daily_Data[[#This Row],[Month_key]]))</f>
        <v>236.68639053254438</v>
      </c>
      <c r="N2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1379.0452376407711</v>
      </c>
      <c r="O236" s="10">
        <f>SUMIFS(Expense_master[Monthly_Maintenance],Expense_master[Month_Key],Daily_Data[[#This Row],[Month_key]]) / SUMIFS(Expense_master[Days_in_Month],Expense_master[Month_Key], Daily_Data[[#This Row],[Month_key]])</f>
        <v>645.16129032258061</v>
      </c>
      <c r="P236" s="10">
        <f xml:space="preserve"> Daily_Data[[#This Row],[OTA Commision]] + Daily_Data[[#This Row],[Daily_Rent]]+Daily_Data[[#This Row],[Daily_Staff]]+Daily_Data[[#This Row],[Daily_HK]]+Daily_Data[[#This Row],[Daily_Electricity]] + Daily_Data[[#This Row],[Daily Maintenance]]</f>
        <v>13419.230983012027</v>
      </c>
      <c r="Q236" s="10">
        <f>Daily_Data[[#This Row],[Total_Sales]]-Daily_Data[[#This Row],[Total_Daily_Expense]]</f>
        <v>-3755.2309830120266</v>
      </c>
      <c r="R236" s="10">
        <f>Daily_Data[[#This Row],[Total_Sales]]/Daily_Data[[#This Row],[Rooms_Occupied]]</f>
        <v>1208</v>
      </c>
      <c r="S236" s="10">
        <f>Daily_Data[[#This Row],[Total_Sales]] / Daily_Data[[#This Row],[Max_rooms]]</f>
        <v>690.28571428571433</v>
      </c>
    </row>
    <row r="237" spans="1:19" x14ac:dyDescent="0.25">
      <c r="A237" s="6">
        <v>45162</v>
      </c>
      <c r="B237" s="20">
        <f>DATE(YEAR(Daily_Data[[#This Row],[Date]]), MONTH(Daily_Data[[#This Row],[Date]]), 1)</f>
        <v>45139</v>
      </c>
      <c r="C237" s="20" t="str">
        <f>TEXT(Daily_Data[[#This Row],[Month_key]],"mmmm")</f>
        <v>August</v>
      </c>
      <c r="D237" s="20" t="str">
        <f>TEXT(Daily_Data[[#This Row],[Month_key]],"yyyy")</f>
        <v>2023</v>
      </c>
      <c r="E237" s="7">
        <v>10</v>
      </c>
      <c r="F237" s="7">
        <v>14</v>
      </c>
      <c r="G237" s="8">
        <f>Daily_Data[[#This Row],[Rooms_Occupied]]/F237</f>
        <v>0.7142857142857143</v>
      </c>
      <c r="H237" s="7">
        <v>1179</v>
      </c>
      <c r="I237" s="7">
        <f>Daily_Data[[#This Row],[Room_rate]]*Daily_Data[[#This Row],[Rooms_Occupied]]</f>
        <v>11790</v>
      </c>
      <c r="J237" s="10">
        <f>Daily_Data[[#This Row],[Total_Sales]] * 0.22</f>
        <v>2593.8000000000002</v>
      </c>
      <c r="K237" s="10">
        <f>INDEX(Expense_master[Monthly_Rent],MATCH(Daily_Data[[#This Row],[Month_key]],Expense_master[Month_Key],0)) / INDEX(Expense_master[Days_in_Month],MATCH(Daily_Data[[#This Row],[Month_key]],Expense_master[Month_Key],0))</f>
        <v>6774.1935483870966</v>
      </c>
      <c r="L237" s="10">
        <f>SUMIFS(Expense_master[Staff_Salary],Expense_master[Month_Key],Daily_Data[[#This Row],[Month_key]]) / SUMIFS(Expense_master[Days_in_Month],Expense_master[Month_Key],Daily_Data[[#This Row],[Month_key]])</f>
        <v>2258.0645161290322</v>
      </c>
      <c r="M237" s="10">
        <f>Daily_Data[[#This Row],[Rooms_Occupied]] * (SUMIFS(Expense_master[Housekeeping_Laundy],Expense_master[Month_Key],Daily_Data[[#This Row],[Month_key]]) / SUMIFS(Occupancy_table[Monthly_rooms_Occupied],Occupancy_table[Month_Key],Daily_Data[[#This Row],[Month_key]]))</f>
        <v>295.85798816568047</v>
      </c>
      <c r="N2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1559.6807405993509</v>
      </c>
      <c r="O237" s="10">
        <f>SUMIFS(Expense_master[Monthly_Maintenance],Expense_master[Month_Key],Daily_Data[[#This Row],[Month_key]]) / SUMIFS(Expense_master[Days_in_Month],Expense_master[Month_Key], Daily_Data[[#This Row],[Month_key]])</f>
        <v>645.16129032258061</v>
      </c>
      <c r="P237" s="10">
        <f xml:space="preserve"> Daily_Data[[#This Row],[OTA Commision]] + Daily_Data[[#This Row],[Daily_Rent]]+Daily_Data[[#This Row],[Daily_Staff]]+Daily_Data[[#This Row],[Daily_HK]]+Daily_Data[[#This Row],[Daily_Electricity]] + Daily_Data[[#This Row],[Daily Maintenance]]</f>
        <v>14126.758083603743</v>
      </c>
      <c r="Q237" s="10">
        <f>Daily_Data[[#This Row],[Total_Sales]]-Daily_Data[[#This Row],[Total_Daily_Expense]]</f>
        <v>-2336.7580836037432</v>
      </c>
      <c r="R237" s="10">
        <f>Daily_Data[[#This Row],[Total_Sales]]/Daily_Data[[#This Row],[Rooms_Occupied]]</f>
        <v>1179</v>
      </c>
      <c r="S237" s="10">
        <f>Daily_Data[[#This Row],[Total_Sales]] / Daily_Data[[#This Row],[Max_rooms]]</f>
        <v>842.14285714285711</v>
      </c>
    </row>
    <row r="238" spans="1:19" x14ac:dyDescent="0.25">
      <c r="A238" s="6">
        <v>45163</v>
      </c>
      <c r="B238" s="20">
        <f>DATE(YEAR(Daily_Data[[#This Row],[Date]]), MONTH(Daily_Data[[#This Row],[Date]]), 1)</f>
        <v>45139</v>
      </c>
      <c r="C238" s="20" t="str">
        <f>TEXT(Daily_Data[[#This Row],[Month_key]],"mmmm")</f>
        <v>August</v>
      </c>
      <c r="D238" s="20" t="str">
        <f>TEXT(Daily_Data[[#This Row],[Month_key]],"yyyy")</f>
        <v>2023</v>
      </c>
      <c r="E238" s="7">
        <v>11</v>
      </c>
      <c r="F238" s="7">
        <v>14</v>
      </c>
      <c r="G238" s="8">
        <f>Daily_Data[[#This Row],[Rooms_Occupied]]/F238</f>
        <v>0.7857142857142857</v>
      </c>
      <c r="H238" s="7">
        <v>1817</v>
      </c>
      <c r="I238" s="7">
        <f>Daily_Data[[#This Row],[Room_rate]]*Daily_Data[[#This Row],[Rooms_Occupied]]</f>
        <v>19987</v>
      </c>
      <c r="J238" s="10">
        <f>Daily_Data[[#This Row],[Total_Sales]] * 0.22</f>
        <v>4397.1400000000003</v>
      </c>
      <c r="K238" s="10">
        <f>INDEX(Expense_master[Monthly_Rent],MATCH(Daily_Data[[#This Row],[Month_key]],Expense_master[Month_Key],0)) / INDEX(Expense_master[Days_in_Month],MATCH(Daily_Data[[#This Row],[Month_key]],Expense_master[Month_Key],0))</f>
        <v>6774.1935483870966</v>
      </c>
      <c r="L238" s="10">
        <f>SUMIFS(Expense_master[Staff_Salary],Expense_master[Month_Key],Daily_Data[[#This Row],[Month_key]]) / SUMIFS(Expense_master[Days_in_Month],Expense_master[Month_Key],Daily_Data[[#This Row],[Month_key]])</f>
        <v>2258.0645161290322</v>
      </c>
      <c r="M238" s="10">
        <f>Daily_Data[[#This Row],[Rooms_Occupied]] * (SUMIFS(Expense_master[Housekeeping_Laundy],Expense_master[Month_Key],Daily_Data[[#This Row],[Month_key]]) / SUMIFS(Occupancy_table[Monthly_rooms_Occupied],Occupancy_table[Month_Key],Daily_Data[[#This Row],[Month_key]]))</f>
        <v>325.44378698224853</v>
      </c>
      <c r="N2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1649.998492078641</v>
      </c>
      <c r="O238" s="10">
        <f>SUMIFS(Expense_master[Monthly_Maintenance],Expense_master[Month_Key],Daily_Data[[#This Row],[Month_key]]) / SUMIFS(Expense_master[Days_in_Month],Expense_master[Month_Key], Daily_Data[[#This Row],[Month_key]])</f>
        <v>645.16129032258061</v>
      </c>
      <c r="P238" s="10">
        <f xml:space="preserve"> Daily_Data[[#This Row],[OTA Commision]] + Daily_Data[[#This Row],[Daily_Rent]]+Daily_Data[[#This Row],[Daily_Staff]]+Daily_Data[[#This Row],[Daily_HK]]+Daily_Data[[#This Row],[Daily_Electricity]] + Daily_Data[[#This Row],[Daily Maintenance]]</f>
        <v>16050.001633899601</v>
      </c>
      <c r="Q238" s="10">
        <f>Daily_Data[[#This Row],[Total_Sales]]-Daily_Data[[#This Row],[Total_Daily_Expense]]</f>
        <v>3936.9983661003989</v>
      </c>
      <c r="R238" s="10">
        <f>Daily_Data[[#This Row],[Total_Sales]]/Daily_Data[[#This Row],[Rooms_Occupied]]</f>
        <v>1817</v>
      </c>
      <c r="S238" s="10">
        <f>Daily_Data[[#This Row],[Total_Sales]] / Daily_Data[[#This Row],[Max_rooms]]</f>
        <v>1427.6428571428571</v>
      </c>
    </row>
    <row r="239" spans="1:19" x14ac:dyDescent="0.25">
      <c r="A239" s="6">
        <v>45164</v>
      </c>
      <c r="B239" s="20">
        <f>DATE(YEAR(Daily_Data[[#This Row],[Date]]), MONTH(Daily_Data[[#This Row],[Date]]), 1)</f>
        <v>45139</v>
      </c>
      <c r="C239" s="20" t="str">
        <f>TEXT(Daily_Data[[#This Row],[Month_key]],"mmmm")</f>
        <v>August</v>
      </c>
      <c r="D239" s="20" t="str">
        <f>TEXT(Daily_Data[[#This Row],[Month_key]],"yyyy")</f>
        <v>2023</v>
      </c>
      <c r="E239" s="7">
        <v>9</v>
      </c>
      <c r="F239" s="7">
        <v>14</v>
      </c>
      <c r="G239" s="8">
        <f>Daily_Data[[#This Row],[Rooms_Occupied]]/F239</f>
        <v>0.6428571428571429</v>
      </c>
      <c r="H239" s="7">
        <v>1139</v>
      </c>
      <c r="I239" s="7">
        <f>Daily_Data[[#This Row],[Room_rate]]*Daily_Data[[#This Row],[Rooms_Occupied]]</f>
        <v>10251</v>
      </c>
      <c r="J239" s="10">
        <f>Daily_Data[[#This Row],[Total_Sales]] * 0.22</f>
        <v>2255.2199999999998</v>
      </c>
      <c r="K239" s="10">
        <f>INDEX(Expense_master[Monthly_Rent],MATCH(Daily_Data[[#This Row],[Month_key]],Expense_master[Month_Key],0)) / INDEX(Expense_master[Days_in_Month],MATCH(Daily_Data[[#This Row],[Month_key]],Expense_master[Month_Key],0))</f>
        <v>6774.1935483870966</v>
      </c>
      <c r="L239" s="10">
        <f>SUMIFS(Expense_master[Staff_Salary],Expense_master[Month_Key],Daily_Data[[#This Row],[Month_key]]) / SUMIFS(Expense_master[Days_in_Month],Expense_master[Month_Key],Daily_Data[[#This Row],[Month_key]])</f>
        <v>2258.0645161290322</v>
      </c>
      <c r="M239" s="10">
        <f>Daily_Data[[#This Row],[Rooms_Occupied]] * (SUMIFS(Expense_master[Housekeeping_Laundy],Expense_master[Month_Key],Daily_Data[[#This Row],[Month_key]]) / SUMIFS(Occupancy_table[Monthly_rooms_Occupied],Occupancy_table[Month_Key],Daily_Data[[#This Row],[Month_key]]))</f>
        <v>266.27218934911241</v>
      </c>
      <c r="N2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1469.362989120061</v>
      </c>
      <c r="O239" s="10">
        <f>SUMIFS(Expense_master[Monthly_Maintenance],Expense_master[Month_Key],Daily_Data[[#This Row],[Month_key]]) / SUMIFS(Expense_master[Days_in_Month],Expense_master[Month_Key], Daily_Data[[#This Row],[Month_key]])</f>
        <v>645.16129032258061</v>
      </c>
      <c r="P239" s="10">
        <f xml:space="preserve"> Daily_Data[[#This Row],[OTA Commision]] + Daily_Data[[#This Row],[Daily_Rent]]+Daily_Data[[#This Row],[Daily_Staff]]+Daily_Data[[#This Row],[Daily_HK]]+Daily_Data[[#This Row],[Daily_Electricity]] + Daily_Data[[#This Row],[Daily Maintenance]]</f>
        <v>13668.274533307884</v>
      </c>
      <c r="Q239" s="10">
        <f>Daily_Data[[#This Row],[Total_Sales]]-Daily_Data[[#This Row],[Total_Daily_Expense]]</f>
        <v>-3417.2745333078838</v>
      </c>
      <c r="R239" s="10">
        <f>Daily_Data[[#This Row],[Total_Sales]]/Daily_Data[[#This Row],[Rooms_Occupied]]</f>
        <v>1139</v>
      </c>
      <c r="S239" s="10">
        <f>Daily_Data[[#This Row],[Total_Sales]] / Daily_Data[[#This Row],[Max_rooms]]</f>
        <v>732.21428571428567</v>
      </c>
    </row>
    <row r="240" spans="1:19" x14ac:dyDescent="0.25">
      <c r="A240" s="6">
        <v>45165</v>
      </c>
      <c r="B240" s="20">
        <f>DATE(YEAR(Daily_Data[[#This Row],[Date]]), MONTH(Daily_Data[[#This Row],[Date]]), 1)</f>
        <v>45139</v>
      </c>
      <c r="C240" s="20" t="str">
        <f>TEXT(Daily_Data[[#This Row],[Month_key]],"mmmm")</f>
        <v>August</v>
      </c>
      <c r="D240" s="20" t="str">
        <f>TEXT(Daily_Data[[#This Row],[Month_key]],"yyyy")</f>
        <v>2023</v>
      </c>
      <c r="E240" s="7">
        <v>14</v>
      </c>
      <c r="F240" s="7">
        <v>14</v>
      </c>
      <c r="G240" s="8">
        <f>Daily_Data[[#This Row],[Rooms_Occupied]]/F240</f>
        <v>1</v>
      </c>
      <c r="H240" s="7">
        <v>1496</v>
      </c>
      <c r="I240" s="7">
        <f>Daily_Data[[#This Row],[Room_rate]]*Daily_Data[[#This Row],[Rooms_Occupied]]</f>
        <v>20944</v>
      </c>
      <c r="J240" s="10">
        <f>Daily_Data[[#This Row],[Total_Sales]] * 0.22</f>
        <v>4607.68</v>
      </c>
      <c r="K240" s="10">
        <f>INDEX(Expense_master[Monthly_Rent],MATCH(Daily_Data[[#This Row],[Month_key]],Expense_master[Month_Key],0)) / INDEX(Expense_master[Days_in_Month],MATCH(Daily_Data[[#This Row],[Month_key]],Expense_master[Month_Key],0))</f>
        <v>6774.1935483870966</v>
      </c>
      <c r="L240" s="10">
        <f>SUMIFS(Expense_master[Staff_Salary],Expense_master[Month_Key],Daily_Data[[#This Row],[Month_key]]) / SUMIFS(Expense_master[Days_in_Month],Expense_master[Month_Key],Daily_Data[[#This Row],[Month_key]])</f>
        <v>2258.0645161290322</v>
      </c>
      <c r="M240" s="10">
        <f>Daily_Data[[#This Row],[Rooms_Occupied]] * (SUMIFS(Expense_master[Housekeeping_Laundy],Expense_master[Month_Key],Daily_Data[[#This Row],[Month_key]]) / SUMIFS(Occupancy_table[Monthly_rooms_Occupied],Occupancy_table[Month_Key],Daily_Data[[#This Row],[Month_key]]))</f>
        <v>414.20118343195264</v>
      </c>
      <c r="N2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1920.9517465165109</v>
      </c>
      <c r="O240" s="10">
        <f>SUMIFS(Expense_master[Monthly_Maintenance],Expense_master[Month_Key],Daily_Data[[#This Row],[Month_key]]) / SUMIFS(Expense_master[Days_in_Month],Expense_master[Month_Key], Daily_Data[[#This Row],[Month_key]])</f>
        <v>645.16129032258061</v>
      </c>
      <c r="P240" s="10">
        <f xml:space="preserve"> Daily_Data[[#This Row],[OTA Commision]] + Daily_Data[[#This Row],[Daily_Rent]]+Daily_Data[[#This Row],[Daily_Staff]]+Daily_Data[[#This Row],[Daily_HK]]+Daily_Data[[#This Row],[Daily_Electricity]] + Daily_Data[[#This Row],[Daily Maintenance]]</f>
        <v>16620.252284787173</v>
      </c>
      <c r="Q240" s="10">
        <f>Daily_Data[[#This Row],[Total_Sales]]-Daily_Data[[#This Row],[Total_Daily_Expense]]</f>
        <v>4323.7477152128267</v>
      </c>
      <c r="R240" s="10">
        <f>Daily_Data[[#This Row],[Total_Sales]]/Daily_Data[[#This Row],[Rooms_Occupied]]</f>
        <v>1496</v>
      </c>
      <c r="S240" s="10">
        <f>Daily_Data[[#This Row],[Total_Sales]] / Daily_Data[[#This Row],[Max_rooms]]</f>
        <v>1496</v>
      </c>
    </row>
    <row r="241" spans="1:19" x14ac:dyDescent="0.25">
      <c r="A241" s="6">
        <v>45166</v>
      </c>
      <c r="B241" s="20">
        <f>DATE(YEAR(Daily_Data[[#This Row],[Date]]), MONTH(Daily_Data[[#This Row],[Date]]), 1)</f>
        <v>45139</v>
      </c>
      <c r="C241" s="20" t="str">
        <f>TEXT(Daily_Data[[#This Row],[Month_key]],"mmmm")</f>
        <v>August</v>
      </c>
      <c r="D241" s="20" t="str">
        <f>TEXT(Daily_Data[[#This Row],[Month_key]],"yyyy")</f>
        <v>2023</v>
      </c>
      <c r="E241" s="7">
        <v>11</v>
      </c>
      <c r="F241" s="7">
        <v>14</v>
      </c>
      <c r="G241" s="8">
        <f>Daily_Data[[#This Row],[Rooms_Occupied]]/F241</f>
        <v>0.7857142857142857</v>
      </c>
      <c r="H241" s="7">
        <v>1704</v>
      </c>
      <c r="I241" s="7">
        <f>Daily_Data[[#This Row],[Room_rate]]*Daily_Data[[#This Row],[Rooms_Occupied]]</f>
        <v>18744</v>
      </c>
      <c r="J241" s="10">
        <f>Daily_Data[[#This Row],[Total_Sales]] * 0.22</f>
        <v>4123.68</v>
      </c>
      <c r="K241" s="10">
        <f>INDEX(Expense_master[Monthly_Rent],MATCH(Daily_Data[[#This Row],[Month_key]],Expense_master[Month_Key],0)) / INDEX(Expense_master[Days_in_Month],MATCH(Daily_Data[[#This Row],[Month_key]],Expense_master[Month_Key],0))</f>
        <v>6774.1935483870966</v>
      </c>
      <c r="L241" s="10">
        <f>SUMIFS(Expense_master[Staff_Salary],Expense_master[Month_Key],Daily_Data[[#This Row],[Month_key]]) / SUMIFS(Expense_master[Days_in_Month],Expense_master[Month_Key],Daily_Data[[#This Row],[Month_key]])</f>
        <v>2258.0645161290322</v>
      </c>
      <c r="M241" s="10">
        <f>Daily_Data[[#This Row],[Rooms_Occupied]] * (SUMIFS(Expense_master[Housekeeping_Laundy],Expense_master[Month_Key],Daily_Data[[#This Row],[Month_key]]) / SUMIFS(Occupancy_table[Monthly_rooms_Occupied],Occupancy_table[Month_Key],Daily_Data[[#This Row],[Month_key]]))</f>
        <v>325.44378698224853</v>
      </c>
      <c r="N2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1649.998492078641</v>
      </c>
      <c r="O241" s="10">
        <f>SUMIFS(Expense_master[Monthly_Maintenance],Expense_master[Month_Key],Daily_Data[[#This Row],[Month_key]]) / SUMIFS(Expense_master[Days_in_Month],Expense_master[Month_Key], Daily_Data[[#This Row],[Month_key]])</f>
        <v>645.16129032258061</v>
      </c>
      <c r="P241" s="10">
        <f xml:space="preserve"> Daily_Data[[#This Row],[OTA Commision]] + Daily_Data[[#This Row],[Daily_Rent]]+Daily_Data[[#This Row],[Daily_Staff]]+Daily_Data[[#This Row],[Daily_HK]]+Daily_Data[[#This Row],[Daily_Electricity]] + Daily_Data[[#This Row],[Daily Maintenance]]</f>
        <v>15776.5416338996</v>
      </c>
      <c r="Q241" s="10">
        <f>Daily_Data[[#This Row],[Total_Sales]]-Daily_Data[[#This Row],[Total_Daily_Expense]]</f>
        <v>2967.4583661003999</v>
      </c>
      <c r="R241" s="10">
        <f>Daily_Data[[#This Row],[Total_Sales]]/Daily_Data[[#This Row],[Rooms_Occupied]]</f>
        <v>1704</v>
      </c>
      <c r="S241" s="10">
        <f>Daily_Data[[#This Row],[Total_Sales]] / Daily_Data[[#This Row],[Max_rooms]]</f>
        <v>1338.8571428571429</v>
      </c>
    </row>
    <row r="242" spans="1:19" x14ac:dyDescent="0.25">
      <c r="A242" s="6">
        <v>45167</v>
      </c>
      <c r="B242" s="20">
        <f>DATE(YEAR(Daily_Data[[#This Row],[Date]]), MONTH(Daily_Data[[#This Row],[Date]]), 1)</f>
        <v>45139</v>
      </c>
      <c r="C242" s="20" t="str">
        <f>TEXT(Daily_Data[[#This Row],[Month_key]],"mmmm")</f>
        <v>August</v>
      </c>
      <c r="D242" s="20" t="str">
        <f>TEXT(Daily_Data[[#This Row],[Month_key]],"yyyy")</f>
        <v>2023</v>
      </c>
      <c r="E242" s="7">
        <v>14</v>
      </c>
      <c r="F242" s="7">
        <v>14</v>
      </c>
      <c r="G242" s="8">
        <f>Daily_Data[[#This Row],[Rooms_Occupied]]/F242</f>
        <v>1</v>
      </c>
      <c r="H242" s="7">
        <v>1384</v>
      </c>
      <c r="I242" s="7">
        <f>Daily_Data[[#This Row],[Room_rate]]*Daily_Data[[#This Row],[Rooms_Occupied]]</f>
        <v>19376</v>
      </c>
      <c r="J242" s="10">
        <f>Daily_Data[[#This Row],[Total_Sales]] * 0.22</f>
        <v>4262.72</v>
      </c>
      <c r="K242" s="10">
        <f>INDEX(Expense_master[Monthly_Rent],MATCH(Daily_Data[[#This Row],[Month_key]],Expense_master[Month_Key],0)) / INDEX(Expense_master[Days_in_Month],MATCH(Daily_Data[[#This Row],[Month_key]],Expense_master[Month_Key],0))</f>
        <v>6774.1935483870966</v>
      </c>
      <c r="L242" s="10">
        <f>SUMIFS(Expense_master[Staff_Salary],Expense_master[Month_Key],Daily_Data[[#This Row],[Month_key]]) / SUMIFS(Expense_master[Days_in_Month],Expense_master[Month_Key],Daily_Data[[#This Row],[Month_key]])</f>
        <v>2258.0645161290322</v>
      </c>
      <c r="M242" s="10">
        <f>Daily_Data[[#This Row],[Rooms_Occupied]] * (SUMIFS(Expense_master[Housekeeping_Laundy],Expense_master[Month_Key],Daily_Data[[#This Row],[Month_key]]) / SUMIFS(Occupancy_table[Monthly_rooms_Occupied],Occupancy_table[Month_Key],Daily_Data[[#This Row],[Month_key]]))</f>
        <v>414.20118343195264</v>
      </c>
      <c r="N2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1920.9517465165109</v>
      </c>
      <c r="O242" s="10">
        <f>SUMIFS(Expense_master[Monthly_Maintenance],Expense_master[Month_Key],Daily_Data[[#This Row],[Month_key]]) / SUMIFS(Expense_master[Days_in_Month],Expense_master[Month_Key], Daily_Data[[#This Row],[Month_key]])</f>
        <v>645.16129032258061</v>
      </c>
      <c r="P242" s="10">
        <f xml:space="preserve"> Daily_Data[[#This Row],[OTA Commision]] + Daily_Data[[#This Row],[Daily_Rent]]+Daily_Data[[#This Row],[Daily_Staff]]+Daily_Data[[#This Row],[Daily_HK]]+Daily_Data[[#This Row],[Daily_Electricity]] + Daily_Data[[#This Row],[Daily Maintenance]]</f>
        <v>16275.292284787172</v>
      </c>
      <c r="Q242" s="10">
        <f>Daily_Data[[#This Row],[Total_Sales]]-Daily_Data[[#This Row],[Total_Daily_Expense]]</f>
        <v>3100.7077152128277</v>
      </c>
      <c r="R242" s="10">
        <f>Daily_Data[[#This Row],[Total_Sales]]/Daily_Data[[#This Row],[Rooms_Occupied]]</f>
        <v>1384</v>
      </c>
      <c r="S242" s="10">
        <f>Daily_Data[[#This Row],[Total_Sales]] / Daily_Data[[#This Row],[Max_rooms]]</f>
        <v>1384</v>
      </c>
    </row>
    <row r="243" spans="1:19" x14ac:dyDescent="0.25">
      <c r="A243" s="6">
        <v>45168</v>
      </c>
      <c r="B243" s="20">
        <f>DATE(YEAR(Daily_Data[[#This Row],[Date]]), MONTH(Daily_Data[[#This Row],[Date]]), 1)</f>
        <v>45139</v>
      </c>
      <c r="C243" s="20" t="str">
        <f>TEXT(Daily_Data[[#This Row],[Month_key]],"mmmm")</f>
        <v>August</v>
      </c>
      <c r="D243" s="20" t="str">
        <f>TEXT(Daily_Data[[#This Row],[Month_key]],"yyyy")</f>
        <v>2023</v>
      </c>
      <c r="E243" s="7">
        <v>12</v>
      </c>
      <c r="F243" s="7">
        <v>14</v>
      </c>
      <c r="G243" s="8">
        <f>Daily_Data[[#This Row],[Rooms_Occupied]]/F243</f>
        <v>0.8571428571428571</v>
      </c>
      <c r="H243" s="7">
        <v>1690</v>
      </c>
      <c r="I243" s="7">
        <f>Daily_Data[[#This Row],[Room_rate]]*Daily_Data[[#This Row],[Rooms_Occupied]]</f>
        <v>20280</v>
      </c>
      <c r="J243" s="10">
        <f>Daily_Data[[#This Row],[Total_Sales]] * 0.22</f>
        <v>4461.6000000000004</v>
      </c>
      <c r="K243" s="10">
        <f>INDEX(Expense_master[Monthly_Rent],MATCH(Daily_Data[[#This Row],[Month_key]],Expense_master[Month_Key],0)) / INDEX(Expense_master[Days_in_Month],MATCH(Daily_Data[[#This Row],[Month_key]],Expense_master[Month_Key],0))</f>
        <v>6774.1935483870966</v>
      </c>
      <c r="L243" s="10">
        <f>SUMIFS(Expense_master[Staff_Salary],Expense_master[Month_Key],Daily_Data[[#This Row],[Month_key]]) / SUMIFS(Expense_master[Days_in_Month],Expense_master[Month_Key],Daily_Data[[#This Row],[Month_key]])</f>
        <v>2258.0645161290322</v>
      </c>
      <c r="M243" s="10">
        <f>Daily_Data[[#This Row],[Rooms_Occupied]] * (SUMIFS(Expense_master[Housekeeping_Laundy],Expense_master[Month_Key],Daily_Data[[#This Row],[Month_key]]) / SUMIFS(Occupancy_table[Monthly_rooms_Occupied],Occupancy_table[Month_Key],Daily_Data[[#This Row],[Month_key]]))</f>
        <v>355.02958579881658</v>
      </c>
      <c r="N2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1740.3162435579309</v>
      </c>
      <c r="O243" s="10">
        <f>SUMIFS(Expense_master[Monthly_Maintenance],Expense_master[Month_Key],Daily_Data[[#This Row],[Month_key]]) / SUMIFS(Expense_master[Days_in_Month],Expense_master[Month_Key], Daily_Data[[#This Row],[Month_key]])</f>
        <v>645.16129032258061</v>
      </c>
      <c r="P243" s="10">
        <f xml:space="preserve"> Daily_Data[[#This Row],[OTA Commision]] + Daily_Data[[#This Row],[Daily_Rent]]+Daily_Data[[#This Row],[Daily_Staff]]+Daily_Data[[#This Row],[Daily_HK]]+Daily_Data[[#This Row],[Daily_Electricity]] + Daily_Data[[#This Row],[Daily Maintenance]]</f>
        <v>16234.365184195458</v>
      </c>
      <c r="Q243" s="10">
        <f>Daily_Data[[#This Row],[Total_Sales]]-Daily_Data[[#This Row],[Total_Daily_Expense]]</f>
        <v>4045.6348158045421</v>
      </c>
      <c r="R243" s="10">
        <f>Daily_Data[[#This Row],[Total_Sales]]/Daily_Data[[#This Row],[Rooms_Occupied]]</f>
        <v>1690</v>
      </c>
      <c r="S243" s="10">
        <f>Daily_Data[[#This Row],[Total_Sales]] / Daily_Data[[#This Row],[Max_rooms]]</f>
        <v>1448.5714285714287</v>
      </c>
    </row>
    <row r="244" spans="1:19" x14ac:dyDescent="0.25">
      <c r="A244" s="6">
        <v>45169</v>
      </c>
      <c r="B244" s="20">
        <f>DATE(YEAR(Daily_Data[[#This Row],[Date]]), MONTH(Daily_Data[[#This Row],[Date]]), 1)</f>
        <v>45139</v>
      </c>
      <c r="C244" s="20" t="str">
        <f>TEXT(Daily_Data[[#This Row],[Month_key]],"mmmm")</f>
        <v>August</v>
      </c>
      <c r="D244" s="20" t="str">
        <f>TEXT(Daily_Data[[#This Row],[Month_key]],"yyyy")</f>
        <v>2023</v>
      </c>
      <c r="E244" s="7">
        <v>11</v>
      </c>
      <c r="F244" s="7">
        <v>14</v>
      </c>
      <c r="G244" s="8">
        <f>Daily_Data[[#This Row],[Rooms_Occupied]]/F244</f>
        <v>0.7857142857142857</v>
      </c>
      <c r="H244" s="7">
        <v>1098</v>
      </c>
      <c r="I244" s="7">
        <f>Daily_Data[[#This Row],[Room_rate]]*Daily_Data[[#This Row],[Rooms_Occupied]]</f>
        <v>12078</v>
      </c>
      <c r="J244" s="10">
        <f>Daily_Data[[#This Row],[Total_Sales]] * 0.22</f>
        <v>2657.16</v>
      </c>
      <c r="K244" s="10">
        <f>INDEX(Expense_master[Monthly_Rent],MATCH(Daily_Data[[#This Row],[Month_key]],Expense_master[Month_Key],0)) / INDEX(Expense_master[Days_in_Month],MATCH(Daily_Data[[#This Row],[Month_key]],Expense_master[Month_Key],0))</f>
        <v>6774.1935483870966</v>
      </c>
      <c r="L244" s="10">
        <f>SUMIFS(Expense_master[Staff_Salary],Expense_master[Month_Key],Daily_Data[[#This Row],[Month_key]]) / SUMIFS(Expense_master[Days_in_Month],Expense_master[Month_Key],Daily_Data[[#This Row],[Month_key]])</f>
        <v>2258.0645161290322</v>
      </c>
      <c r="M244" s="10">
        <f>Daily_Data[[#This Row],[Rooms_Occupied]] * (SUMIFS(Expense_master[Housekeeping_Laundy],Expense_master[Month_Key],Daily_Data[[#This Row],[Month_key]]) / SUMIFS(Occupancy_table[Monthly_rooms_Occupied],Occupancy_table[Month_Key],Daily_Data[[#This Row],[Month_key]]))</f>
        <v>325.44378698224853</v>
      </c>
      <c r="N2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1649.998492078641</v>
      </c>
      <c r="O244" s="10">
        <f>SUMIFS(Expense_master[Monthly_Maintenance],Expense_master[Month_Key],Daily_Data[[#This Row],[Month_key]]) / SUMIFS(Expense_master[Days_in_Month],Expense_master[Month_Key], Daily_Data[[#This Row],[Month_key]])</f>
        <v>645.16129032258061</v>
      </c>
      <c r="P244" s="10">
        <f xml:space="preserve"> Daily_Data[[#This Row],[OTA Commision]] + Daily_Data[[#This Row],[Daily_Rent]]+Daily_Data[[#This Row],[Daily_Staff]]+Daily_Data[[#This Row],[Daily_HK]]+Daily_Data[[#This Row],[Daily_Electricity]] + Daily_Data[[#This Row],[Daily Maintenance]]</f>
        <v>14310.0216338996</v>
      </c>
      <c r="Q244" s="10">
        <f>Daily_Data[[#This Row],[Total_Sales]]-Daily_Data[[#This Row],[Total_Daily_Expense]]</f>
        <v>-2232.0216338995997</v>
      </c>
      <c r="R244" s="10">
        <f>Daily_Data[[#This Row],[Total_Sales]]/Daily_Data[[#This Row],[Rooms_Occupied]]</f>
        <v>1098</v>
      </c>
      <c r="S244" s="10">
        <f>Daily_Data[[#This Row],[Total_Sales]] / Daily_Data[[#This Row],[Max_rooms]]</f>
        <v>862.71428571428567</v>
      </c>
    </row>
    <row r="245" spans="1:19" x14ac:dyDescent="0.25">
      <c r="A245" s="6">
        <v>45170</v>
      </c>
      <c r="B245" s="20">
        <f>DATE(YEAR(Daily_Data[[#This Row],[Date]]), MONTH(Daily_Data[[#This Row],[Date]]), 1)</f>
        <v>45170</v>
      </c>
      <c r="C245" s="20" t="str">
        <f>TEXT(Daily_Data[[#This Row],[Month_key]],"mmmm")</f>
        <v>September</v>
      </c>
      <c r="D245" s="20" t="str">
        <f>TEXT(Daily_Data[[#This Row],[Month_key]],"yyyy")</f>
        <v>2023</v>
      </c>
      <c r="E245" s="7">
        <v>10</v>
      </c>
      <c r="F245" s="7">
        <v>14</v>
      </c>
      <c r="G245" s="8">
        <f>Daily_Data[[#This Row],[Rooms_Occupied]]/F245</f>
        <v>0.7142857142857143</v>
      </c>
      <c r="H245" s="7">
        <v>1388</v>
      </c>
      <c r="I245" s="7">
        <f>Daily_Data[[#This Row],[Room_rate]]*Daily_Data[[#This Row],[Rooms_Occupied]]</f>
        <v>13880</v>
      </c>
      <c r="J245" s="10">
        <f>Daily_Data[[#This Row],[Total_Sales]] * 0.22</f>
        <v>3053.6</v>
      </c>
      <c r="K245" s="10">
        <f>INDEX(Expense_master[Monthly_Rent],MATCH(Daily_Data[[#This Row],[Month_key]],Expense_master[Month_Key],0)) / INDEX(Expense_master[Days_in_Month],MATCH(Daily_Data[[#This Row],[Month_key]],Expense_master[Month_Key],0))</f>
        <v>7000</v>
      </c>
      <c r="L245" s="10">
        <f>SUMIFS(Expense_master[Staff_Salary],Expense_master[Month_Key],Daily_Data[[#This Row],[Month_key]]) / SUMIFS(Expense_master[Days_in_Month],Expense_master[Month_Key],Daily_Data[[#This Row],[Month_key]])</f>
        <v>2333.3333333333335</v>
      </c>
      <c r="M245" s="10">
        <f>Daily_Data[[#This Row],[Rooms_Occupied]] * (SUMIFS(Expense_master[Housekeeping_Laundy],Expense_master[Month_Key],Daily_Data[[#This Row],[Month_key]]) / SUMIFS(Occupancy_table[Monthly_rooms_Occupied],Occupancy_table[Month_Key],Daily_Data[[#This Row],[Month_key]]))</f>
        <v>303.03030303030306</v>
      </c>
      <c r="N2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45" s="10">
        <f>SUMIFS(Expense_master[Monthly_Maintenance],Expense_master[Month_Key],Daily_Data[[#This Row],[Month_key]]) / SUMIFS(Expense_master[Days_in_Month],Expense_master[Month_Key], Daily_Data[[#This Row],[Month_key]])</f>
        <v>666.66666666666663</v>
      </c>
      <c r="P245" s="10">
        <f xml:space="preserve"> Daily_Data[[#This Row],[OTA Commision]] + Daily_Data[[#This Row],[Daily_Rent]]+Daily_Data[[#This Row],[Daily_Staff]]+Daily_Data[[#This Row],[Daily_HK]]+Daily_Data[[#This Row],[Daily_Electricity]] + Daily_Data[[#This Row],[Daily Maintenance]]</f>
        <v>15037.427878787881</v>
      </c>
      <c r="Q245" s="10">
        <f>Daily_Data[[#This Row],[Total_Sales]]-Daily_Data[[#This Row],[Total_Daily_Expense]]</f>
        <v>-1157.4278787878811</v>
      </c>
      <c r="R245" s="10">
        <f>Daily_Data[[#This Row],[Total_Sales]]/Daily_Data[[#This Row],[Rooms_Occupied]]</f>
        <v>1388</v>
      </c>
      <c r="S245" s="10">
        <f>Daily_Data[[#This Row],[Total_Sales]] / Daily_Data[[#This Row],[Max_rooms]]</f>
        <v>991.42857142857144</v>
      </c>
    </row>
    <row r="246" spans="1:19" x14ac:dyDescent="0.25">
      <c r="A246" s="6">
        <v>45171</v>
      </c>
      <c r="B246" s="20">
        <f>DATE(YEAR(Daily_Data[[#This Row],[Date]]), MONTH(Daily_Data[[#This Row],[Date]]), 1)</f>
        <v>45170</v>
      </c>
      <c r="C246" s="20" t="str">
        <f>TEXT(Daily_Data[[#This Row],[Month_key]],"mmmm")</f>
        <v>September</v>
      </c>
      <c r="D246" s="20" t="str">
        <f>TEXT(Daily_Data[[#This Row],[Month_key]],"yyyy")</f>
        <v>2023</v>
      </c>
      <c r="E246" s="7">
        <v>10</v>
      </c>
      <c r="F246" s="7">
        <v>14</v>
      </c>
      <c r="G246" s="8">
        <f>Daily_Data[[#This Row],[Rooms_Occupied]]/F246</f>
        <v>0.7142857142857143</v>
      </c>
      <c r="H246" s="7">
        <v>1586</v>
      </c>
      <c r="I246" s="7">
        <f>Daily_Data[[#This Row],[Room_rate]]*Daily_Data[[#This Row],[Rooms_Occupied]]</f>
        <v>15860</v>
      </c>
      <c r="J246" s="10">
        <f>Daily_Data[[#This Row],[Total_Sales]] * 0.22</f>
        <v>3489.2</v>
      </c>
      <c r="K246" s="10">
        <f>INDEX(Expense_master[Monthly_Rent],MATCH(Daily_Data[[#This Row],[Month_key]],Expense_master[Month_Key],0)) / INDEX(Expense_master[Days_in_Month],MATCH(Daily_Data[[#This Row],[Month_key]],Expense_master[Month_Key],0))</f>
        <v>7000</v>
      </c>
      <c r="L246" s="10">
        <f>SUMIFS(Expense_master[Staff_Salary],Expense_master[Month_Key],Daily_Data[[#This Row],[Month_key]]) / SUMIFS(Expense_master[Days_in_Month],Expense_master[Month_Key],Daily_Data[[#This Row],[Month_key]])</f>
        <v>2333.3333333333335</v>
      </c>
      <c r="M246" s="10">
        <f>Daily_Data[[#This Row],[Rooms_Occupied]] * (SUMIFS(Expense_master[Housekeeping_Laundy],Expense_master[Month_Key],Daily_Data[[#This Row],[Month_key]]) / SUMIFS(Occupancy_table[Monthly_rooms_Occupied],Occupancy_table[Month_Key],Daily_Data[[#This Row],[Month_key]]))</f>
        <v>303.03030303030306</v>
      </c>
      <c r="N2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46" s="10">
        <f>SUMIFS(Expense_master[Monthly_Maintenance],Expense_master[Month_Key],Daily_Data[[#This Row],[Month_key]]) / SUMIFS(Expense_master[Days_in_Month],Expense_master[Month_Key], Daily_Data[[#This Row],[Month_key]])</f>
        <v>666.66666666666663</v>
      </c>
      <c r="P246" s="10">
        <f xml:space="preserve"> Daily_Data[[#This Row],[OTA Commision]] + Daily_Data[[#This Row],[Daily_Rent]]+Daily_Data[[#This Row],[Daily_Staff]]+Daily_Data[[#This Row],[Daily_HK]]+Daily_Data[[#This Row],[Daily_Electricity]] + Daily_Data[[#This Row],[Daily Maintenance]]</f>
        <v>15473.02787878788</v>
      </c>
      <c r="Q246" s="10">
        <f>Daily_Data[[#This Row],[Total_Sales]]-Daily_Data[[#This Row],[Total_Daily_Expense]]</f>
        <v>386.97212121212033</v>
      </c>
      <c r="R246" s="10">
        <f>Daily_Data[[#This Row],[Total_Sales]]/Daily_Data[[#This Row],[Rooms_Occupied]]</f>
        <v>1586</v>
      </c>
      <c r="S246" s="10">
        <f>Daily_Data[[#This Row],[Total_Sales]] / Daily_Data[[#This Row],[Max_rooms]]</f>
        <v>1132.8571428571429</v>
      </c>
    </row>
    <row r="247" spans="1:19" x14ac:dyDescent="0.25">
      <c r="A247" s="6">
        <v>45172</v>
      </c>
      <c r="B247" s="20">
        <f>DATE(YEAR(Daily_Data[[#This Row],[Date]]), MONTH(Daily_Data[[#This Row],[Date]]), 1)</f>
        <v>45170</v>
      </c>
      <c r="C247" s="20" t="str">
        <f>TEXT(Daily_Data[[#This Row],[Month_key]],"mmmm")</f>
        <v>September</v>
      </c>
      <c r="D247" s="20" t="str">
        <f>TEXT(Daily_Data[[#This Row],[Month_key]],"yyyy")</f>
        <v>2023</v>
      </c>
      <c r="E247" s="7">
        <v>12</v>
      </c>
      <c r="F247" s="7">
        <v>14</v>
      </c>
      <c r="G247" s="8">
        <f>Daily_Data[[#This Row],[Rooms_Occupied]]/F247</f>
        <v>0.8571428571428571</v>
      </c>
      <c r="H247" s="7">
        <v>1182</v>
      </c>
      <c r="I247" s="7">
        <f>Daily_Data[[#This Row],[Room_rate]]*Daily_Data[[#This Row],[Rooms_Occupied]]</f>
        <v>14184</v>
      </c>
      <c r="J247" s="10">
        <f>Daily_Data[[#This Row],[Total_Sales]] * 0.22</f>
        <v>3120.48</v>
      </c>
      <c r="K247" s="10">
        <f>INDEX(Expense_master[Monthly_Rent],MATCH(Daily_Data[[#This Row],[Month_key]],Expense_master[Month_Key],0)) / INDEX(Expense_master[Days_in_Month],MATCH(Daily_Data[[#This Row],[Month_key]],Expense_master[Month_Key],0))</f>
        <v>7000</v>
      </c>
      <c r="L247" s="10">
        <f>SUMIFS(Expense_master[Staff_Salary],Expense_master[Month_Key],Daily_Data[[#This Row],[Month_key]]) / SUMIFS(Expense_master[Days_in_Month],Expense_master[Month_Key],Daily_Data[[#This Row],[Month_key]])</f>
        <v>2333.3333333333335</v>
      </c>
      <c r="M247" s="10">
        <f>Daily_Data[[#This Row],[Rooms_Occupied]] * (SUMIFS(Expense_master[Housekeeping_Laundy],Expense_master[Month_Key],Daily_Data[[#This Row],[Month_key]]) / SUMIFS(Occupancy_table[Monthly_rooms_Occupied],Occupancy_table[Month_Key],Daily_Data[[#This Row],[Month_key]]))</f>
        <v>363.63636363636363</v>
      </c>
      <c r="N2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1874.7357575757574</v>
      </c>
      <c r="O247" s="10">
        <f>SUMIFS(Expense_master[Monthly_Maintenance],Expense_master[Month_Key],Daily_Data[[#This Row],[Month_key]]) / SUMIFS(Expense_master[Days_in_Month],Expense_master[Month_Key], Daily_Data[[#This Row],[Month_key]])</f>
        <v>666.66666666666663</v>
      </c>
      <c r="P247" s="10">
        <f xml:space="preserve"> Daily_Data[[#This Row],[OTA Commision]] + Daily_Data[[#This Row],[Daily_Rent]]+Daily_Data[[#This Row],[Daily_Staff]]+Daily_Data[[#This Row],[Daily_HK]]+Daily_Data[[#This Row],[Daily_Electricity]] + Daily_Data[[#This Row],[Daily Maintenance]]</f>
        <v>15358.852121212121</v>
      </c>
      <c r="Q247" s="10">
        <f>Daily_Data[[#This Row],[Total_Sales]]-Daily_Data[[#This Row],[Total_Daily_Expense]]</f>
        <v>-1174.8521212121213</v>
      </c>
      <c r="R247" s="10">
        <f>Daily_Data[[#This Row],[Total_Sales]]/Daily_Data[[#This Row],[Rooms_Occupied]]</f>
        <v>1182</v>
      </c>
      <c r="S247" s="10">
        <f>Daily_Data[[#This Row],[Total_Sales]] / Daily_Data[[#This Row],[Max_rooms]]</f>
        <v>1013.1428571428571</v>
      </c>
    </row>
    <row r="248" spans="1:19" x14ac:dyDescent="0.25">
      <c r="A248" s="6">
        <v>45173</v>
      </c>
      <c r="B248" s="20">
        <f>DATE(YEAR(Daily_Data[[#This Row],[Date]]), MONTH(Daily_Data[[#This Row],[Date]]), 1)</f>
        <v>45170</v>
      </c>
      <c r="C248" s="20" t="str">
        <f>TEXT(Daily_Data[[#This Row],[Month_key]],"mmmm")</f>
        <v>September</v>
      </c>
      <c r="D248" s="20" t="str">
        <f>TEXT(Daily_Data[[#This Row],[Month_key]],"yyyy")</f>
        <v>2023</v>
      </c>
      <c r="E248" s="7">
        <v>13</v>
      </c>
      <c r="F248" s="7">
        <v>14</v>
      </c>
      <c r="G248" s="8">
        <f>Daily_Data[[#This Row],[Rooms_Occupied]]/F248</f>
        <v>0.9285714285714286</v>
      </c>
      <c r="H248" s="7">
        <v>1983</v>
      </c>
      <c r="I248" s="7">
        <f>Daily_Data[[#This Row],[Room_rate]]*Daily_Data[[#This Row],[Rooms_Occupied]]</f>
        <v>25779</v>
      </c>
      <c r="J248" s="10">
        <f>Daily_Data[[#This Row],[Total_Sales]] * 0.22</f>
        <v>5671.38</v>
      </c>
      <c r="K248" s="10">
        <f>INDEX(Expense_master[Monthly_Rent],MATCH(Daily_Data[[#This Row],[Month_key]],Expense_master[Month_Key],0)) / INDEX(Expense_master[Days_in_Month],MATCH(Daily_Data[[#This Row],[Month_key]],Expense_master[Month_Key],0))</f>
        <v>7000</v>
      </c>
      <c r="L248" s="10">
        <f>SUMIFS(Expense_master[Staff_Salary],Expense_master[Month_Key],Daily_Data[[#This Row],[Month_key]]) / SUMIFS(Expense_master[Days_in_Month],Expense_master[Month_Key],Daily_Data[[#This Row],[Month_key]])</f>
        <v>2333.3333333333335</v>
      </c>
      <c r="M248" s="10">
        <f>Daily_Data[[#This Row],[Rooms_Occupied]] * (SUMIFS(Expense_master[Housekeeping_Laundy],Expense_master[Month_Key],Daily_Data[[#This Row],[Month_key]]) / SUMIFS(Occupancy_table[Monthly_rooms_Occupied],Occupancy_table[Month_Key],Daily_Data[[#This Row],[Month_key]]))</f>
        <v>393.93939393939394</v>
      </c>
      <c r="N2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48" s="10">
        <f>SUMIFS(Expense_master[Monthly_Maintenance],Expense_master[Month_Key],Daily_Data[[#This Row],[Month_key]]) / SUMIFS(Expense_master[Days_in_Month],Expense_master[Month_Key], Daily_Data[[#This Row],[Month_key]])</f>
        <v>666.66666666666663</v>
      </c>
      <c r="P248" s="10">
        <f xml:space="preserve"> Daily_Data[[#This Row],[OTA Commision]] + Daily_Data[[#This Row],[Daily_Rent]]+Daily_Data[[#This Row],[Daily_Staff]]+Daily_Data[[#This Row],[Daily_HK]]+Daily_Data[[#This Row],[Daily_Electricity]] + Daily_Data[[#This Row],[Daily Maintenance]]</f>
        <v>18037.024242424246</v>
      </c>
      <c r="Q248" s="10">
        <f>Daily_Data[[#This Row],[Total_Sales]]-Daily_Data[[#This Row],[Total_Daily_Expense]]</f>
        <v>7741.975757575754</v>
      </c>
      <c r="R248" s="10">
        <f>Daily_Data[[#This Row],[Total_Sales]]/Daily_Data[[#This Row],[Rooms_Occupied]]</f>
        <v>1983</v>
      </c>
      <c r="S248" s="10">
        <f>Daily_Data[[#This Row],[Total_Sales]] / Daily_Data[[#This Row],[Max_rooms]]</f>
        <v>1841.3571428571429</v>
      </c>
    </row>
    <row r="249" spans="1:19" x14ac:dyDescent="0.25">
      <c r="A249" s="6">
        <v>45174</v>
      </c>
      <c r="B249" s="20">
        <f>DATE(YEAR(Daily_Data[[#This Row],[Date]]), MONTH(Daily_Data[[#This Row],[Date]]), 1)</f>
        <v>45170</v>
      </c>
      <c r="C249" s="20" t="str">
        <f>TEXT(Daily_Data[[#This Row],[Month_key]],"mmmm")</f>
        <v>September</v>
      </c>
      <c r="D249" s="20" t="str">
        <f>TEXT(Daily_Data[[#This Row],[Month_key]],"yyyy")</f>
        <v>2023</v>
      </c>
      <c r="E249" s="7">
        <v>12</v>
      </c>
      <c r="F249" s="7">
        <v>14</v>
      </c>
      <c r="G249" s="8">
        <f>Daily_Data[[#This Row],[Rooms_Occupied]]/F249</f>
        <v>0.8571428571428571</v>
      </c>
      <c r="H249" s="7">
        <v>1822</v>
      </c>
      <c r="I249" s="7">
        <f>Daily_Data[[#This Row],[Room_rate]]*Daily_Data[[#This Row],[Rooms_Occupied]]</f>
        <v>21864</v>
      </c>
      <c r="J249" s="10">
        <f>Daily_Data[[#This Row],[Total_Sales]] * 0.22</f>
        <v>4810.08</v>
      </c>
      <c r="K249" s="10">
        <f>INDEX(Expense_master[Monthly_Rent],MATCH(Daily_Data[[#This Row],[Month_key]],Expense_master[Month_Key],0)) / INDEX(Expense_master[Days_in_Month],MATCH(Daily_Data[[#This Row],[Month_key]],Expense_master[Month_Key],0))</f>
        <v>7000</v>
      </c>
      <c r="L249" s="10">
        <f>SUMIFS(Expense_master[Staff_Salary],Expense_master[Month_Key],Daily_Data[[#This Row],[Month_key]]) / SUMIFS(Expense_master[Days_in_Month],Expense_master[Month_Key],Daily_Data[[#This Row],[Month_key]])</f>
        <v>2333.3333333333335</v>
      </c>
      <c r="M249" s="10">
        <f>Daily_Data[[#This Row],[Rooms_Occupied]] * (SUMIFS(Expense_master[Housekeeping_Laundy],Expense_master[Month_Key],Daily_Data[[#This Row],[Month_key]]) / SUMIFS(Occupancy_table[Monthly_rooms_Occupied],Occupancy_table[Month_Key],Daily_Data[[#This Row],[Month_key]]))</f>
        <v>363.63636363636363</v>
      </c>
      <c r="N2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1874.7357575757574</v>
      </c>
      <c r="O249" s="10">
        <f>SUMIFS(Expense_master[Monthly_Maintenance],Expense_master[Month_Key],Daily_Data[[#This Row],[Month_key]]) / SUMIFS(Expense_master[Days_in_Month],Expense_master[Month_Key], Daily_Data[[#This Row],[Month_key]])</f>
        <v>666.66666666666663</v>
      </c>
      <c r="P249" s="10">
        <f xml:space="preserve"> Daily_Data[[#This Row],[OTA Commision]] + Daily_Data[[#This Row],[Daily_Rent]]+Daily_Data[[#This Row],[Daily_Staff]]+Daily_Data[[#This Row],[Daily_HK]]+Daily_Data[[#This Row],[Daily_Electricity]] + Daily_Data[[#This Row],[Daily Maintenance]]</f>
        <v>17048.452121212122</v>
      </c>
      <c r="Q249" s="10">
        <f>Daily_Data[[#This Row],[Total_Sales]]-Daily_Data[[#This Row],[Total_Daily_Expense]]</f>
        <v>4815.5478787878783</v>
      </c>
      <c r="R249" s="10">
        <f>Daily_Data[[#This Row],[Total_Sales]]/Daily_Data[[#This Row],[Rooms_Occupied]]</f>
        <v>1822</v>
      </c>
      <c r="S249" s="10">
        <f>Daily_Data[[#This Row],[Total_Sales]] / Daily_Data[[#This Row],[Max_rooms]]</f>
        <v>1561.7142857142858</v>
      </c>
    </row>
    <row r="250" spans="1:19" x14ac:dyDescent="0.25">
      <c r="A250" s="6">
        <v>45175</v>
      </c>
      <c r="B250" s="20">
        <f>DATE(YEAR(Daily_Data[[#This Row],[Date]]), MONTH(Daily_Data[[#This Row],[Date]]), 1)</f>
        <v>45170</v>
      </c>
      <c r="C250" s="20" t="str">
        <f>TEXT(Daily_Data[[#This Row],[Month_key]],"mmmm")</f>
        <v>September</v>
      </c>
      <c r="D250" s="20" t="str">
        <f>TEXT(Daily_Data[[#This Row],[Month_key]],"yyyy")</f>
        <v>2023</v>
      </c>
      <c r="E250" s="7">
        <v>8</v>
      </c>
      <c r="F250" s="7">
        <v>14</v>
      </c>
      <c r="G250" s="8">
        <f>Daily_Data[[#This Row],[Rooms_Occupied]]/F250</f>
        <v>0.5714285714285714</v>
      </c>
      <c r="H250" s="7">
        <v>1714</v>
      </c>
      <c r="I250" s="7">
        <f>Daily_Data[[#This Row],[Room_rate]]*Daily_Data[[#This Row],[Rooms_Occupied]]</f>
        <v>13712</v>
      </c>
      <c r="J250" s="10">
        <f>Daily_Data[[#This Row],[Total_Sales]] * 0.22</f>
        <v>3016.64</v>
      </c>
      <c r="K250" s="10">
        <f>INDEX(Expense_master[Monthly_Rent],MATCH(Daily_Data[[#This Row],[Month_key]],Expense_master[Month_Key],0)) / INDEX(Expense_master[Days_in_Month],MATCH(Daily_Data[[#This Row],[Month_key]],Expense_master[Month_Key],0))</f>
        <v>7000</v>
      </c>
      <c r="L250" s="10">
        <f>SUMIFS(Expense_master[Staff_Salary],Expense_master[Month_Key],Daily_Data[[#This Row],[Month_key]]) / SUMIFS(Expense_master[Days_in_Month],Expense_master[Month_Key],Daily_Data[[#This Row],[Month_key]])</f>
        <v>2333.3333333333335</v>
      </c>
      <c r="M250" s="10">
        <f>Daily_Data[[#This Row],[Rooms_Occupied]] * (SUMIFS(Expense_master[Housekeeping_Laundy],Expense_master[Month_Key],Daily_Data[[#This Row],[Month_key]]) / SUMIFS(Occupancy_table[Monthly_rooms_Occupied],Occupancy_table[Month_Key],Daily_Data[[#This Row],[Month_key]]))</f>
        <v>242.42424242424244</v>
      </c>
      <c r="N2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1486.8593939393941</v>
      </c>
      <c r="O250" s="10">
        <f>SUMIFS(Expense_master[Monthly_Maintenance],Expense_master[Month_Key],Daily_Data[[#This Row],[Month_key]]) / SUMIFS(Expense_master[Days_in_Month],Expense_master[Month_Key], Daily_Data[[#This Row],[Month_key]])</f>
        <v>666.66666666666663</v>
      </c>
      <c r="P250" s="10">
        <f xml:space="preserve"> Daily_Data[[#This Row],[OTA Commision]] + Daily_Data[[#This Row],[Daily_Rent]]+Daily_Data[[#This Row],[Daily_Staff]]+Daily_Data[[#This Row],[Daily_HK]]+Daily_Data[[#This Row],[Daily_Electricity]] + Daily_Data[[#This Row],[Daily Maintenance]]</f>
        <v>14745.923636363636</v>
      </c>
      <c r="Q250" s="10">
        <f>Daily_Data[[#This Row],[Total_Sales]]-Daily_Data[[#This Row],[Total_Daily_Expense]]</f>
        <v>-1033.9236363636355</v>
      </c>
      <c r="R250" s="10">
        <f>Daily_Data[[#This Row],[Total_Sales]]/Daily_Data[[#This Row],[Rooms_Occupied]]</f>
        <v>1714</v>
      </c>
      <c r="S250" s="10">
        <f>Daily_Data[[#This Row],[Total_Sales]] / Daily_Data[[#This Row],[Max_rooms]]</f>
        <v>979.42857142857144</v>
      </c>
    </row>
    <row r="251" spans="1:19" x14ac:dyDescent="0.25">
      <c r="A251" s="6">
        <v>45176</v>
      </c>
      <c r="B251" s="20">
        <f>DATE(YEAR(Daily_Data[[#This Row],[Date]]), MONTH(Daily_Data[[#This Row],[Date]]), 1)</f>
        <v>45170</v>
      </c>
      <c r="C251" s="20" t="str">
        <f>TEXT(Daily_Data[[#This Row],[Month_key]],"mmmm")</f>
        <v>September</v>
      </c>
      <c r="D251" s="20" t="str">
        <f>TEXT(Daily_Data[[#This Row],[Month_key]],"yyyy")</f>
        <v>2023</v>
      </c>
      <c r="E251" s="7">
        <v>9</v>
      </c>
      <c r="F251" s="7">
        <v>14</v>
      </c>
      <c r="G251" s="8">
        <f>Daily_Data[[#This Row],[Rooms_Occupied]]/F251</f>
        <v>0.6428571428571429</v>
      </c>
      <c r="H251" s="7">
        <v>1534</v>
      </c>
      <c r="I251" s="7">
        <f>Daily_Data[[#This Row],[Room_rate]]*Daily_Data[[#This Row],[Rooms_Occupied]]</f>
        <v>13806</v>
      </c>
      <c r="J251" s="10">
        <f>Daily_Data[[#This Row],[Total_Sales]] * 0.22</f>
        <v>3037.32</v>
      </c>
      <c r="K251" s="10">
        <f>INDEX(Expense_master[Monthly_Rent],MATCH(Daily_Data[[#This Row],[Month_key]],Expense_master[Month_Key],0)) / INDEX(Expense_master[Days_in_Month],MATCH(Daily_Data[[#This Row],[Month_key]],Expense_master[Month_Key],0))</f>
        <v>7000</v>
      </c>
      <c r="L251" s="10">
        <f>SUMIFS(Expense_master[Staff_Salary],Expense_master[Month_Key],Daily_Data[[#This Row],[Month_key]]) / SUMIFS(Expense_master[Days_in_Month],Expense_master[Month_Key],Daily_Data[[#This Row],[Month_key]])</f>
        <v>2333.3333333333335</v>
      </c>
      <c r="M251" s="10">
        <f>Daily_Data[[#This Row],[Rooms_Occupied]] * (SUMIFS(Expense_master[Housekeeping_Laundy],Expense_master[Month_Key],Daily_Data[[#This Row],[Month_key]]) / SUMIFS(Occupancy_table[Monthly_rooms_Occupied],Occupancy_table[Month_Key],Daily_Data[[#This Row],[Month_key]]))</f>
        <v>272.72727272727275</v>
      </c>
      <c r="N2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1583.828484848485</v>
      </c>
      <c r="O251" s="10">
        <f>SUMIFS(Expense_master[Monthly_Maintenance],Expense_master[Month_Key],Daily_Data[[#This Row],[Month_key]]) / SUMIFS(Expense_master[Days_in_Month],Expense_master[Month_Key], Daily_Data[[#This Row],[Month_key]])</f>
        <v>666.66666666666663</v>
      </c>
      <c r="P251" s="10">
        <f xml:space="preserve"> Daily_Data[[#This Row],[OTA Commision]] + Daily_Data[[#This Row],[Daily_Rent]]+Daily_Data[[#This Row],[Daily_Staff]]+Daily_Data[[#This Row],[Daily_HK]]+Daily_Data[[#This Row],[Daily_Electricity]] + Daily_Data[[#This Row],[Daily Maintenance]]</f>
        <v>14893.875757575757</v>
      </c>
      <c r="Q251" s="10">
        <f>Daily_Data[[#This Row],[Total_Sales]]-Daily_Data[[#This Row],[Total_Daily_Expense]]</f>
        <v>-1087.8757575757572</v>
      </c>
      <c r="R251" s="10">
        <f>Daily_Data[[#This Row],[Total_Sales]]/Daily_Data[[#This Row],[Rooms_Occupied]]</f>
        <v>1534</v>
      </c>
      <c r="S251" s="10">
        <f>Daily_Data[[#This Row],[Total_Sales]] / Daily_Data[[#This Row],[Max_rooms]]</f>
        <v>986.14285714285711</v>
      </c>
    </row>
    <row r="252" spans="1:19" x14ac:dyDescent="0.25">
      <c r="A252" s="6">
        <v>45177</v>
      </c>
      <c r="B252" s="20">
        <f>DATE(YEAR(Daily_Data[[#This Row],[Date]]), MONTH(Daily_Data[[#This Row],[Date]]), 1)</f>
        <v>45170</v>
      </c>
      <c r="C252" s="20" t="str">
        <f>TEXT(Daily_Data[[#This Row],[Month_key]],"mmmm")</f>
        <v>September</v>
      </c>
      <c r="D252" s="20" t="str">
        <f>TEXT(Daily_Data[[#This Row],[Month_key]],"yyyy")</f>
        <v>2023</v>
      </c>
      <c r="E252" s="7">
        <v>12</v>
      </c>
      <c r="F252" s="7">
        <v>14</v>
      </c>
      <c r="G252" s="8">
        <f>Daily_Data[[#This Row],[Rooms_Occupied]]/F252</f>
        <v>0.8571428571428571</v>
      </c>
      <c r="H252" s="7">
        <v>1494</v>
      </c>
      <c r="I252" s="7">
        <f>Daily_Data[[#This Row],[Room_rate]]*Daily_Data[[#This Row],[Rooms_Occupied]]</f>
        <v>17928</v>
      </c>
      <c r="J252" s="10">
        <f>Daily_Data[[#This Row],[Total_Sales]] * 0.22</f>
        <v>3944.16</v>
      </c>
      <c r="K252" s="10">
        <f>INDEX(Expense_master[Monthly_Rent],MATCH(Daily_Data[[#This Row],[Month_key]],Expense_master[Month_Key],0)) / INDEX(Expense_master[Days_in_Month],MATCH(Daily_Data[[#This Row],[Month_key]],Expense_master[Month_Key],0))</f>
        <v>7000</v>
      </c>
      <c r="L252" s="10">
        <f>SUMIFS(Expense_master[Staff_Salary],Expense_master[Month_Key],Daily_Data[[#This Row],[Month_key]]) / SUMIFS(Expense_master[Days_in_Month],Expense_master[Month_Key],Daily_Data[[#This Row],[Month_key]])</f>
        <v>2333.3333333333335</v>
      </c>
      <c r="M252" s="10">
        <f>Daily_Data[[#This Row],[Rooms_Occupied]] * (SUMIFS(Expense_master[Housekeeping_Laundy],Expense_master[Month_Key],Daily_Data[[#This Row],[Month_key]]) / SUMIFS(Occupancy_table[Monthly_rooms_Occupied],Occupancy_table[Month_Key],Daily_Data[[#This Row],[Month_key]]))</f>
        <v>363.63636363636363</v>
      </c>
      <c r="N2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1874.7357575757574</v>
      </c>
      <c r="O252" s="10">
        <f>SUMIFS(Expense_master[Monthly_Maintenance],Expense_master[Month_Key],Daily_Data[[#This Row],[Month_key]]) / SUMIFS(Expense_master[Days_in_Month],Expense_master[Month_Key], Daily_Data[[#This Row],[Month_key]])</f>
        <v>666.66666666666663</v>
      </c>
      <c r="P252" s="10">
        <f xml:space="preserve"> Daily_Data[[#This Row],[OTA Commision]] + Daily_Data[[#This Row],[Daily_Rent]]+Daily_Data[[#This Row],[Daily_Staff]]+Daily_Data[[#This Row],[Daily_HK]]+Daily_Data[[#This Row],[Daily_Electricity]] + Daily_Data[[#This Row],[Daily Maintenance]]</f>
        <v>16182.532121212122</v>
      </c>
      <c r="Q252" s="10">
        <f>Daily_Data[[#This Row],[Total_Sales]]-Daily_Data[[#This Row],[Total_Daily_Expense]]</f>
        <v>1745.4678787878784</v>
      </c>
      <c r="R252" s="10">
        <f>Daily_Data[[#This Row],[Total_Sales]]/Daily_Data[[#This Row],[Rooms_Occupied]]</f>
        <v>1494</v>
      </c>
      <c r="S252" s="10">
        <f>Daily_Data[[#This Row],[Total_Sales]] / Daily_Data[[#This Row],[Max_rooms]]</f>
        <v>1280.5714285714287</v>
      </c>
    </row>
    <row r="253" spans="1:19" x14ac:dyDescent="0.25">
      <c r="A253" s="6">
        <v>45178</v>
      </c>
      <c r="B253" s="20">
        <f>DATE(YEAR(Daily_Data[[#This Row],[Date]]), MONTH(Daily_Data[[#This Row],[Date]]), 1)</f>
        <v>45170</v>
      </c>
      <c r="C253" s="20" t="str">
        <f>TEXT(Daily_Data[[#This Row],[Month_key]],"mmmm")</f>
        <v>September</v>
      </c>
      <c r="D253" s="20" t="str">
        <f>TEXT(Daily_Data[[#This Row],[Month_key]],"yyyy")</f>
        <v>2023</v>
      </c>
      <c r="E253" s="7">
        <v>13</v>
      </c>
      <c r="F253" s="7">
        <v>14</v>
      </c>
      <c r="G253" s="8">
        <f>Daily_Data[[#This Row],[Rooms_Occupied]]/F253</f>
        <v>0.9285714285714286</v>
      </c>
      <c r="H253" s="7">
        <v>1879</v>
      </c>
      <c r="I253" s="7">
        <f>Daily_Data[[#This Row],[Room_rate]]*Daily_Data[[#This Row],[Rooms_Occupied]]</f>
        <v>24427</v>
      </c>
      <c r="J253" s="10">
        <f>Daily_Data[[#This Row],[Total_Sales]] * 0.22</f>
        <v>5373.94</v>
      </c>
      <c r="K253" s="10">
        <f>INDEX(Expense_master[Monthly_Rent],MATCH(Daily_Data[[#This Row],[Month_key]],Expense_master[Month_Key],0)) / INDEX(Expense_master[Days_in_Month],MATCH(Daily_Data[[#This Row],[Month_key]],Expense_master[Month_Key],0))</f>
        <v>7000</v>
      </c>
      <c r="L253" s="10">
        <f>SUMIFS(Expense_master[Staff_Salary],Expense_master[Month_Key],Daily_Data[[#This Row],[Month_key]]) / SUMIFS(Expense_master[Days_in_Month],Expense_master[Month_Key],Daily_Data[[#This Row],[Month_key]])</f>
        <v>2333.3333333333335</v>
      </c>
      <c r="M253" s="10">
        <f>Daily_Data[[#This Row],[Rooms_Occupied]] * (SUMIFS(Expense_master[Housekeeping_Laundy],Expense_master[Month_Key],Daily_Data[[#This Row],[Month_key]]) / SUMIFS(Occupancy_table[Monthly_rooms_Occupied],Occupancy_table[Month_Key],Daily_Data[[#This Row],[Month_key]]))</f>
        <v>393.93939393939394</v>
      </c>
      <c r="N2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53" s="10">
        <f>SUMIFS(Expense_master[Monthly_Maintenance],Expense_master[Month_Key],Daily_Data[[#This Row],[Month_key]]) / SUMIFS(Expense_master[Days_in_Month],Expense_master[Month_Key], Daily_Data[[#This Row],[Month_key]])</f>
        <v>666.66666666666663</v>
      </c>
      <c r="P253" s="10">
        <f xml:space="preserve"> Daily_Data[[#This Row],[OTA Commision]] + Daily_Data[[#This Row],[Daily_Rent]]+Daily_Data[[#This Row],[Daily_Staff]]+Daily_Data[[#This Row],[Daily_HK]]+Daily_Data[[#This Row],[Daily_Electricity]] + Daily_Data[[#This Row],[Daily Maintenance]]</f>
        <v>17739.584242424244</v>
      </c>
      <c r="Q253" s="10">
        <f>Daily_Data[[#This Row],[Total_Sales]]-Daily_Data[[#This Row],[Total_Daily_Expense]]</f>
        <v>6687.4157575757563</v>
      </c>
      <c r="R253" s="10">
        <f>Daily_Data[[#This Row],[Total_Sales]]/Daily_Data[[#This Row],[Rooms_Occupied]]</f>
        <v>1879</v>
      </c>
      <c r="S253" s="10">
        <f>Daily_Data[[#This Row],[Total_Sales]] / Daily_Data[[#This Row],[Max_rooms]]</f>
        <v>1744.7857142857142</v>
      </c>
    </row>
    <row r="254" spans="1:19" x14ac:dyDescent="0.25">
      <c r="A254" s="6">
        <v>45179</v>
      </c>
      <c r="B254" s="20">
        <f>DATE(YEAR(Daily_Data[[#This Row],[Date]]), MONTH(Daily_Data[[#This Row],[Date]]), 1)</f>
        <v>45170</v>
      </c>
      <c r="C254" s="20" t="str">
        <f>TEXT(Daily_Data[[#This Row],[Month_key]],"mmmm")</f>
        <v>September</v>
      </c>
      <c r="D254" s="20" t="str">
        <f>TEXT(Daily_Data[[#This Row],[Month_key]],"yyyy")</f>
        <v>2023</v>
      </c>
      <c r="E254" s="7">
        <v>13</v>
      </c>
      <c r="F254" s="7">
        <v>14</v>
      </c>
      <c r="G254" s="8">
        <f>Daily_Data[[#This Row],[Rooms_Occupied]]/F254</f>
        <v>0.9285714285714286</v>
      </c>
      <c r="H254" s="7">
        <v>1227</v>
      </c>
      <c r="I254" s="7">
        <f>Daily_Data[[#This Row],[Room_rate]]*Daily_Data[[#This Row],[Rooms_Occupied]]</f>
        <v>15951</v>
      </c>
      <c r="J254" s="10">
        <f>Daily_Data[[#This Row],[Total_Sales]] * 0.22</f>
        <v>3509.22</v>
      </c>
      <c r="K254" s="10">
        <f>INDEX(Expense_master[Monthly_Rent],MATCH(Daily_Data[[#This Row],[Month_key]],Expense_master[Month_Key],0)) / INDEX(Expense_master[Days_in_Month],MATCH(Daily_Data[[#This Row],[Month_key]],Expense_master[Month_Key],0))</f>
        <v>7000</v>
      </c>
      <c r="L254" s="10">
        <f>SUMIFS(Expense_master[Staff_Salary],Expense_master[Month_Key],Daily_Data[[#This Row],[Month_key]]) / SUMIFS(Expense_master[Days_in_Month],Expense_master[Month_Key],Daily_Data[[#This Row],[Month_key]])</f>
        <v>2333.3333333333335</v>
      </c>
      <c r="M254" s="10">
        <f>Daily_Data[[#This Row],[Rooms_Occupied]] * (SUMIFS(Expense_master[Housekeeping_Laundy],Expense_master[Month_Key],Daily_Data[[#This Row],[Month_key]]) / SUMIFS(Occupancy_table[Monthly_rooms_Occupied],Occupancy_table[Month_Key],Daily_Data[[#This Row],[Month_key]]))</f>
        <v>393.93939393939394</v>
      </c>
      <c r="N2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54" s="10">
        <f>SUMIFS(Expense_master[Monthly_Maintenance],Expense_master[Month_Key],Daily_Data[[#This Row],[Month_key]]) / SUMIFS(Expense_master[Days_in_Month],Expense_master[Month_Key], Daily_Data[[#This Row],[Month_key]])</f>
        <v>666.66666666666663</v>
      </c>
      <c r="P254" s="10">
        <f xml:space="preserve"> Daily_Data[[#This Row],[OTA Commision]] + Daily_Data[[#This Row],[Daily_Rent]]+Daily_Data[[#This Row],[Daily_Staff]]+Daily_Data[[#This Row],[Daily_HK]]+Daily_Data[[#This Row],[Daily_Electricity]] + Daily_Data[[#This Row],[Daily Maintenance]]</f>
        <v>15874.864242424241</v>
      </c>
      <c r="Q254" s="10">
        <f>Daily_Data[[#This Row],[Total_Sales]]-Daily_Data[[#This Row],[Total_Daily_Expense]]</f>
        <v>76.135757575759271</v>
      </c>
      <c r="R254" s="10">
        <f>Daily_Data[[#This Row],[Total_Sales]]/Daily_Data[[#This Row],[Rooms_Occupied]]</f>
        <v>1227</v>
      </c>
      <c r="S254" s="10">
        <f>Daily_Data[[#This Row],[Total_Sales]] / Daily_Data[[#This Row],[Max_rooms]]</f>
        <v>1139.3571428571429</v>
      </c>
    </row>
    <row r="255" spans="1:19" x14ac:dyDescent="0.25">
      <c r="A255" s="6">
        <v>45180</v>
      </c>
      <c r="B255" s="20">
        <f>DATE(YEAR(Daily_Data[[#This Row],[Date]]), MONTH(Daily_Data[[#This Row],[Date]]), 1)</f>
        <v>45170</v>
      </c>
      <c r="C255" s="20" t="str">
        <f>TEXT(Daily_Data[[#This Row],[Month_key]],"mmmm")</f>
        <v>September</v>
      </c>
      <c r="D255" s="20" t="str">
        <f>TEXT(Daily_Data[[#This Row],[Month_key]],"yyyy")</f>
        <v>2023</v>
      </c>
      <c r="E255" s="7">
        <v>11</v>
      </c>
      <c r="F255" s="7">
        <v>14</v>
      </c>
      <c r="G255" s="8">
        <f>Daily_Data[[#This Row],[Rooms_Occupied]]/F255</f>
        <v>0.7857142857142857</v>
      </c>
      <c r="H255" s="7">
        <v>1449</v>
      </c>
      <c r="I255" s="7">
        <f>Daily_Data[[#This Row],[Room_rate]]*Daily_Data[[#This Row],[Rooms_Occupied]]</f>
        <v>15939</v>
      </c>
      <c r="J255" s="10">
        <f>Daily_Data[[#This Row],[Total_Sales]] * 0.22</f>
        <v>3506.58</v>
      </c>
      <c r="K255" s="10">
        <f>INDEX(Expense_master[Monthly_Rent],MATCH(Daily_Data[[#This Row],[Month_key]],Expense_master[Month_Key],0)) / INDEX(Expense_master[Days_in_Month],MATCH(Daily_Data[[#This Row],[Month_key]],Expense_master[Month_Key],0))</f>
        <v>7000</v>
      </c>
      <c r="L255" s="10">
        <f>SUMIFS(Expense_master[Staff_Salary],Expense_master[Month_Key],Daily_Data[[#This Row],[Month_key]]) / SUMIFS(Expense_master[Days_in_Month],Expense_master[Month_Key],Daily_Data[[#This Row],[Month_key]])</f>
        <v>2333.3333333333335</v>
      </c>
      <c r="M255" s="10">
        <f>Daily_Data[[#This Row],[Rooms_Occupied]] * (SUMIFS(Expense_master[Housekeeping_Laundy],Expense_master[Month_Key],Daily_Data[[#This Row],[Month_key]]) / SUMIFS(Occupancy_table[Monthly_rooms_Occupied],Occupancy_table[Month_Key],Daily_Data[[#This Row],[Month_key]]))</f>
        <v>333.33333333333337</v>
      </c>
      <c r="N2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1777.7666666666669</v>
      </c>
      <c r="O255" s="10">
        <f>SUMIFS(Expense_master[Monthly_Maintenance],Expense_master[Month_Key],Daily_Data[[#This Row],[Month_key]]) / SUMIFS(Expense_master[Days_in_Month],Expense_master[Month_Key], Daily_Data[[#This Row],[Month_key]])</f>
        <v>666.66666666666663</v>
      </c>
      <c r="P255" s="10">
        <f xml:space="preserve"> Daily_Data[[#This Row],[OTA Commision]] + Daily_Data[[#This Row],[Daily_Rent]]+Daily_Data[[#This Row],[Daily_Staff]]+Daily_Data[[#This Row],[Daily_HK]]+Daily_Data[[#This Row],[Daily_Electricity]] + Daily_Data[[#This Row],[Daily Maintenance]]</f>
        <v>15617.68</v>
      </c>
      <c r="Q255" s="10">
        <f>Daily_Data[[#This Row],[Total_Sales]]-Daily_Data[[#This Row],[Total_Daily_Expense]]</f>
        <v>321.31999999999971</v>
      </c>
      <c r="R255" s="10">
        <f>Daily_Data[[#This Row],[Total_Sales]]/Daily_Data[[#This Row],[Rooms_Occupied]]</f>
        <v>1449</v>
      </c>
      <c r="S255" s="10">
        <f>Daily_Data[[#This Row],[Total_Sales]] / Daily_Data[[#This Row],[Max_rooms]]</f>
        <v>1138.5</v>
      </c>
    </row>
    <row r="256" spans="1:19" x14ac:dyDescent="0.25">
      <c r="A256" s="6">
        <v>45181</v>
      </c>
      <c r="B256" s="20">
        <f>DATE(YEAR(Daily_Data[[#This Row],[Date]]), MONTH(Daily_Data[[#This Row],[Date]]), 1)</f>
        <v>45170</v>
      </c>
      <c r="C256" s="20" t="str">
        <f>TEXT(Daily_Data[[#This Row],[Month_key]],"mmmm")</f>
        <v>September</v>
      </c>
      <c r="D256" s="20" t="str">
        <f>TEXT(Daily_Data[[#This Row],[Month_key]],"yyyy")</f>
        <v>2023</v>
      </c>
      <c r="E256" s="7">
        <v>8</v>
      </c>
      <c r="F256" s="7">
        <v>14</v>
      </c>
      <c r="G256" s="8">
        <f>Daily_Data[[#This Row],[Rooms_Occupied]]/F256</f>
        <v>0.5714285714285714</v>
      </c>
      <c r="H256" s="7">
        <v>1705</v>
      </c>
      <c r="I256" s="7">
        <f>Daily_Data[[#This Row],[Room_rate]]*Daily_Data[[#This Row],[Rooms_Occupied]]</f>
        <v>13640</v>
      </c>
      <c r="J256" s="10">
        <f>Daily_Data[[#This Row],[Total_Sales]] * 0.22</f>
        <v>3000.8</v>
      </c>
      <c r="K256" s="10">
        <f>INDEX(Expense_master[Monthly_Rent],MATCH(Daily_Data[[#This Row],[Month_key]],Expense_master[Month_Key],0)) / INDEX(Expense_master[Days_in_Month],MATCH(Daily_Data[[#This Row],[Month_key]],Expense_master[Month_Key],0))</f>
        <v>7000</v>
      </c>
      <c r="L256" s="10">
        <f>SUMIFS(Expense_master[Staff_Salary],Expense_master[Month_Key],Daily_Data[[#This Row],[Month_key]]) / SUMIFS(Expense_master[Days_in_Month],Expense_master[Month_Key],Daily_Data[[#This Row],[Month_key]])</f>
        <v>2333.3333333333335</v>
      </c>
      <c r="M256" s="10">
        <f>Daily_Data[[#This Row],[Rooms_Occupied]] * (SUMIFS(Expense_master[Housekeeping_Laundy],Expense_master[Month_Key],Daily_Data[[#This Row],[Month_key]]) / SUMIFS(Occupancy_table[Monthly_rooms_Occupied],Occupancy_table[Month_Key],Daily_Data[[#This Row],[Month_key]]))</f>
        <v>242.42424242424244</v>
      </c>
      <c r="N2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1486.8593939393941</v>
      </c>
      <c r="O256" s="10">
        <f>SUMIFS(Expense_master[Monthly_Maintenance],Expense_master[Month_Key],Daily_Data[[#This Row],[Month_key]]) / SUMIFS(Expense_master[Days_in_Month],Expense_master[Month_Key], Daily_Data[[#This Row],[Month_key]])</f>
        <v>666.66666666666663</v>
      </c>
      <c r="P256" s="10">
        <f xml:space="preserve"> Daily_Data[[#This Row],[OTA Commision]] + Daily_Data[[#This Row],[Daily_Rent]]+Daily_Data[[#This Row],[Daily_Staff]]+Daily_Data[[#This Row],[Daily_HK]]+Daily_Data[[#This Row],[Daily_Electricity]] + Daily_Data[[#This Row],[Daily Maintenance]]</f>
        <v>14730.083636363635</v>
      </c>
      <c r="Q256" s="10">
        <f>Daily_Data[[#This Row],[Total_Sales]]-Daily_Data[[#This Row],[Total_Daily_Expense]]</f>
        <v>-1090.0836363636354</v>
      </c>
      <c r="R256" s="10">
        <f>Daily_Data[[#This Row],[Total_Sales]]/Daily_Data[[#This Row],[Rooms_Occupied]]</f>
        <v>1705</v>
      </c>
      <c r="S256" s="10">
        <f>Daily_Data[[#This Row],[Total_Sales]] / Daily_Data[[#This Row],[Max_rooms]]</f>
        <v>974.28571428571433</v>
      </c>
    </row>
    <row r="257" spans="1:19" x14ac:dyDescent="0.25">
      <c r="A257" s="6">
        <v>45182</v>
      </c>
      <c r="B257" s="20">
        <f>DATE(YEAR(Daily_Data[[#This Row],[Date]]), MONTH(Daily_Data[[#This Row],[Date]]), 1)</f>
        <v>45170</v>
      </c>
      <c r="C257" s="20" t="str">
        <f>TEXT(Daily_Data[[#This Row],[Month_key]],"mmmm")</f>
        <v>September</v>
      </c>
      <c r="D257" s="20" t="str">
        <f>TEXT(Daily_Data[[#This Row],[Month_key]],"yyyy")</f>
        <v>2023</v>
      </c>
      <c r="E257" s="7">
        <v>8</v>
      </c>
      <c r="F257" s="7">
        <v>14</v>
      </c>
      <c r="G257" s="8">
        <f>Daily_Data[[#This Row],[Rooms_Occupied]]/F257</f>
        <v>0.5714285714285714</v>
      </c>
      <c r="H257" s="7">
        <v>1838</v>
      </c>
      <c r="I257" s="7">
        <f>Daily_Data[[#This Row],[Room_rate]]*Daily_Data[[#This Row],[Rooms_Occupied]]</f>
        <v>14704</v>
      </c>
      <c r="J257" s="10">
        <f>Daily_Data[[#This Row],[Total_Sales]] * 0.22</f>
        <v>3234.88</v>
      </c>
      <c r="K257" s="10">
        <f>INDEX(Expense_master[Monthly_Rent],MATCH(Daily_Data[[#This Row],[Month_key]],Expense_master[Month_Key],0)) / INDEX(Expense_master[Days_in_Month],MATCH(Daily_Data[[#This Row],[Month_key]],Expense_master[Month_Key],0))</f>
        <v>7000</v>
      </c>
      <c r="L257" s="10">
        <f>SUMIFS(Expense_master[Staff_Salary],Expense_master[Month_Key],Daily_Data[[#This Row],[Month_key]]) / SUMIFS(Expense_master[Days_in_Month],Expense_master[Month_Key],Daily_Data[[#This Row],[Month_key]])</f>
        <v>2333.3333333333335</v>
      </c>
      <c r="M257" s="10">
        <f>Daily_Data[[#This Row],[Rooms_Occupied]] * (SUMIFS(Expense_master[Housekeeping_Laundy],Expense_master[Month_Key],Daily_Data[[#This Row],[Month_key]]) / SUMIFS(Occupancy_table[Monthly_rooms_Occupied],Occupancy_table[Month_Key],Daily_Data[[#This Row],[Month_key]]))</f>
        <v>242.42424242424244</v>
      </c>
      <c r="N2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1486.8593939393941</v>
      </c>
      <c r="O257" s="10">
        <f>SUMIFS(Expense_master[Monthly_Maintenance],Expense_master[Month_Key],Daily_Data[[#This Row],[Month_key]]) / SUMIFS(Expense_master[Days_in_Month],Expense_master[Month_Key], Daily_Data[[#This Row],[Month_key]])</f>
        <v>666.66666666666663</v>
      </c>
      <c r="P257" s="10">
        <f xml:space="preserve"> Daily_Data[[#This Row],[OTA Commision]] + Daily_Data[[#This Row],[Daily_Rent]]+Daily_Data[[#This Row],[Daily_Staff]]+Daily_Data[[#This Row],[Daily_HK]]+Daily_Data[[#This Row],[Daily_Electricity]] + Daily_Data[[#This Row],[Daily Maintenance]]</f>
        <v>14964.163636363637</v>
      </c>
      <c r="Q257" s="10">
        <f>Daily_Data[[#This Row],[Total_Sales]]-Daily_Data[[#This Row],[Total_Daily_Expense]]</f>
        <v>-260.16363636363712</v>
      </c>
      <c r="R257" s="10">
        <f>Daily_Data[[#This Row],[Total_Sales]]/Daily_Data[[#This Row],[Rooms_Occupied]]</f>
        <v>1838</v>
      </c>
      <c r="S257" s="10">
        <f>Daily_Data[[#This Row],[Total_Sales]] / Daily_Data[[#This Row],[Max_rooms]]</f>
        <v>1050.2857142857142</v>
      </c>
    </row>
    <row r="258" spans="1:19" x14ac:dyDescent="0.25">
      <c r="A258" s="6">
        <v>45183</v>
      </c>
      <c r="B258" s="20">
        <f>DATE(YEAR(Daily_Data[[#This Row],[Date]]), MONTH(Daily_Data[[#This Row],[Date]]), 1)</f>
        <v>45170</v>
      </c>
      <c r="C258" s="20" t="str">
        <f>TEXT(Daily_Data[[#This Row],[Month_key]],"mmmm")</f>
        <v>September</v>
      </c>
      <c r="D258" s="20" t="str">
        <f>TEXT(Daily_Data[[#This Row],[Month_key]],"yyyy")</f>
        <v>2023</v>
      </c>
      <c r="E258" s="7">
        <v>10</v>
      </c>
      <c r="F258" s="7">
        <v>14</v>
      </c>
      <c r="G258" s="8">
        <f>Daily_Data[[#This Row],[Rooms_Occupied]]/F258</f>
        <v>0.7142857142857143</v>
      </c>
      <c r="H258" s="7">
        <v>1533</v>
      </c>
      <c r="I258" s="7">
        <f>Daily_Data[[#This Row],[Room_rate]]*Daily_Data[[#This Row],[Rooms_Occupied]]</f>
        <v>15330</v>
      </c>
      <c r="J258" s="10">
        <f>Daily_Data[[#This Row],[Total_Sales]] * 0.22</f>
        <v>3372.6</v>
      </c>
      <c r="K258" s="10">
        <f>INDEX(Expense_master[Monthly_Rent],MATCH(Daily_Data[[#This Row],[Month_key]],Expense_master[Month_Key],0)) / INDEX(Expense_master[Days_in_Month],MATCH(Daily_Data[[#This Row],[Month_key]],Expense_master[Month_Key],0))</f>
        <v>7000</v>
      </c>
      <c r="L258" s="10">
        <f>SUMIFS(Expense_master[Staff_Salary],Expense_master[Month_Key],Daily_Data[[#This Row],[Month_key]]) / SUMIFS(Expense_master[Days_in_Month],Expense_master[Month_Key],Daily_Data[[#This Row],[Month_key]])</f>
        <v>2333.3333333333335</v>
      </c>
      <c r="M258" s="10">
        <f>Daily_Data[[#This Row],[Rooms_Occupied]] * (SUMIFS(Expense_master[Housekeeping_Laundy],Expense_master[Month_Key],Daily_Data[[#This Row],[Month_key]]) / SUMIFS(Occupancy_table[Monthly_rooms_Occupied],Occupancy_table[Month_Key],Daily_Data[[#This Row],[Month_key]]))</f>
        <v>303.03030303030306</v>
      </c>
      <c r="N2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58" s="10">
        <f>SUMIFS(Expense_master[Monthly_Maintenance],Expense_master[Month_Key],Daily_Data[[#This Row],[Month_key]]) / SUMIFS(Expense_master[Days_in_Month],Expense_master[Month_Key], Daily_Data[[#This Row],[Month_key]])</f>
        <v>666.66666666666663</v>
      </c>
      <c r="P258" s="10">
        <f xml:space="preserve"> Daily_Data[[#This Row],[OTA Commision]] + Daily_Data[[#This Row],[Daily_Rent]]+Daily_Data[[#This Row],[Daily_Staff]]+Daily_Data[[#This Row],[Daily_HK]]+Daily_Data[[#This Row],[Daily_Electricity]] + Daily_Data[[#This Row],[Daily Maintenance]]</f>
        <v>15356.427878787881</v>
      </c>
      <c r="Q258" s="10">
        <f>Daily_Data[[#This Row],[Total_Sales]]-Daily_Data[[#This Row],[Total_Daily_Expense]]</f>
        <v>-26.427878787881127</v>
      </c>
      <c r="R258" s="10">
        <f>Daily_Data[[#This Row],[Total_Sales]]/Daily_Data[[#This Row],[Rooms_Occupied]]</f>
        <v>1533</v>
      </c>
      <c r="S258" s="10">
        <f>Daily_Data[[#This Row],[Total_Sales]] / Daily_Data[[#This Row],[Max_rooms]]</f>
        <v>1095</v>
      </c>
    </row>
    <row r="259" spans="1:19" x14ac:dyDescent="0.25">
      <c r="A259" s="6">
        <v>45184</v>
      </c>
      <c r="B259" s="20">
        <f>DATE(YEAR(Daily_Data[[#This Row],[Date]]), MONTH(Daily_Data[[#This Row],[Date]]), 1)</f>
        <v>45170</v>
      </c>
      <c r="C259" s="20" t="str">
        <f>TEXT(Daily_Data[[#This Row],[Month_key]],"mmmm")</f>
        <v>September</v>
      </c>
      <c r="D259" s="20" t="str">
        <f>TEXT(Daily_Data[[#This Row],[Month_key]],"yyyy")</f>
        <v>2023</v>
      </c>
      <c r="E259" s="7">
        <v>11</v>
      </c>
      <c r="F259" s="7">
        <v>14</v>
      </c>
      <c r="G259" s="8">
        <f>Daily_Data[[#This Row],[Rooms_Occupied]]/F259</f>
        <v>0.7857142857142857</v>
      </c>
      <c r="H259" s="7">
        <v>1718</v>
      </c>
      <c r="I259" s="7">
        <f>Daily_Data[[#This Row],[Room_rate]]*Daily_Data[[#This Row],[Rooms_Occupied]]</f>
        <v>18898</v>
      </c>
      <c r="J259" s="10">
        <f>Daily_Data[[#This Row],[Total_Sales]] * 0.22</f>
        <v>4157.5600000000004</v>
      </c>
      <c r="K259" s="10">
        <f>INDEX(Expense_master[Monthly_Rent],MATCH(Daily_Data[[#This Row],[Month_key]],Expense_master[Month_Key],0)) / INDEX(Expense_master[Days_in_Month],MATCH(Daily_Data[[#This Row],[Month_key]],Expense_master[Month_Key],0))</f>
        <v>7000</v>
      </c>
      <c r="L259" s="10">
        <f>SUMIFS(Expense_master[Staff_Salary],Expense_master[Month_Key],Daily_Data[[#This Row],[Month_key]]) / SUMIFS(Expense_master[Days_in_Month],Expense_master[Month_Key],Daily_Data[[#This Row],[Month_key]])</f>
        <v>2333.3333333333335</v>
      </c>
      <c r="M259" s="10">
        <f>Daily_Data[[#This Row],[Rooms_Occupied]] * (SUMIFS(Expense_master[Housekeeping_Laundy],Expense_master[Month_Key],Daily_Data[[#This Row],[Month_key]]) / SUMIFS(Occupancy_table[Monthly_rooms_Occupied],Occupancy_table[Month_Key],Daily_Data[[#This Row],[Month_key]]))</f>
        <v>333.33333333333337</v>
      </c>
      <c r="N2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1777.7666666666669</v>
      </c>
      <c r="O259" s="10">
        <f>SUMIFS(Expense_master[Monthly_Maintenance],Expense_master[Month_Key],Daily_Data[[#This Row],[Month_key]]) / SUMIFS(Expense_master[Days_in_Month],Expense_master[Month_Key], Daily_Data[[#This Row],[Month_key]])</f>
        <v>666.66666666666663</v>
      </c>
      <c r="P259" s="10">
        <f xml:space="preserve"> Daily_Data[[#This Row],[OTA Commision]] + Daily_Data[[#This Row],[Daily_Rent]]+Daily_Data[[#This Row],[Daily_Staff]]+Daily_Data[[#This Row],[Daily_HK]]+Daily_Data[[#This Row],[Daily_Electricity]] + Daily_Data[[#This Row],[Daily Maintenance]]</f>
        <v>16268.660000000002</v>
      </c>
      <c r="Q259" s="10">
        <f>Daily_Data[[#This Row],[Total_Sales]]-Daily_Data[[#This Row],[Total_Daily_Expense]]</f>
        <v>2629.3399999999983</v>
      </c>
      <c r="R259" s="10">
        <f>Daily_Data[[#This Row],[Total_Sales]]/Daily_Data[[#This Row],[Rooms_Occupied]]</f>
        <v>1718</v>
      </c>
      <c r="S259" s="10">
        <f>Daily_Data[[#This Row],[Total_Sales]] / Daily_Data[[#This Row],[Max_rooms]]</f>
        <v>1349.8571428571429</v>
      </c>
    </row>
    <row r="260" spans="1:19" x14ac:dyDescent="0.25">
      <c r="A260" s="6">
        <v>45185</v>
      </c>
      <c r="B260" s="20">
        <f>DATE(YEAR(Daily_Data[[#This Row],[Date]]), MONTH(Daily_Data[[#This Row],[Date]]), 1)</f>
        <v>45170</v>
      </c>
      <c r="C260" s="20" t="str">
        <f>TEXT(Daily_Data[[#This Row],[Month_key]],"mmmm")</f>
        <v>September</v>
      </c>
      <c r="D260" s="20" t="str">
        <f>TEXT(Daily_Data[[#This Row],[Month_key]],"yyyy")</f>
        <v>2023</v>
      </c>
      <c r="E260" s="7">
        <v>13</v>
      </c>
      <c r="F260" s="7">
        <v>14</v>
      </c>
      <c r="G260" s="8">
        <f>Daily_Data[[#This Row],[Rooms_Occupied]]/F260</f>
        <v>0.9285714285714286</v>
      </c>
      <c r="H260" s="7">
        <v>1205</v>
      </c>
      <c r="I260" s="7">
        <f>Daily_Data[[#This Row],[Room_rate]]*Daily_Data[[#This Row],[Rooms_Occupied]]</f>
        <v>15665</v>
      </c>
      <c r="J260" s="10">
        <f>Daily_Data[[#This Row],[Total_Sales]] * 0.22</f>
        <v>3446.3</v>
      </c>
      <c r="K260" s="10">
        <f>INDEX(Expense_master[Monthly_Rent],MATCH(Daily_Data[[#This Row],[Month_key]],Expense_master[Month_Key],0)) / INDEX(Expense_master[Days_in_Month],MATCH(Daily_Data[[#This Row],[Month_key]],Expense_master[Month_Key],0))</f>
        <v>7000</v>
      </c>
      <c r="L260" s="10">
        <f>SUMIFS(Expense_master[Staff_Salary],Expense_master[Month_Key],Daily_Data[[#This Row],[Month_key]]) / SUMIFS(Expense_master[Days_in_Month],Expense_master[Month_Key],Daily_Data[[#This Row],[Month_key]])</f>
        <v>2333.3333333333335</v>
      </c>
      <c r="M260" s="10">
        <f>Daily_Data[[#This Row],[Rooms_Occupied]] * (SUMIFS(Expense_master[Housekeeping_Laundy],Expense_master[Month_Key],Daily_Data[[#This Row],[Month_key]]) / SUMIFS(Occupancy_table[Monthly_rooms_Occupied],Occupancy_table[Month_Key],Daily_Data[[#This Row],[Month_key]]))</f>
        <v>393.93939393939394</v>
      </c>
      <c r="N2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60" s="10">
        <f>SUMIFS(Expense_master[Monthly_Maintenance],Expense_master[Month_Key],Daily_Data[[#This Row],[Month_key]]) / SUMIFS(Expense_master[Days_in_Month],Expense_master[Month_Key], Daily_Data[[#This Row],[Month_key]])</f>
        <v>666.66666666666663</v>
      </c>
      <c r="P260" s="10">
        <f xml:space="preserve"> Daily_Data[[#This Row],[OTA Commision]] + Daily_Data[[#This Row],[Daily_Rent]]+Daily_Data[[#This Row],[Daily_Staff]]+Daily_Data[[#This Row],[Daily_HK]]+Daily_Data[[#This Row],[Daily_Electricity]] + Daily_Data[[#This Row],[Daily Maintenance]]</f>
        <v>15811.944242424242</v>
      </c>
      <c r="Q260" s="10">
        <f>Daily_Data[[#This Row],[Total_Sales]]-Daily_Data[[#This Row],[Total_Daily_Expense]]</f>
        <v>-146.94424242424247</v>
      </c>
      <c r="R260" s="10">
        <f>Daily_Data[[#This Row],[Total_Sales]]/Daily_Data[[#This Row],[Rooms_Occupied]]</f>
        <v>1205</v>
      </c>
      <c r="S260" s="10">
        <f>Daily_Data[[#This Row],[Total_Sales]] / Daily_Data[[#This Row],[Max_rooms]]</f>
        <v>1118.9285714285713</v>
      </c>
    </row>
    <row r="261" spans="1:19" x14ac:dyDescent="0.25">
      <c r="A261" s="6">
        <v>45186</v>
      </c>
      <c r="B261" s="20">
        <f>DATE(YEAR(Daily_Data[[#This Row],[Date]]), MONTH(Daily_Data[[#This Row],[Date]]), 1)</f>
        <v>45170</v>
      </c>
      <c r="C261" s="20" t="str">
        <f>TEXT(Daily_Data[[#This Row],[Month_key]],"mmmm")</f>
        <v>September</v>
      </c>
      <c r="D261" s="20" t="str">
        <f>TEXT(Daily_Data[[#This Row],[Month_key]],"yyyy")</f>
        <v>2023</v>
      </c>
      <c r="E261" s="7">
        <v>14</v>
      </c>
      <c r="F261" s="7">
        <v>14</v>
      </c>
      <c r="G261" s="8">
        <f>Daily_Data[[#This Row],[Rooms_Occupied]]/F261</f>
        <v>1</v>
      </c>
      <c r="H261" s="7">
        <v>1203</v>
      </c>
      <c r="I261" s="7">
        <f>Daily_Data[[#This Row],[Room_rate]]*Daily_Data[[#This Row],[Rooms_Occupied]]</f>
        <v>16842</v>
      </c>
      <c r="J261" s="10">
        <f>Daily_Data[[#This Row],[Total_Sales]] * 0.22</f>
        <v>3705.2400000000002</v>
      </c>
      <c r="K261" s="10">
        <f>INDEX(Expense_master[Monthly_Rent],MATCH(Daily_Data[[#This Row],[Month_key]],Expense_master[Month_Key],0)) / INDEX(Expense_master[Days_in_Month],MATCH(Daily_Data[[#This Row],[Month_key]],Expense_master[Month_Key],0))</f>
        <v>7000</v>
      </c>
      <c r="L261" s="10">
        <f>SUMIFS(Expense_master[Staff_Salary],Expense_master[Month_Key],Daily_Data[[#This Row],[Month_key]]) / SUMIFS(Expense_master[Days_in_Month],Expense_master[Month_Key],Daily_Data[[#This Row],[Month_key]])</f>
        <v>2333.3333333333335</v>
      </c>
      <c r="M261" s="10">
        <f>Daily_Data[[#This Row],[Rooms_Occupied]] * (SUMIFS(Expense_master[Housekeeping_Laundy],Expense_master[Month_Key],Daily_Data[[#This Row],[Month_key]]) / SUMIFS(Occupancy_table[Monthly_rooms_Occupied],Occupancy_table[Month_Key],Daily_Data[[#This Row],[Month_key]]))</f>
        <v>424.24242424242425</v>
      </c>
      <c r="N2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2068.6739393939392</v>
      </c>
      <c r="O261" s="10">
        <f>SUMIFS(Expense_master[Monthly_Maintenance],Expense_master[Month_Key],Daily_Data[[#This Row],[Month_key]]) / SUMIFS(Expense_master[Days_in_Month],Expense_master[Month_Key], Daily_Data[[#This Row],[Month_key]])</f>
        <v>666.66666666666663</v>
      </c>
      <c r="P261" s="10">
        <f xml:space="preserve"> Daily_Data[[#This Row],[OTA Commision]] + Daily_Data[[#This Row],[Daily_Rent]]+Daily_Data[[#This Row],[Daily_Staff]]+Daily_Data[[#This Row],[Daily_HK]]+Daily_Data[[#This Row],[Daily_Electricity]] + Daily_Data[[#This Row],[Daily Maintenance]]</f>
        <v>16198.156363636363</v>
      </c>
      <c r="Q261" s="10">
        <f>Daily_Data[[#This Row],[Total_Sales]]-Daily_Data[[#This Row],[Total_Daily_Expense]]</f>
        <v>643.84363636363742</v>
      </c>
      <c r="R261" s="10">
        <f>Daily_Data[[#This Row],[Total_Sales]]/Daily_Data[[#This Row],[Rooms_Occupied]]</f>
        <v>1203</v>
      </c>
      <c r="S261" s="10">
        <f>Daily_Data[[#This Row],[Total_Sales]] / Daily_Data[[#This Row],[Max_rooms]]</f>
        <v>1203</v>
      </c>
    </row>
    <row r="262" spans="1:19" x14ac:dyDescent="0.25">
      <c r="A262" s="6">
        <v>45187</v>
      </c>
      <c r="B262" s="20">
        <f>DATE(YEAR(Daily_Data[[#This Row],[Date]]), MONTH(Daily_Data[[#This Row],[Date]]), 1)</f>
        <v>45170</v>
      </c>
      <c r="C262" s="20" t="str">
        <f>TEXT(Daily_Data[[#This Row],[Month_key]],"mmmm")</f>
        <v>September</v>
      </c>
      <c r="D262" s="20" t="str">
        <f>TEXT(Daily_Data[[#This Row],[Month_key]],"yyyy")</f>
        <v>2023</v>
      </c>
      <c r="E262" s="7">
        <v>13</v>
      </c>
      <c r="F262" s="7">
        <v>14</v>
      </c>
      <c r="G262" s="8">
        <f>Daily_Data[[#This Row],[Rooms_Occupied]]/F262</f>
        <v>0.9285714285714286</v>
      </c>
      <c r="H262" s="7">
        <v>1063</v>
      </c>
      <c r="I262" s="7">
        <f>Daily_Data[[#This Row],[Room_rate]]*Daily_Data[[#This Row],[Rooms_Occupied]]</f>
        <v>13819</v>
      </c>
      <c r="J262" s="10">
        <f>Daily_Data[[#This Row],[Total_Sales]] * 0.22</f>
        <v>3040.18</v>
      </c>
      <c r="K262" s="10">
        <f>INDEX(Expense_master[Monthly_Rent],MATCH(Daily_Data[[#This Row],[Month_key]],Expense_master[Month_Key],0)) / INDEX(Expense_master[Days_in_Month],MATCH(Daily_Data[[#This Row],[Month_key]],Expense_master[Month_Key],0))</f>
        <v>7000</v>
      </c>
      <c r="L262" s="10">
        <f>SUMIFS(Expense_master[Staff_Salary],Expense_master[Month_Key],Daily_Data[[#This Row],[Month_key]]) / SUMIFS(Expense_master[Days_in_Month],Expense_master[Month_Key],Daily_Data[[#This Row],[Month_key]])</f>
        <v>2333.3333333333335</v>
      </c>
      <c r="M262" s="10">
        <f>Daily_Data[[#This Row],[Rooms_Occupied]] * (SUMIFS(Expense_master[Housekeeping_Laundy],Expense_master[Month_Key],Daily_Data[[#This Row],[Month_key]]) / SUMIFS(Occupancy_table[Monthly_rooms_Occupied],Occupancy_table[Month_Key],Daily_Data[[#This Row],[Month_key]]))</f>
        <v>393.93939393939394</v>
      </c>
      <c r="N2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62" s="10">
        <f>SUMIFS(Expense_master[Monthly_Maintenance],Expense_master[Month_Key],Daily_Data[[#This Row],[Month_key]]) / SUMIFS(Expense_master[Days_in_Month],Expense_master[Month_Key], Daily_Data[[#This Row],[Month_key]])</f>
        <v>666.66666666666663</v>
      </c>
      <c r="P262" s="10">
        <f xml:space="preserve"> Daily_Data[[#This Row],[OTA Commision]] + Daily_Data[[#This Row],[Daily_Rent]]+Daily_Data[[#This Row],[Daily_Staff]]+Daily_Data[[#This Row],[Daily_HK]]+Daily_Data[[#This Row],[Daily_Electricity]] + Daily_Data[[#This Row],[Daily Maintenance]]</f>
        <v>15405.824242424243</v>
      </c>
      <c r="Q262" s="10">
        <f>Daily_Data[[#This Row],[Total_Sales]]-Daily_Data[[#This Row],[Total_Daily_Expense]]</f>
        <v>-1586.8242424242435</v>
      </c>
      <c r="R262" s="10">
        <f>Daily_Data[[#This Row],[Total_Sales]]/Daily_Data[[#This Row],[Rooms_Occupied]]</f>
        <v>1063</v>
      </c>
      <c r="S262" s="10">
        <f>Daily_Data[[#This Row],[Total_Sales]] / Daily_Data[[#This Row],[Max_rooms]]</f>
        <v>987.07142857142856</v>
      </c>
    </row>
    <row r="263" spans="1:19" x14ac:dyDescent="0.25">
      <c r="A263" s="6">
        <v>45188</v>
      </c>
      <c r="B263" s="20">
        <f>DATE(YEAR(Daily_Data[[#This Row],[Date]]), MONTH(Daily_Data[[#This Row],[Date]]), 1)</f>
        <v>45170</v>
      </c>
      <c r="C263" s="20" t="str">
        <f>TEXT(Daily_Data[[#This Row],[Month_key]],"mmmm")</f>
        <v>September</v>
      </c>
      <c r="D263" s="20" t="str">
        <f>TEXT(Daily_Data[[#This Row],[Month_key]],"yyyy")</f>
        <v>2023</v>
      </c>
      <c r="E263" s="7">
        <v>10</v>
      </c>
      <c r="F263" s="7">
        <v>14</v>
      </c>
      <c r="G263" s="8">
        <f>Daily_Data[[#This Row],[Rooms_Occupied]]/F263</f>
        <v>0.7142857142857143</v>
      </c>
      <c r="H263" s="7">
        <v>1911</v>
      </c>
      <c r="I263" s="7">
        <f>Daily_Data[[#This Row],[Room_rate]]*Daily_Data[[#This Row],[Rooms_Occupied]]</f>
        <v>19110</v>
      </c>
      <c r="J263" s="10">
        <f>Daily_Data[[#This Row],[Total_Sales]] * 0.22</f>
        <v>4204.2</v>
      </c>
      <c r="K263" s="10">
        <f>INDEX(Expense_master[Monthly_Rent],MATCH(Daily_Data[[#This Row],[Month_key]],Expense_master[Month_Key],0)) / INDEX(Expense_master[Days_in_Month],MATCH(Daily_Data[[#This Row],[Month_key]],Expense_master[Month_Key],0))</f>
        <v>7000</v>
      </c>
      <c r="L263" s="10">
        <f>SUMIFS(Expense_master[Staff_Salary],Expense_master[Month_Key],Daily_Data[[#This Row],[Month_key]]) / SUMIFS(Expense_master[Days_in_Month],Expense_master[Month_Key],Daily_Data[[#This Row],[Month_key]])</f>
        <v>2333.3333333333335</v>
      </c>
      <c r="M263" s="10">
        <f>Daily_Data[[#This Row],[Rooms_Occupied]] * (SUMIFS(Expense_master[Housekeeping_Laundy],Expense_master[Month_Key],Daily_Data[[#This Row],[Month_key]]) / SUMIFS(Occupancy_table[Monthly_rooms_Occupied],Occupancy_table[Month_Key],Daily_Data[[#This Row],[Month_key]]))</f>
        <v>303.03030303030306</v>
      </c>
      <c r="N2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63" s="10">
        <f>SUMIFS(Expense_master[Monthly_Maintenance],Expense_master[Month_Key],Daily_Data[[#This Row],[Month_key]]) / SUMIFS(Expense_master[Days_in_Month],Expense_master[Month_Key], Daily_Data[[#This Row],[Month_key]])</f>
        <v>666.66666666666663</v>
      </c>
      <c r="P263" s="10">
        <f xml:space="preserve"> Daily_Data[[#This Row],[OTA Commision]] + Daily_Data[[#This Row],[Daily_Rent]]+Daily_Data[[#This Row],[Daily_Staff]]+Daily_Data[[#This Row],[Daily_HK]]+Daily_Data[[#This Row],[Daily_Electricity]] + Daily_Data[[#This Row],[Daily Maintenance]]</f>
        <v>16188.02787878788</v>
      </c>
      <c r="Q263" s="10">
        <f>Daily_Data[[#This Row],[Total_Sales]]-Daily_Data[[#This Row],[Total_Daily_Expense]]</f>
        <v>2921.9721212121203</v>
      </c>
      <c r="R263" s="10">
        <f>Daily_Data[[#This Row],[Total_Sales]]/Daily_Data[[#This Row],[Rooms_Occupied]]</f>
        <v>1911</v>
      </c>
      <c r="S263" s="10">
        <f>Daily_Data[[#This Row],[Total_Sales]] / Daily_Data[[#This Row],[Max_rooms]]</f>
        <v>1365</v>
      </c>
    </row>
    <row r="264" spans="1:19" x14ac:dyDescent="0.25">
      <c r="A264" s="6">
        <v>45189</v>
      </c>
      <c r="B264" s="20">
        <f>DATE(YEAR(Daily_Data[[#This Row],[Date]]), MONTH(Daily_Data[[#This Row],[Date]]), 1)</f>
        <v>45170</v>
      </c>
      <c r="C264" s="20" t="str">
        <f>TEXT(Daily_Data[[#This Row],[Month_key]],"mmmm")</f>
        <v>September</v>
      </c>
      <c r="D264" s="20" t="str">
        <f>TEXT(Daily_Data[[#This Row],[Month_key]],"yyyy")</f>
        <v>2023</v>
      </c>
      <c r="E264" s="7">
        <v>13</v>
      </c>
      <c r="F264" s="7">
        <v>14</v>
      </c>
      <c r="G264" s="8">
        <f>Daily_Data[[#This Row],[Rooms_Occupied]]/F264</f>
        <v>0.9285714285714286</v>
      </c>
      <c r="H264" s="7">
        <v>1398</v>
      </c>
      <c r="I264" s="7">
        <f>Daily_Data[[#This Row],[Room_rate]]*Daily_Data[[#This Row],[Rooms_Occupied]]</f>
        <v>18174</v>
      </c>
      <c r="J264" s="10">
        <f>Daily_Data[[#This Row],[Total_Sales]] * 0.22</f>
        <v>3998.28</v>
      </c>
      <c r="K264" s="10">
        <f>INDEX(Expense_master[Monthly_Rent],MATCH(Daily_Data[[#This Row],[Month_key]],Expense_master[Month_Key],0)) / INDEX(Expense_master[Days_in_Month],MATCH(Daily_Data[[#This Row],[Month_key]],Expense_master[Month_Key],0))</f>
        <v>7000</v>
      </c>
      <c r="L264" s="10">
        <f>SUMIFS(Expense_master[Staff_Salary],Expense_master[Month_Key],Daily_Data[[#This Row],[Month_key]]) / SUMIFS(Expense_master[Days_in_Month],Expense_master[Month_Key],Daily_Data[[#This Row],[Month_key]])</f>
        <v>2333.3333333333335</v>
      </c>
      <c r="M264" s="10">
        <f>Daily_Data[[#This Row],[Rooms_Occupied]] * (SUMIFS(Expense_master[Housekeeping_Laundy],Expense_master[Month_Key],Daily_Data[[#This Row],[Month_key]]) / SUMIFS(Occupancy_table[Monthly_rooms_Occupied],Occupancy_table[Month_Key],Daily_Data[[#This Row],[Month_key]]))</f>
        <v>393.93939393939394</v>
      </c>
      <c r="N2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64" s="10">
        <f>SUMIFS(Expense_master[Monthly_Maintenance],Expense_master[Month_Key],Daily_Data[[#This Row],[Month_key]]) / SUMIFS(Expense_master[Days_in_Month],Expense_master[Month_Key], Daily_Data[[#This Row],[Month_key]])</f>
        <v>666.66666666666663</v>
      </c>
      <c r="P264" s="10">
        <f xml:space="preserve"> Daily_Data[[#This Row],[OTA Commision]] + Daily_Data[[#This Row],[Daily_Rent]]+Daily_Data[[#This Row],[Daily_Staff]]+Daily_Data[[#This Row],[Daily_HK]]+Daily_Data[[#This Row],[Daily_Electricity]] + Daily_Data[[#This Row],[Daily Maintenance]]</f>
        <v>16363.924242424242</v>
      </c>
      <c r="Q264" s="10">
        <f>Daily_Data[[#This Row],[Total_Sales]]-Daily_Data[[#This Row],[Total_Daily_Expense]]</f>
        <v>1810.075757575758</v>
      </c>
      <c r="R264" s="10">
        <f>Daily_Data[[#This Row],[Total_Sales]]/Daily_Data[[#This Row],[Rooms_Occupied]]</f>
        <v>1398</v>
      </c>
      <c r="S264" s="10">
        <f>Daily_Data[[#This Row],[Total_Sales]] / Daily_Data[[#This Row],[Max_rooms]]</f>
        <v>1298.1428571428571</v>
      </c>
    </row>
    <row r="265" spans="1:19" x14ac:dyDescent="0.25">
      <c r="A265" s="6">
        <v>45190</v>
      </c>
      <c r="B265" s="20">
        <f>DATE(YEAR(Daily_Data[[#This Row],[Date]]), MONTH(Daily_Data[[#This Row],[Date]]), 1)</f>
        <v>45170</v>
      </c>
      <c r="C265" s="20" t="str">
        <f>TEXT(Daily_Data[[#This Row],[Month_key]],"mmmm")</f>
        <v>September</v>
      </c>
      <c r="D265" s="20" t="str">
        <f>TEXT(Daily_Data[[#This Row],[Month_key]],"yyyy")</f>
        <v>2023</v>
      </c>
      <c r="E265" s="7">
        <v>11</v>
      </c>
      <c r="F265" s="7">
        <v>14</v>
      </c>
      <c r="G265" s="8">
        <f>Daily_Data[[#This Row],[Rooms_Occupied]]/F265</f>
        <v>0.7857142857142857</v>
      </c>
      <c r="H265" s="7">
        <v>1404</v>
      </c>
      <c r="I265" s="7">
        <f>Daily_Data[[#This Row],[Room_rate]]*Daily_Data[[#This Row],[Rooms_Occupied]]</f>
        <v>15444</v>
      </c>
      <c r="J265" s="10">
        <f>Daily_Data[[#This Row],[Total_Sales]] * 0.22</f>
        <v>3397.68</v>
      </c>
      <c r="K265" s="10">
        <f>INDEX(Expense_master[Monthly_Rent],MATCH(Daily_Data[[#This Row],[Month_key]],Expense_master[Month_Key],0)) / INDEX(Expense_master[Days_in_Month],MATCH(Daily_Data[[#This Row],[Month_key]],Expense_master[Month_Key],0))</f>
        <v>7000</v>
      </c>
      <c r="L265" s="10">
        <f>SUMIFS(Expense_master[Staff_Salary],Expense_master[Month_Key],Daily_Data[[#This Row],[Month_key]]) / SUMIFS(Expense_master[Days_in_Month],Expense_master[Month_Key],Daily_Data[[#This Row],[Month_key]])</f>
        <v>2333.3333333333335</v>
      </c>
      <c r="M265" s="10">
        <f>Daily_Data[[#This Row],[Rooms_Occupied]] * (SUMIFS(Expense_master[Housekeeping_Laundy],Expense_master[Month_Key],Daily_Data[[#This Row],[Month_key]]) / SUMIFS(Occupancy_table[Monthly_rooms_Occupied],Occupancy_table[Month_Key],Daily_Data[[#This Row],[Month_key]]))</f>
        <v>333.33333333333337</v>
      </c>
      <c r="N2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1777.7666666666669</v>
      </c>
      <c r="O265" s="10">
        <f>SUMIFS(Expense_master[Monthly_Maintenance],Expense_master[Month_Key],Daily_Data[[#This Row],[Month_key]]) / SUMIFS(Expense_master[Days_in_Month],Expense_master[Month_Key], Daily_Data[[#This Row],[Month_key]])</f>
        <v>666.66666666666663</v>
      </c>
      <c r="P265" s="10">
        <f xml:space="preserve"> Daily_Data[[#This Row],[OTA Commision]] + Daily_Data[[#This Row],[Daily_Rent]]+Daily_Data[[#This Row],[Daily_Staff]]+Daily_Data[[#This Row],[Daily_HK]]+Daily_Data[[#This Row],[Daily_Electricity]] + Daily_Data[[#This Row],[Daily Maintenance]]</f>
        <v>15508.78</v>
      </c>
      <c r="Q265" s="10">
        <f>Daily_Data[[#This Row],[Total_Sales]]-Daily_Data[[#This Row],[Total_Daily_Expense]]</f>
        <v>-64.780000000000655</v>
      </c>
      <c r="R265" s="10">
        <f>Daily_Data[[#This Row],[Total_Sales]]/Daily_Data[[#This Row],[Rooms_Occupied]]</f>
        <v>1404</v>
      </c>
      <c r="S265" s="10">
        <f>Daily_Data[[#This Row],[Total_Sales]] / Daily_Data[[#This Row],[Max_rooms]]</f>
        <v>1103.1428571428571</v>
      </c>
    </row>
    <row r="266" spans="1:19" x14ac:dyDescent="0.25">
      <c r="A266" s="6">
        <v>45191</v>
      </c>
      <c r="B266" s="20">
        <f>DATE(YEAR(Daily_Data[[#This Row],[Date]]), MONTH(Daily_Data[[#This Row],[Date]]), 1)</f>
        <v>45170</v>
      </c>
      <c r="C266" s="20" t="str">
        <f>TEXT(Daily_Data[[#This Row],[Month_key]],"mmmm")</f>
        <v>September</v>
      </c>
      <c r="D266" s="20" t="str">
        <f>TEXT(Daily_Data[[#This Row],[Month_key]],"yyyy")</f>
        <v>2023</v>
      </c>
      <c r="E266" s="7">
        <v>9</v>
      </c>
      <c r="F266" s="7">
        <v>14</v>
      </c>
      <c r="G266" s="8">
        <f>Daily_Data[[#This Row],[Rooms_Occupied]]/F266</f>
        <v>0.6428571428571429</v>
      </c>
      <c r="H266" s="7">
        <v>1383</v>
      </c>
      <c r="I266" s="7">
        <f>Daily_Data[[#This Row],[Room_rate]]*Daily_Data[[#This Row],[Rooms_Occupied]]</f>
        <v>12447</v>
      </c>
      <c r="J266" s="10">
        <f>Daily_Data[[#This Row],[Total_Sales]] * 0.22</f>
        <v>2738.34</v>
      </c>
      <c r="K266" s="10">
        <f>INDEX(Expense_master[Monthly_Rent],MATCH(Daily_Data[[#This Row],[Month_key]],Expense_master[Month_Key],0)) / INDEX(Expense_master[Days_in_Month],MATCH(Daily_Data[[#This Row],[Month_key]],Expense_master[Month_Key],0))</f>
        <v>7000</v>
      </c>
      <c r="L266" s="10">
        <f>SUMIFS(Expense_master[Staff_Salary],Expense_master[Month_Key],Daily_Data[[#This Row],[Month_key]]) / SUMIFS(Expense_master[Days_in_Month],Expense_master[Month_Key],Daily_Data[[#This Row],[Month_key]])</f>
        <v>2333.3333333333335</v>
      </c>
      <c r="M266" s="10">
        <f>Daily_Data[[#This Row],[Rooms_Occupied]] * (SUMIFS(Expense_master[Housekeeping_Laundy],Expense_master[Month_Key],Daily_Data[[#This Row],[Month_key]]) / SUMIFS(Occupancy_table[Monthly_rooms_Occupied],Occupancy_table[Month_Key],Daily_Data[[#This Row],[Month_key]]))</f>
        <v>272.72727272727275</v>
      </c>
      <c r="N2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1583.828484848485</v>
      </c>
      <c r="O266" s="10">
        <f>SUMIFS(Expense_master[Monthly_Maintenance],Expense_master[Month_Key],Daily_Data[[#This Row],[Month_key]]) / SUMIFS(Expense_master[Days_in_Month],Expense_master[Month_Key], Daily_Data[[#This Row],[Month_key]])</f>
        <v>666.66666666666663</v>
      </c>
      <c r="P266" s="10">
        <f xml:space="preserve"> Daily_Data[[#This Row],[OTA Commision]] + Daily_Data[[#This Row],[Daily_Rent]]+Daily_Data[[#This Row],[Daily_Staff]]+Daily_Data[[#This Row],[Daily_HK]]+Daily_Data[[#This Row],[Daily_Electricity]] + Daily_Data[[#This Row],[Daily Maintenance]]</f>
        <v>14594.895757575758</v>
      </c>
      <c r="Q266" s="10">
        <f>Daily_Data[[#This Row],[Total_Sales]]-Daily_Data[[#This Row],[Total_Daily_Expense]]</f>
        <v>-2147.8957575757577</v>
      </c>
      <c r="R266" s="10">
        <f>Daily_Data[[#This Row],[Total_Sales]]/Daily_Data[[#This Row],[Rooms_Occupied]]</f>
        <v>1383</v>
      </c>
      <c r="S266" s="10">
        <f>Daily_Data[[#This Row],[Total_Sales]] / Daily_Data[[#This Row],[Max_rooms]]</f>
        <v>889.07142857142856</v>
      </c>
    </row>
    <row r="267" spans="1:19" x14ac:dyDescent="0.25">
      <c r="A267" s="6">
        <v>45192</v>
      </c>
      <c r="B267" s="20">
        <f>DATE(YEAR(Daily_Data[[#This Row],[Date]]), MONTH(Daily_Data[[#This Row],[Date]]), 1)</f>
        <v>45170</v>
      </c>
      <c r="C267" s="20" t="str">
        <f>TEXT(Daily_Data[[#This Row],[Month_key]],"mmmm")</f>
        <v>September</v>
      </c>
      <c r="D267" s="20" t="str">
        <f>TEXT(Daily_Data[[#This Row],[Month_key]],"yyyy")</f>
        <v>2023</v>
      </c>
      <c r="E267" s="7">
        <v>10</v>
      </c>
      <c r="F267" s="7">
        <v>14</v>
      </c>
      <c r="G267" s="8">
        <f>Daily_Data[[#This Row],[Rooms_Occupied]]/F267</f>
        <v>0.7142857142857143</v>
      </c>
      <c r="H267" s="7">
        <v>1246</v>
      </c>
      <c r="I267" s="7">
        <f>Daily_Data[[#This Row],[Room_rate]]*Daily_Data[[#This Row],[Rooms_Occupied]]</f>
        <v>12460</v>
      </c>
      <c r="J267" s="10">
        <f>Daily_Data[[#This Row],[Total_Sales]] * 0.22</f>
        <v>2741.2</v>
      </c>
      <c r="K267" s="10">
        <f>INDEX(Expense_master[Monthly_Rent],MATCH(Daily_Data[[#This Row],[Month_key]],Expense_master[Month_Key],0)) / INDEX(Expense_master[Days_in_Month],MATCH(Daily_Data[[#This Row],[Month_key]],Expense_master[Month_Key],0))</f>
        <v>7000</v>
      </c>
      <c r="L267" s="10">
        <f>SUMIFS(Expense_master[Staff_Salary],Expense_master[Month_Key],Daily_Data[[#This Row],[Month_key]]) / SUMIFS(Expense_master[Days_in_Month],Expense_master[Month_Key],Daily_Data[[#This Row],[Month_key]])</f>
        <v>2333.3333333333335</v>
      </c>
      <c r="M267" s="10">
        <f>Daily_Data[[#This Row],[Rooms_Occupied]] * (SUMIFS(Expense_master[Housekeeping_Laundy],Expense_master[Month_Key],Daily_Data[[#This Row],[Month_key]]) / SUMIFS(Occupancy_table[Monthly_rooms_Occupied],Occupancy_table[Month_Key],Daily_Data[[#This Row],[Month_key]]))</f>
        <v>303.03030303030306</v>
      </c>
      <c r="N2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67" s="10">
        <f>SUMIFS(Expense_master[Monthly_Maintenance],Expense_master[Month_Key],Daily_Data[[#This Row],[Month_key]]) / SUMIFS(Expense_master[Days_in_Month],Expense_master[Month_Key], Daily_Data[[#This Row],[Month_key]])</f>
        <v>666.66666666666663</v>
      </c>
      <c r="P267" s="10">
        <f xml:space="preserve"> Daily_Data[[#This Row],[OTA Commision]] + Daily_Data[[#This Row],[Daily_Rent]]+Daily_Data[[#This Row],[Daily_Staff]]+Daily_Data[[#This Row],[Daily_HK]]+Daily_Data[[#This Row],[Daily_Electricity]] + Daily_Data[[#This Row],[Daily Maintenance]]</f>
        <v>14725.02787878788</v>
      </c>
      <c r="Q267" s="10">
        <f>Daily_Data[[#This Row],[Total_Sales]]-Daily_Data[[#This Row],[Total_Daily_Expense]]</f>
        <v>-2265.0278787878797</v>
      </c>
      <c r="R267" s="10">
        <f>Daily_Data[[#This Row],[Total_Sales]]/Daily_Data[[#This Row],[Rooms_Occupied]]</f>
        <v>1246</v>
      </c>
      <c r="S267" s="10">
        <f>Daily_Data[[#This Row],[Total_Sales]] / Daily_Data[[#This Row],[Max_rooms]]</f>
        <v>890</v>
      </c>
    </row>
    <row r="268" spans="1:19" x14ac:dyDescent="0.25">
      <c r="A268" s="6">
        <v>45193</v>
      </c>
      <c r="B268" s="20">
        <f>DATE(YEAR(Daily_Data[[#This Row],[Date]]), MONTH(Daily_Data[[#This Row],[Date]]), 1)</f>
        <v>45170</v>
      </c>
      <c r="C268" s="20" t="str">
        <f>TEXT(Daily_Data[[#This Row],[Month_key]],"mmmm")</f>
        <v>September</v>
      </c>
      <c r="D268" s="20" t="str">
        <f>TEXT(Daily_Data[[#This Row],[Month_key]],"yyyy")</f>
        <v>2023</v>
      </c>
      <c r="E268" s="7">
        <v>10</v>
      </c>
      <c r="F268" s="7">
        <v>14</v>
      </c>
      <c r="G268" s="8">
        <f>Daily_Data[[#This Row],[Rooms_Occupied]]/F268</f>
        <v>0.7142857142857143</v>
      </c>
      <c r="H268" s="7">
        <v>1061</v>
      </c>
      <c r="I268" s="7">
        <f>Daily_Data[[#This Row],[Room_rate]]*Daily_Data[[#This Row],[Rooms_Occupied]]</f>
        <v>10610</v>
      </c>
      <c r="J268" s="10">
        <f>Daily_Data[[#This Row],[Total_Sales]] * 0.22</f>
        <v>2334.1999999999998</v>
      </c>
      <c r="K268" s="10">
        <f>INDEX(Expense_master[Monthly_Rent],MATCH(Daily_Data[[#This Row],[Month_key]],Expense_master[Month_Key],0)) / INDEX(Expense_master[Days_in_Month],MATCH(Daily_Data[[#This Row],[Month_key]],Expense_master[Month_Key],0))</f>
        <v>7000</v>
      </c>
      <c r="L268" s="10">
        <f>SUMIFS(Expense_master[Staff_Salary],Expense_master[Month_Key],Daily_Data[[#This Row],[Month_key]]) / SUMIFS(Expense_master[Days_in_Month],Expense_master[Month_Key],Daily_Data[[#This Row],[Month_key]])</f>
        <v>2333.3333333333335</v>
      </c>
      <c r="M268" s="10">
        <f>Daily_Data[[#This Row],[Rooms_Occupied]] * (SUMIFS(Expense_master[Housekeeping_Laundy],Expense_master[Month_Key],Daily_Data[[#This Row],[Month_key]]) / SUMIFS(Occupancy_table[Monthly_rooms_Occupied],Occupancy_table[Month_Key],Daily_Data[[#This Row],[Month_key]]))</f>
        <v>303.03030303030306</v>
      </c>
      <c r="N2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68" s="10">
        <f>SUMIFS(Expense_master[Monthly_Maintenance],Expense_master[Month_Key],Daily_Data[[#This Row],[Month_key]]) / SUMIFS(Expense_master[Days_in_Month],Expense_master[Month_Key], Daily_Data[[#This Row],[Month_key]])</f>
        <v>666.66666666666663</v>
      </c>
      <c r="P268" s="10">
        <f xml:space="preserve"> Daily_Data[[#This Row],[OTA Commision]] + Daily_Data[[#This Row],[Daily_Rent]]+Daily_Data[[#This Row],[Daily_Staff]]+Daily_Data[[#This Row],[Daily_HK]]+Daily_Data[[#This Row],[Daily_Electricity]] + Daily_Data[[#This Row],[Daily Maintenance]]</f>
        <v>14318.02787878788</v>
      </c>
      <c r="Q268" s="10">
        <f>Daily_Data[[#This Row],[Total_Sales]]-Daily_Data[[#This Row],[Total_Daily_Expense]]</f>
        <v>-3708.0278787878797</v>
      </c>
      <c r="R268" s="10">
        <f>Daily_Data[[#This Row],[Total_Sales]]/Daily_Data[[#This Row],[Rooms_Occupied]]</f>
        <v>1061</v>
      </c>
      <c r="S268" s="10">
        <f>Daily_Data[[#This Row],[Total_Sales]] / Daily_Data[[#This Row],[Max_rooms]]</f>
        <v>757.85714285714289</v>
      </c>
    </row>
    <row r="269" spans="1:19" x14ac:dyDescent="0.25">
      <c r="A269" s="6">
        <v>45194</v>
      </c>
      <c r="B269" s="20">
        <f>DATE(YEAR(Daily_Data[[#This Row],[Date]]), MONTH(Daily_Data[[#This Row],[Date]]), 1)</f>
        <v>45170</v>
      </c>
      <c r="C269" s="20" t="str">
        <f>TEXT(Daily_Data[[#This Row],[Month_key]],"mmmm")</f>
        <v>September</v>
      </c>
      <c r="D269" s="20" t="str">
        <f>TEXT(Daily_Data[[#This Row],[Month_key]],"yyyy")</f>
        <v>2023</v>
      </c>
      <c r="E269" s="7">
        <v>14</v>
      </c>
      <c r="F269" s="7">
        <v>14</v>
      </c>
      <c r="G269" s="8">
        <f>Daily_Data[[#This Row],[Rooms_Occupied]]/F269</f>
        <v>1</v>
      </c>
      <c r="H269" s="7">
        <v>1628</v>
      </c>
      <c r="I269" s="7">
        <f>Daily_Data[[#This Row],[Room_rate]]*Daily_Data[[#This Row],[Rooms_Occupied]]</f>
        <v>22792</v>
      </c>
      <c r="J269" s="10">
        <f>Daily_Data[[#This Row],[Total_Sales]] * 0.22</f>
        <v>5014.24</v>
      </c>
      <c r="K269" s="10">
        <f>INDEX(Expense_master[Monthly_Rent],MATCH(Daily_Data[[#This Row],[Month_key]],Expense_master[Month_Key],0)) / INDEX(Expense_master[Days_in_Month],MATCH(Daily_Data[[#This Row],[Month_key]],Expense_master[Month_Key],0))</f>
        <v>7000</v>
      </c>
      <c r="L269" s="10">
        <f>SUMIFS(Expense_master[Staff_Salary],Expense_master[Month_Key],Daily_Data[[#This Row],[Month_key]]) / SUMIFS(Expense_master[Days_in_Month],Expense_master[Month_Key],Daily_Data[[#This Row],[Month_key]])</f>
        <v>2333.3333333333335</v>
      </c>
      <c r="M269" s="10">
        <f>Daily_Data[[#This Row],[Rooms_Occupied]] * (SUMIFS(Expense_master[Housekeeping_Laundy],Expense_master[Month_Key],Daily_Data[[#This Row],[Month_key]]) / SUMIFS(Occupancy_table[Monthly_rooms_Occupied],Occupancy_table[Month_Key],Daily_Data[[#This Row],[Month_key]]))</f>
        <v>424.24242424242425</v>
      </c>
      <c r="N2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2068.6739393939392</v>
      </c>
      <c r="O269" s="10">
        <f>SUMIFS(Expense_master[Monthly_Maintenance],Expense_master[Month_Key],Daily_Data[[#This Row],[Month_key]]) / SUMIFS(Expense_master[Days_in_Month],Expense_master[Month_Key], Daily_Data[[#This Row],[Month_key]])</f>
        <v>666.66666666666663</v>
      </c>
      <c r="P269" s="10">
        <f xml:space="preserve"> Daily_Data[[#This Row],[OTA Commision]] + Daily_Data[[#This Row],[Daily_Rent]]+Daily_Data[[#This Row],[Daily_Staff]]+Daily_Data[[#This Row],[Daily_HK]]+Daily_Data[[#This Row],[Daily_Electricity]] + Daily_Data[[#This Row],[Daily Maintenance]]</f>
        <v>17507.156363636364</v>
      </c>
      <c r="Q269" s="10">
        <f>Daily_Data[[#This Row],[Total_Sales]]-Daily_Data[[#This Row],[Total_Daily_Expense]]</f>
        <v>5284.8436363636356</v>
      </c>
      <c r="R269" s="10">
        <f>Daily_Data[[#This Row],[Total_Sales]]/Daily_Data[[#This Row],[Rooms_Occupied]]</f>
        <v>1628</v>
      </c>
      <c r="S269" s="10">
        <f>Daily_Data[[#This Row],[Total_Sales]] / Daily_Data[[#This Row],[Max_rooms]]</f>
        <v>1628</v>
      </c>
    </row>
    <row r="270" spans="1:19" x14ac:dyDescent="0.25">
      <c r="A270" s="6">
        <v>45195</v>
      </c>
      <c r="B270" s="20">
        <f>DATE(YEAR(Daily_Data[[#This Row],[Date]]), MONTH(Daily_Data[[#This Row],[Date]]), 1)</f>
        <v>45170</v>
      </c>
      <c r="C270" s="20" t="str">
        <f>TEXT(Daily_Data[[#This Row],[Month_key]],"mmmm")</f>
        <v>September</v>
      </c>
      <c r="D270" s="20" t="str">
        <f>TEXT(Daily_Data[[#This Row],[Month_key]],"yyyy")</f>
        <v>2023</v>
      </c>
      <c r="E270" s="7">
        <v>10</v>
      </c>
      <c r="F270" s="7">
        <v>14</v>
      </c>
      <c r="G270" s="8">
        <f>Daily_Data[[#This Row],[Rooms_Occupied]]/F270</f>
        <v>0.7142857142857143</v>
      </c>
      <c r="H270" s="7">
        <v>1823</v>
      </c>
      <c r="I270" s="7">
        <f>Daily_Data[[#This Row],[Room_rate]]*Daily_Data[[#This Row],[Rooms_Occupied]]</f>
        <v>18230</v>
      </c>
      <c r="J270" s="10">
        <f>Daily_Data[[#This Row],[Total_Sales]] * 0.22</f>
        <v>4010.6</v>
      </c>
      <c r="K270" s="10">
        <f>INDEX(Expense_master[Monthly_Rent],MATCH(Daily_Data[[#This Row],[Month_key]],Expense_master[Month_Key],0)) / INDEX(Expense_master[Days_in_Month],MATCH(Daily_Data[[#This Row],[Month_key]],Expense_master[Month_Key],0))</f>
        <v>7000</v>
      </c>
      <c r="L270" s="10">
        <f>SUMIFS(Expense_master[Staff_Salary],Expense_master[Month_Key],Daily_Data[[#This Row],[Month_key]]) / SUMIFS(Expense_master[Days_in_Month],Expense_master[Month_Key],Daily_Data[[#This Row],[Month_key]])</f>
        <v>2333.3333333333335</v>
      </c>
      <c r="M270" s="10">
        <f>Daily_Data[[#This Row],[Rooms_Occupied]] * (SUMIFS(Expense_master[Housekeeping_Laundy],Expense_master[Month_Key],Daily_Data[[#This Row],[Month_key]]) / SUMIFS(Occupancy_table[Monthly_rooms_Occupied],Occupancy_table[Month_Key],Daily_Data[[#This Row],[Month_key]]))</f>
        <v>303.03030303030306</v>
      </c>
      <c r="N2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70" s="10">
        <f>SUMIFS(Expense_master[Monthly_Maintenance],Expense_master[Month_Key],Daily_Data[[#This Row],[Month_key]]) / SUMIFS(Expense_master[Days_in_Month],Expense_master[Month_Key], Daily_Data[[#This Row],[Month_key]])</f>
        <v>666.66666666666663</v>
      </c>
      <c r="P270" s="10">
        <f xml:space="preserve"> Daily_Data[[#This Row],[OTA Commision]] + Daily_Data[[#This Row],[Daily_Rent]]+Daily_Data[[#This Row],[Daily_Staff]]+Daily_Data[[#This Row],[Daily_HK]]+Daily_Data[[#This Row],[Daily_Electricity]] + Daily_Data[[#This Row],[Daily Maintenance]]</f>
        <v>15994.427878787881</v>
      </c>
      <c r="Q270" s="10">
        <f>Daily_Data[[#This Row],[Total_Sales]]-Daily_Data[[#This Row],[Total_Daily_Expense]]</f>
        <v>2235.5721212121189</v>
      </c>
      <c r="R270" s="10">
        <f>Daily_Data[[#This Row],[Total_Sales]]/Daily_Data[[#This Row],[Rooms_Occupied]]</f>
        <v>1823</v>
      </c>
      <c r="S270" s="10">
        <f>Daily_Data[[#This Row],[Total_Sales]] / Daily_Data[[#This Row],[Max_rooms]]</f>
        <v>1302.1428571428571</v>
      </c>
    </row>
    <row r="271" spans="1:19" x14ac:dyDescent="0.25">
      <c r="A271" s="6">
        <v>45196</v>
      </c>
      <c r="B271" s="20">
        <f>DATE(YEAR(Daily_Data[[#This Row],[Date]]), MONTH(Daily_Data[[#This Row],[Date]]), 1)</f>
        <v>45170</v>
      </c>
      <c r="C271" s="20" t="str">
        <f>TEXT(Daily_Data[[#This Row],[Month_key]],"mmmm")</f>
        <v>September</v>
      </c>
      <c r="D271" s="20" t="str">
        <f>TEXT(Daily_Data[[#This Row],[Month_key]],"yyyy")</f>
        <v>2023</v>
      </c>
      <c r="E271" s="7">
        <v>10</v>
      </c>
      <c r="F271" s="7">
        <v>14</v>
      </c>
      <c r="G271" s="8">
        <f>Daily_Data[[#This Row],[Rooms_Occupied]]/F271</f>
        <v>0.7142857142857143</v>
      </c>
      <c r="H271" s="7">
        <v>1987</v>
      </c>
      <c r="I271" s="7">
        <f>Daily_Data[[#This Row],[Room_rate]]*Daily_Data[[#This Row],[Rooms_Occupied]]</f>
        <v>19870</v>
      </c>
      <c r="J271" s="10">
        <f>Daily_Data[[#This Row],[Total_Sales]] * 0.22</f>
        <v>4371.3999999999996</v>
      </c>
      <c r="K271" s="10">
        <f>INDEX(Expense_master[Monthly_Rent],MATCH(Daily_Data[[#This Row],[Month_key]],Expense_master[Month_Key],0)) / INDEX(Expense_master[Days_in_Month],MATCH(Daily_Data[[#This Row],[Month_key]],Expense_master[Month_Key],0))</f>
        <v>7000</v>
      </c>
      <c r="L271" s="10">
        <f>SUMIFS(Expense_master[Staff_Salary],Expense_master[Month_Key],Daily_Data[[#This Row],[Month_key]]) / SUMIFS(Expense_master[Days_in_Month],Expense_master[Month_Key],Daily_Data[[#This Row],[Month_key]])</f>
        <v>2333.3333333333335</v>
      </c>
      <c r="M271" s="10">
        <f>Daily_Data[[#This Row],[Rooms_Occupied]] * (SUMIFS(Expense_master[Housekeeping_Laundy],Expense_master[Month_Key],Daily_Data[[#This Row],[Month_key]]) / SUMIFS(Occupancy_table[Monthly_rooms_Occupied],Occupancy_table[Month_Key],Daily_Data[[#This Row],[Month_key]]))</f>
        <v>303.03030303030306</v>
      </c>
      <c r="N2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1680.7975757575759</v>
      </c>
      <c r="O271" s="10">
        <f>SUMIFS(Expense_master[Monthly_Maintenance],Expense_master[Month_Key],Daily_Data[[#This Row],[Month_key]]) / SUMIFS(Expense_master[Days_in_Month],Expense_master[Month_Key], Daily_Data[[#This Row],[Month_key]])</f>
        <v>666.66666666666663</v>
      </c>
      <c r="P271" s="10">
        <f xml:space="preserve"> Daily_Data[[#This Row],[OTA Commision]] + Daily_Data[[#This Row],[Daily_Rent]]+Daily_Data[[#This Row],[Daily_Staff]]+Daily_Data[[#This Row],[Daily_HK]]+Daily_Data[[#This Row],[Daily_Electricity]] + Daily_Data[[#This Row],[Daily Maintenance]]</f>
        <v>16355.22787878788</v>
      </c>
      <c r="Q271" s="10">
        <f>Daily_Data[[#This Row],[Total_Sales]]-Daily_Data[[#This Row],[Total_Daily_Expense]]</f>
        <v>3514.7721212121196</v>
      </c>
      <c r="R271" s="10">
        <f>Daily_Data[[#This Row],[Total_Sales]]/Daily_Data[[#This Row],[Rooms_Occupied]]</f>
        <v>1987</v>
      </c>
      <c r="S271" s="10">
        <f>Daily_Data[[#This Row],[Total_Sales]] / Daily_Data[[#This Row],[Max_rooms]]</f>
        <v>1419.2857142857142</v>
      </c>
    </row>
    <row r="272" spans="1:19" x14ac:dyDescent="0.25">
      <c r="A272" s="6">
        <v>45197</v>
      </c>
      <c r="B272" s="20">
        <f>DATE(YEAR(Daily_Data[[#This Row],[Date]]), MONTH(Daily_Data[[#This Row],[Date]]), 1)</f>
        <v>45170</v>
      </c>
      <c r="C272" s="20" t="str">
        <f>TEXT(Daily_Data[[#This Row],[Month_key]],"mmmm")</f>
        <v>September</v>
      </c>
      <c r="D272" s="20" t="str">
        <f>TEXT(Daily_Data[[#This Row],[Month_key]],"yyyy")</f>
        <v>2023</v>
      </c>
      <c r="E272" s="7">
        <v>8</v>
      </c>
      <c r="F272" s="7">
        <v>14</v>
      </c>
      <c r="G272" s="8">
        <f>Daily_Data[[#This Row],[Rooms_Occupied]]/F272</f>
        <v>0.5714285714285714</v>
      </c>
      <c r="H272" s="7">
        <v>1031</v>
      </c>
      <c r="I272" s="7">
        <f>Daily_Data[[#This Row],[Room_rate]]*Daily_Data[[#This Row],[Rooms_Occupied]]</f>
        <v>8248</v>
      </c>
      <c r="J272" s="10">
        <f>Daily_Data[[#This Row],[Total_Sales]] * 0.22</f>
        <v>1814.56</v>
      </c>
      <c r="K272" s="10">
        <f>INDEX(Expense_master[Monthly_Rent],MATCH(Daily_Data[[#This Row],[Month_key]],Expense_master[Month_Key],0)) / INDEX(Expense_master[Days_in_Month],MATCH(Daily_Data[[#This Row],[Month_key]],Expense_master[Month_Key],0))</f>
        <v>7000</v>
      </c>
      <c r="L272" s="10">
        <f>SUMIFS(Expense_master[Staff_Salary],Expense_master[Month_Key],Daily_Data[[#This Row],[Month_key]]) / SUMIFS(Expense_master[Days_in_Month],Expense_master[Month_Key],Daily_Data[[#This Row],[Month_key]])</f>
        <v>2333.3333333333335</v>
      </c>
      <c r="M272" s="10">
        <f>Daily_Data[[#This Row],[Rooms_Occupied]] * (SUMIFS(Expense_master[Housekeeping_Laundy],Expense_master[Month_Key],Daily_Data[[#This Row],[Month_key]]) / SUMIFS(Occupancy_table[Monthly_rooms_Occupied],Occupancy_table[Month_Key],Daily_Data[[#This Row],[Month_key]]))</f>
        <v>242.42424242424244</v>
      </c>
      <c r="N2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1486.8593939393941</v>
      </c>
      <c r="O272" s="10">
        <f>SUMIFS(Expense_master[Monthly_Maintenance],Expense_master[Month_Key],Daily_Data[[#This Row],[Month_key]]) / SUMIFS(Expense_master[Days_in_Month],Expense_master[Month_Key], Daily_Data[[#This Row],[Month_key]])</f>
        <v>666.66666666666663</v>
      </c>
      <c r="P272" s="10">
        <f xml:space="preserve"> Daily_Data[[#This Row],[OTA Commision]] + Daily_Data[[#This Row],[Daily_Rent]]+Daily_Data[[#This Row],[Daily_Staff]]+Daily_Data[[#This Row],[Daily_HK]]+Daily_Data[[#This Row],[Daily_Electricity]] + Daily_Data[[#This Row],[Daily Maintenance]]</f>
        <v>13543.843636363636</v>
      </c>
      <c r="Q272" s="10">
        <f>Daily_Data[[#This Row],[Total_Sales]]-Daily_Data[[#This Row],[Total_Daily_Expense]]</f>
        <v>-5295.8436363636356</v>
      </c>
      <c r="R272" s="10">
        <f>Daily_Data[[#This Row],[Total_Sales]]/Daily_Data[[#This Row],[Rooms_Occupied]]</f>
        <v>1031</v>
      </c>
      <c r="S272" s="10">
        <f>Daily_Data[[#This Row],[Total_Sales]] / Daily_Data[[#This Row],[Max_rooms]]</f>
        <v>589.14285714285711</v>
      </c>
    </row>
    <row r="273" spans="1:19" x14ac:dyDescent="0.25">
      <c r="A273" s="6">
        <v>45198</v>
      </c>
      <c r="B273" s="20">
        <f>DATE(YEAR(Daily_Data[[#This Row],[Date]]), MONTH(Daily_Data[[#This Row],[Date]]), 1)</f>
        <v>45170</v>
      </c>
      <c r="C273" s="20" t="str">
        <f>TEXT(Daily_Data[[#This Row],[Month_key]],"mmmm")</f>
        <v>September</v>
      </c>
      <c r="D273" s="20" t="str">
        <f>TEXT(Daily_Data[[#This Row],[Month_key]],"yyyy")</f>
        <v>2023</v>
      </c>
      <c r="E273" s="7">
        <v>13</v>
      </c>
      <c r="F273" s="7">
        <v>14</v>
      </c>
      <c r="G273" s="8">
        <f>Daily_Data[[#This Row],[Rooms_Occupied]]/F273</f>
        <v>0.9285714285714286</v>
      </c>
      <c r="H273" s="7">
        <v>1720</v>
      </c>
      <c r="I273" s="7">
        <f>Daily_Data[[#This Row],[Room_rate]]*Daily_Data[[#This Row],[Rooms_Occupied]]</f>
        <v>22360</v>
      </c>
      <c r="J273" s="10">
        <f>Daily_Data[[#This Row],[Total_Sales]] * 0.22</f>
        <v>4919.2</v>
      </c>
      <c r="K273" s="10">
        <f>INDEX(Expense_master[Monthly_Rent],MATCH(Daily_Data[[#This Row],[Month_key]],Expense_master[Month_Key],0)) / INDEX(Expense_master[Days_in_Month],MATCH(Daily_Data[[#This Row],[Month_key]],Expense_master[Month_Key],0))</f>
        <v>7000</v>
      </c>
      <c r="L273" s="10">
        <f>SUMIFS(Expense_master[Staff_Salary],Expense_master[Month_Key],Daily_Data[[#This Row],[Month_key]]) / SUMIFS(Expense_master[Days_in_Month],Expense_master[Month_Key],Daily_Data[[#This Row],[Month_key]])</f>
        <v>2333.3333333333335</v>
      </c>
      <c r="M273" s="10">
        <f>Daily_Data[[#This Row],[Rooms_Occupied]] * (SUMIFS(Expense_master[Housekeeping_Laundy],Expense_master[Month_Key],Daily_Data[[#This Row],[Month_key]]) / SUMIFS(Occupancy_table[Monthly_rooms_Occupied],Occupancy_table[Month_Key],Daily_Data[[#This Row],[Month_key]]))</f>
        <v>393.93939393939394</v>
      </c>
      <c r="N2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1971.7048484848483</v>
      </c>
      <c r="O273" s="10">
        <f>SUMIFS(Expense_master[Monthly_Maintenance],Expense_master[Month_Key],Daily_Data[[#This Row],[Month_key]]) / SUMIFS(Expense_master[Days_in_Month],Expense_master[Month_Key], Daily_Data[[#This Row],[Month_key]])</f>
        <v>666.66666666666663</v>
      </c>
      <c r="P273" s="10">
        <f xml:space="preserve"> Daily_Data[[#This Row],[OTA Commision]] + Daily_Data[[#This Row],[Daily_Rent]]+Daily_Data[[#This Row],[Daily_Staff]]+Daily_Data[[#This Row],[Daily_HK]]+Daily_Data[[#This Row],[Daily_Electricity]] + Daily_Data[[#This Row],[Daily Maintenance]]</f>
        <v>17284.844242424246</v>
      </c>
      <c r="Q273" s="10">
        <f>Daily_Data[[#This Row],[Total_Sales]]-Daily_Data[[#This Row],[Total_Daily_Expense]]</f>
        <v>5075.1557575757543</v>
      </c>
      <c r="R273" s="10">
        <f>Daily_Data[[#This Row],[Total_Sales]]/Daily_Data[[#This Row],[Rooms_Occupied]]</f>
        <v>1720</v>
      </c>
      <c r="S273" s="10">
        <f>Daily_Data[[#This Row],[Total_Sales]] / Daily_Data[[#This Row],[Max_rooms]]</f>
        <v>1597.1428571428571</v>
      </c>
    </row>
    <row r="274" spans="1:19" x14ac:dyDescent="0.25">
      <c r="A274" s="6">
        <v>45199</v>
      </c>
      <c r="B274" s="20">
        <f>DATE(YEAR(Daily_Data[[#This Row],[Date]]), MONTH(Daily_Data[[#This Row],[Date]]), 1)</f>
        <v>45170</v>
      </c>
      <c r="C274" s="20" t="str">
        <f>TEXT(Daily_Data[[#This Row],[Month_key]],"mmmm")</f>
        <v>September</v>
      </c>
      <c r="D274" s="20" t="str">
        <f>TEXT(Daily_Data[[#This Row],[Month_key]],"yyyy")</f>
        <v>2023</v>
      </c>
      <c r="E274" s="7">
        <v>12</v>
      </c>
      <c r="F274" s="7">
        <v>14</v>
      </c>
      <c r="G274" s="8">
        <f>Daily_Data[[#This Row],[Rooms_Occupied]]/F274</f>
        <v>0.8571428571428571</v>
      </c>
      <c r="H274" s="7">
        <v>1183</v>
      </c>
      <c r="I274" s="7">
        <f>Daily_Data[[#This Row],[Room_rate]]*Daily_Data[[#This Row],[Rooms_Occupied]]</f>
        <v>14196</v>
      </c>
      <c r="J274" s="10">
        <f>Daily_Data[[#This Row],[Total_Sales]] * 0.22</f>
        <v>3123.12</v>
      </c>
      <c r="K274" s="10">
        <f>INDEX(Expense_master[Monthly_Rent],MATCH(Daily_Data[[#This Row],[Month_key]],Expense_master[Month_Key],0)) / INDEX(Expense_master[Days_in_Month],MATCH(Daily_Data[[#This Row],[Month_key]],Expense_master[Month_Key],0))</f>
        <v>7000</v>
      </c>
      <c r="L274" s="10">
        <f>SUMIFS(Expense_master[Staff_Salary],Expense_master[Month_Key],Daily_Data[[#This Row],[Month_key]]) / SUMIFS(Expense_master[Days_in_Month],Expense_master[Month_Key],Daily_Data[[#This Row],[Month_key]])</f>
        <v>2333.3333333333335</v>
      </c>
      <c r="M274" s="10">
        <f>Daily_Data[[#This Row],[Rooms_Occupied]] * (SUMIFS(Expense_master[Housekeeping_Laundy],Expense_master[Month_Key],Daily_Data[[#This Row],[Month_key]]) / SUMIFS(Occupancy_table[Monthly_rooms_Occupied],Occupancy_table[Month_Key],Daily_Data[[#This Row],[Month_key]]))</f>
        <v>363.63636363636363</v>
      </c>
      <c r="N2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1874.7357575757574</v>
      </c>
      <c r="O274" s="10">
        <f>SUMIFS(Expense_master[Monthly_Maintenance],Expense_master[Month_Key],Daily_Data[[#This Row],[Month_key]]) / SUMIFS(Expense_master[Days_in_Month],Expense_master[Month_Key], Daily_Data[[#This Row],[Month_key]])</f>
        <v>666.66666666666663</v>
      </c>
      <c r="P274" s="10">
        <f xml:space="preserve"> Daily_Data[[#This Row],[OTA Commision]] + Daily_Data[[#This Row],[Daily_Rent]]+Daily_Data[[#This Row],[Daily_Staff]]+Daily_Data[[#This Row],[Daily_HK]]+Daily_Data[[#This Row],[Daily_Electricity]] + Daily_Data[[#This Row],[Daily Maintenance]]</f>
        <v>15361.492121212121</v>
      </c>
      <c r="Q274" s="10">
        <f>Daily_Data[[#This Row],[Total_Sales]]-Daily_Data[[#This Row],[Total_Daily_Expense]]</f>
        <v>-1165.4921212121208</v>
      </c>
      <c r="R274" s="10">
        <f>Daily_Data[[#This Row],[Total_Sales]]/Daily_Data[[#This Row],[Rooms_Occupied]]</f>
        <v>1183</v>
      </c>
      <c r="S274" s="10">
        <f>Daily_Data[[#This Row],[Total_Sales]] / Daily_Data[[#This Row],[Max_rooms]]</f>
        <v>1014</v>
      </c>
    </row>
    <row r="275" spans="1:19" x14ac:dyDescent="0.25">
      <c r="A275" s="6">
        <v>45200</v>
      </c>
      <c r="B275" s="20">
        <f>DATE(YEAR(Daily_Data[[#This Row],[Date]]), MONTH(Daily_Data[[#This Row],[Date]]), 1)</f>
        <v>45200</v>
      </c>
      <c r="C275" s="20" t="str">
        <f>TEXT(Daily_Data[[#This Row],[Month_key]],"mmmm")</f>
        <v>October</v>
      </c>
      <c r="D275" s="20" t="str">
        <f>TEXT(Daily_Data[[#This Row],[Month_key]],"yyyy")</f>
        <v>2023</v>
      </c>
      <c r="E275" s="7">
        <v>10</v>
      </c>
      <c r="F275" s="7">
        <v>14</v>
      </c>
      <c r="G275" s="8">
        <f>Daily_Data[[#This Row],[Rooms_Occupied]]/F275</f>
        <v>0.7142857142857143</v>
      </c>
      <c r="H275" s="7">
        <v>1833</v>
      </c>
      <c r="I275" s="7">
        <f>Daily_Data[[#This Row],[Room_rate]]*Daily_Data[[#This Row],[Rooms_Occupied]]</f>
        <v>18330</v>
      </c>
      <c r="J275" s="10">
        <f>Daily_Data[[#This Row],[Total_Sales]] * 0.22</f>
        <v>4032.6</v>
      </c>
      <c r="K275" s="10">
        <f>INDEX(Expense_master[Monthly_Rent],MATCH(Daily_Data[[#This Row],[Month_key]],Expense_master[Month_Key],0)) / INDEX(Expense_master[Days_in_Month],MATCH(Daily_Data[[#This Row],[Month_key]],Expense_master[Month_Key],0))</f>
        <v>6774.1935483870966</v>
      </c>
      <c r="L275" s="10">
        <f>SUMIFS(Expense_master[Staff_Salary],Expense_master[Month_Key],Daily_Data[[#This Row],[Month_key]]) / SUMIFS(Expense_master[Days_in_Month],Expense_master[Month_Key],Daily_Data[[#This Row],[Month_key]])</f>
        <v>2258.0645161290322</v>
      </c>
      <c r="M275" s="10">
        <f>Daily_Data[[#This Row],[Rooms_Occupied]] * (SUMIFS(Expense_master[Housekeeping_Laundy],Expense_master[Month_Key],Daily_Data[[#This Row],[Month_key]]) / SUMIFS(Occupancy_table[Monthly_rooms_Occupied],Occupancy_table[Month_Key],Daily_Data[[#This Row],[Month_key]]))</f>
        <v>297.61904761904765</v>
      </c>
      <c r="N2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1594.8943548387097</v>
      </c>
      <c r="O275" s="10">
        <f>SUMIFS(Expense_master[Monthly_Maintenance],Expense_master[Month_Key],Daily_Data[[#This Row],[Month_key]]) / SUMIFS(Expense_master[Days_in_Month],Expense_master[Month_Key], Daily_Data[[#This Row],[Month_key]])</f>
        <v>645.16129032258061</v>
      </c>
      <c r="P275" s="10">
        <f xml:space="preserve"> Daily_Data[[#This Row],[OTA Commision]] + Daily_Data[[#This Row],[Daily_Rent]]+Daily_Data[[#This Row],[Daily_Staff]]+Daily_Data[[#This Row],[Daily_HK]]+Daily_Data[[#This Row],[Daily_Electricity]] + Daily_Data[[#This Row],[Daily Maintenance]]</f>
        <v>15602.532757296469</v>
      </c>
      <c r="Q275" s="10">
        <f>Daily_Data[[#This Row],[Total_Sales]]-Daily_Data[[#This Row],[Total_Daily_Expense]]</f>
        <v>2727.4672427035312</v>
      </c>
      <c r="R275" s="10">
        <f>Daily_Data[[#This Row],[Total_Sales]]/Daily_Data[[#This Row],[Rooms_Occupied]]</f>
        <v>1833</v>
      </c>
      <c r="S275" s="10">
        <f>Daily_Data[[#This Row],[Total_Sales]] / Daily_Data[[#This Row],[Max_rooms]]</f>
        <v>1309.2857142857142</v>
      </c>
    </row>
    <row r="276" spans="1:19" x14ac:dyDescent="0.25">
      <c r="A276" s="6">
        <v>45201</v>
      </c>
      <c r="B276" s="20">
        <f>DATE(YEAR(Daily_Data[[#This Row],[Date]]), MONTH(Daily_Data[[#This Row],[Date]]), 1)</f>
        <v>45200</v>
      </c>
      <c r="C276" s="20" t="str">
        <f>TEXT(Daily_Data[[#This Row],[Month_key]],"mmmm")</f>
        <v>October</v>
      </c>
      <c r="D276" s="20" t="str">
        <f>TEXT(Daily_Data[[#This Row],[Month_key]],"yyyy")</f>
        <v>2023</v>
      </c>
      <c r="E276" s="7">
        <v>14</v>
      </c>
      <c r="F276" s="7">
        <v>14</v>
      </c>
      <c r="G276" s="8">
        <f>Daily_Data[[#This Row],[Rooms_Occupied]]/F276</f>
        <v>1</v>
      </c>
      <c r="H276" s="7">
        <v>1839</v>
      </c>
      <c r="I276" s="7">
        <f>Daily_Data[[#This Row],[Room_rate]]*Daily_Data[[#This Row],[Rooms_Occupied]]</f>
        <v>25746</v>
      </c>
      <c r="J276" s="10">
        <f>Daily_Data[[#This Row],[Total_Sales]] * 0.22</f>
        <v>5664.12</v>
      </c>
      <c r="K276" s="10">
        <f>INDEX(Expense_master[Monthly_Rent],MATCH(Daily_Data[[#This Row],[Month_key]],Expense_master[Month_Key],0)) / INDEX(Expense_master[Days_in_Month],MATCH(Daily_Data[[#This Row],[Month_key]],Expense_master[Month_Key],0))</f>
        <v>6774.1935483870966</v>
      </c>
      <c r="L276" s="10">
        <f>SUMIFS(Expense_master[Staff_Salary],Expense_master[Month_Key],Daily_Data[[#This Row],[Month_key]]) / SUMIFS(Expense_master[Days_in_Month],Expense_master[Month_Key],Daily_Data[[#This Row],[Month_key]])</f>
        <v>2258.0645161290322</v>
      </c>
      <c r="M276" s="10">
        <f>Daily_Data[[#This Row],[Rooms_Occupied]] * (SUMIFS(Expense_master[Housekeeping_Laundy],Expense_master[Month_Key],Daily_Data[[#This Row],[Month_key]]) / SUMIFS(Occupancy_table[Monthly_rooms_Occupied],Occupancy_table[Month_Key],Daily_Data[[#This Row],[Month_key]]))</f>
        <v>416.66666666666669</v>
      </c>
      <c r="N2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1965.2443548387096</v>
      </c>
      <c r="O276" s="10">
        <f>SUMIFS(Expense_master[Monthly_Maintenance],Expense_master[Month_Key],Daily_Data[[#This Row],[Month_key]]) / SUMIFS(Expense_master[Days_in_Month],Expense_master[Month_Key], Daily_Data[[#This Row],[Month_key]])</f>
        <v>645.16129032258061</v>
      </c>
      <c r="P276" s="10">
        <f xml:space="preserve"> Daily_Data[[#This Row],[OTA Commision]] + Daily_Data[[#This Row],[Daily_Rent]]+Daily_Data[[#This Row],[Daily_Staff]]+Daily_Data[[#This Row],[Daily_HK]]+Daily_Data[[#This Row],[Daily_Electricity]] + Daily_Data[[#This Row],[Daily Maintenance]]</f>
        <v>17723.450376344084</v>
      </c>
      <c r="Q276" s="10">
        <f>Daily_Data[[#This Row],[Total_Sales]]-Daily_Data[[#This Row],[Total_Daily_Expense]]</f>
        <v>8022.5496236559156</v>
      </c>
      <c r="R276" s="10">
        <f>Daily_Data[[#This Row],[Total_Sales]]/Daily_Data[[#This Row],[Rooms_Occupied]]</f>
        <v>1839</v>
      </c>
      <c r="S276" s="10">
        <f>Daily_Data[[#This Row],[Total_Sales]] / Daily_Data[[#This Row],[Max_rooms]]</f>
        <v>1839</v>
      </c>
    </row>
    <row r="277" spans="1:19" x14ac:dyDescent="0.25">
      <c r="A277" s="6">
        <v>45202</v>
      </c>
      <c r="B277" s="20">
        <f>DATE(YEAR(Daily_Data[[#This Row],[Date]]), MONTH(Daily_Data[[#This Row],[Date]]), 1)</f>
        <v>45200</v>
      </c>
      <c r="C277" s="20" t="str">
        <f>TEXT(Daily_Data[[#This Row],[Month_key]],"mmmm")</f>
        <v>October</v>
      </c>
      <c r="D277" s="20" t="str">
        <f>TEXT(Daily_Data[[#This Row],[Month_key]],"yyyy")</f>
        <v>2023</v>
      </c>
      <c r="E277" s="7">
        <v>11</v>
      </c>
      <c r="F277" s="7">
        <v>14</v>
      </c>
      <c r="G277" s="8">
        <f>Daily_Data[[#This Row],[Rooms_Occupied]]/F277</f>
        <v>0.7857142857142857</v>
      </c>
      <c r="H277" s="7">
        <v>1043</v>
      </c>
      <c r="I277" s="7">
        <f>Daily_Data[[#This Row],[Room_rate]]*Daily_Data[[#This Row],[Rooms_Occupied]]</f>
        <v>11473</v>
      </c>
      <c r="J277" s="10">
        <f>Daily_Data[[#This Row],[Total_Sales]] * 0.22</f>
        <v>2524.06</v>
      </c>
      <c r="K277" s="10">
        <f>INDEX(Expense_master[Monthly_Rent],MATCH(Daily_Data[[#This Row],[Month_key]],Expense_master[Month_Key],0)) / INDEX(Expense_master[Days_in_Month],MATCH(Daily_Data[[#This Row],[Month_key]],Expense_master[Month_Key],0))</f>
        <v>6774.1935483870966</v>
      </c>
      <c r="L277" s="10">
        <f>SUMIFS(Expense_master[Staff_Salary],Expense_master[Month_Key],Daily_Data[[#This Row],[Month_key]]) / SUMIFS(Expense_master[Days_in_Month],Expense_master[Month_Key],Daily_Data[[#This Row],[Month_key]])</f>
        <v>2258.0645161290322</v>
      </c>
      <c r="M277" s="10">
        <f>Daily_Data[[#This Row],[Rooms_Occupied]] * (SUMIFS(Expense_master[Housekeeping_Laundy],Expense_master[Month_Key],Daily_Data[[#This Row],[Month_key]]) / SUMIFS(Occupancy_table[Monthly_rooms_Occupied],Occupancy_table[Month_Key],Daily_Data[[#This Row],[Month_key]]))</f>
        <v>327.38095238095241</v>
      </c>
      <c r="N2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1687.4818548387095</v>
      </c>
      <c r="O277" s="10">
        <f>SUMIFS(Expense_master[Monthly_Maintenance],Expense_master[Month_Key],Daily_Data[[#This Row],[Month_key]]) / SUMIFS(Expense_master[Days_in_Month],Expense_master[Month_Key], Daily_Data[[#This Row],[Month_key]])</f>
        <v>645.16129032258061</v>
      </c>
      <c r="P277" s="10">
        <f xml:space="preserve"> Daily_Data[[#This Row],[OTA Commision]] + Daily_Data[[#This Row],[Daily_Rent]]+Daily_Data[[#This Row],[Daily_Staff]]+Daily_Data[[#This Row],[Daily_HK]]+Daily_Data[[#This Row],[Daily_Electricity]] + Daily_Data[[#This Row],[Daily Maintenance]]</f>
        <v>14216.342162058372</v>
      </c>
      <c r="Q277" s="10">
        <f>Daily_Data[[#This Row],[Total_Sales]]-Daily_Data[[#This Row],[Total_Daily_Expense]]</f>
        <v>-2743.3421620583722</v>
      </c>
      <c r="R277" s="10">
        <f>Daily_Data[[#This Row],[Total_Sales]]/Daily_Data[[#This Row],[Rooms_Occupied]]</f>
        <v>1043</v>
      </c>
      <c r="S277" s="10">
        <f>Daily_Data[[#This Row],[Total_Sales]] / Daily_Data[[#This Row],[Max_rooms]]</f>
        <v>819.5</v>
      </c>
    </row>
    <row r="278" spans="1:19" x14ac:dyDescent="0.25">
      <c r="A278" s="6">
        <v>45203</v>
      </c>
      <c r="B278" s="20">
        <f>DATE(YEAR(Daily_Data[[#This Row],[Date]]), MONTH(Daily_Data[[#This Row],[Date]]), 1)</f>
        <v>45200</v>
      </c>
      <c r="C278" s="20" t="str">
        <f>TEXT(Daily_Data[[#This Row],[Month_key]],"mmmm")</f>
        <v>October</v>
      </c>
      <c r="D278" s="20" t="str">
        <f>TEXT(Daily_Data[[#This Row],[Month_key]],"yyyy")</f>
        <v>2023</v>
      </c>
      <c r="E278" s="7">
        <v>9</v>
      </c>
      <c r="F278" s="7">
        <v>14</v>
      </c>
      <c r="G278" s="8">
        <f>Daily_Data[[#This Row],[Rooms_Occupied]]/F278</f>
        <v>0.6428571428571429</v>
      </c>
      <c r="H278" s="7">
        <v>1861</v>
      </c>
      <c r="I278" s="7">
        <f>Daily_Data[[#This Row],[Room_rate]]*Daily_Data[[#This Row],[Rooms_Occupied]]</f>
        <v>16749</v>
      </c>
      <c r="J278" s="10">
        <f>Daily_Data[[#This Row],[Total_Sales]] * 0.22</f>
        <v>3684.78</v>
      </c>
      <c r="K278" s="10">
        <f>INDEX(Expense_master[Monthly_Rent],MATCH(Daily_Data[[#This Row],[Month_key]],Expense_master[Month_Key],0)) / INDEX(Expense_master[Days_in_Month],MATCH(Daily_Data[[#This Row],[Month_key]],Expense_master[Month_Key],0))</f>
        <v>6774.1935483870966</v>
      </c>
      <c r="L278" s="10">
        <f>SUMIFS(Expense_master[Staff_Salary],Expense_master[Month_Key],Daily_Data[[#This Row],[Month_key]]) / SUMIFS(Expense_master[Days_in_Month],Expense_master[Month_Key],Daily_Data[[#This Row],[Month_key]])</f>
        <v>2258.0645161290322</v>
      </c>
      <c r="M278" s="10">
        <f>Daily_Data[[#This Row],[Rooms_Occupied]] * (SUMIFS(Expense_master[Housekeeping_Laundy],Expense_master[Month_Key],Daily_Data[[#This Row],[Month_key]]) / SUMIFS(Occupancy_table[Monthly_rooms_Occupied],Occupancy_table[Month_Key],Daily_Data[[#This Row],[Month_key]]))</f>
        <v>267.85714285714289</v>
      </c>
      <c r="N2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78" s="10">
        <f>SUMIFS(Expense_master[Monthly_Maintenance],Expense_master[Month_Key],Daily_Data[[#This Row],[Month_key]]) / SUMIFS(Expense_master[Days_in_Month],Expense_master[Month_Key], Daily_Data[[#This Row],[Month_key]])</f>
        <v>645.16129032258061</v>
      </c>
      <c r="P278" s="10">
        <f xml:space="preserve"> Daily_Data[[#This Row],[OTA Commision]] + Daily_Data[[#This Row],[Daily_Rent]]+Daily_Data[[#This Row],[Daily_Staff]]+Daily_Data[[#This Row],[Daily_HK]]+Daily_Data[[#This Row],[Daily_Electricity]] + Daily_Data[[#This Row],[Daily Maintenance]]</f>
        <v>15132.363352534563</v>
      </c>
      <c r="Q278" s="10">
        <f>Daily_Data[[#This Row],[Total_Sales]]-Daily_Data[[#This Row],[Total_Daily_Expense]]</f>
        <v>1616.6366474654369</v>
      </c>
      <c r="R278" s="10">
        <f>Daily_Data[[#This Row],[Total_Sales]]/Daily_Data[[#This Row],[Rooms_Occupied]]</f>
        <v>1861</v>
      </c>
      <c r="S278" s="10">
        <f>Daily_Data[[#This Row],[Total_Sales]] / Daily_Data[[#This Row],[Max_rooms]]</f>
        <v>1196.3571428571429</v>
      </c>
    </row>
    <row r="279" spans="1:19" x14ac:dyDescent="0.25">
      <c r="A279" s="6">
        <v>45204</v>
      </c>
      <c r="B279" s="20">
        <f>DATE(YEAR(Daily_Data[[#This Row],[Date]]), MONTH(Daily_Data[[#This Row],[Date]]), 1)</f>
        <v>45200</v>
      </c>
      <c r="C279" s="20" t="str">
        <f>TEXT(Daily_Data[[#This Row],[Month_key]],"mmmm")</f>
        <v>October</v>
      </c>
      <c r="D279" s="20" t="str">
        <f>TEXT(Daily_Data[[#This Row],[Month_key]],"yyyy")</f>
        <v>2023</v>
      </c>
      <c r="E279" s="7">
        <v>9</v>
      </c>
      <c r="F279" s="7">
        <v>14</v>
      </c>
      <c r="G279" s="8">
        <f>Daily_Data[[#This Row],[Rooms_Occupied]]/F279</f>
        <v>0.6428571428571429</v>
      </c>
      <c r="H279" s="7">
        <v>1911</v>
      </c>
      <c r="I279" s="7">
        <f>Daily_Data[[#This Row],[Room_rate]]*Daily_Data[[#This Row],[Rooms_Occupied]]</f>
        <v>17199</v>
      </c>
      <c r="J279" s="10">
        <f>Daily_Data[[#This Row],[Total_Sales]] * 0.22</f>
        <v>3783.78</v>
      </c>
      <c r="K279" s="10">
        <f>INDEX(Expense_master[Monthly_Rent],MATCH(Daily_Data[[#This Row],[Month_key]],Expense_master[Month_Key],0)) / INDEX(Expense_master[Days_in_Month],MATCH(Daily_Data[[#This Row],[Month_key]],Expense_master[Month_Key],0))</f>
        <v>6774.1935483870966</v>
      </c>
      <c r="L279" s="10">
        <f>SUMIFS(Expense_master[Staff_Salary],Expense_master[Month_Key],Daily_Data[[#This Row],[Month_key]]) / SUMIFS(Expense_master[Days_in_Month],Expense_master[Month_Key],Daily_Data[[#This Row],[Month_key]])</f>
        <v>2258.0645161290322</v>
      </c>
      <c r="M279" s="10">
        <f>Daily_Data[[#This Row],[Rooms_Occupied]] * (SUMIFS(Expense_master[Housekeeping_Laundy],Expense_master[Month_Key],Daily_Data[[#This Row],[Month_key]]) / SUMIFS(Occupancy_table[Monthly_rooms_Occupied],Occupancy_table[Month_Key],Daily_Data[[#This Row],[Month_key]]))</f>
        <v>267.85714285714289</v>
      </c>
      <c r="N2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79" s="10">
        <f>SUMIFS(Expense_master[Monthly_Maintenance],Expense_master[Month_Key],Daily_Data[[#This Row],[Month_key]]) / SUMIFS(Expense_master[Days_in_Month],Expense_master[Month_Key], Daily_Data[[#This Row],[Month_key]])</f>
        <v>645.16129032258061</v>
      </c>
      <c r="P279" s="10">
        <f xml:space="preserve"> Daily_Data[[#This Row],[OTA Commision]] + Daily_Data[[#This Row],[Daily_Rent]]+Daily_Data[[#This Row],[Daily_Staff]]+Daily_Data[[#This Row],[Daily_HK]]+Daily_Data[[#This Row],[Daily_Electricity]] + Daily_Data[[#This Row],[Daily Maintenance]]</f>
        <v>15231.363352534563</v>
      </c>
      <c r="Q279" s="10">
        <f>Daily_Data[[#This Row],[Total_Sales]]-Daily_Data[[#This Row],[Total_Daily_Expense]]</f>
        <v>1967.6366474654369</v>
      </c>
      <c r="R279" s="10">
        <f>Daily_Data[[#This Row],[Total_Sales]]/Daily_Data[[#This Row],[Rooms_Occupied]]</f>
        <v>1911</v>
      </c>
      <c r="S279" s="10">
        <f>Daily_Data[[#This Row],[Total_Sales]] / Daily_Data[[#This Row],[Max_rooms]]</f>
        <v>1228.5</v>
      </c>
    </row>
    <row r="280" spans="1:19" x14ac:dyDescent="0.25">
      <c r="A280" s="6">
        <v>45205</v>
      </c>
      <c r="B280" s="20">
        <f>DATE(YEAR(Daily_Data[[#This Row],[Date]]), MONTH(Daily_Data[[#This Row],[Date]]), 1)</f>
        <v>45200</v>
      </c>
      <c r="C280" s="20" t="str">
        <f>TEXT(Daily_Data[[#This Row],[Month_key]],"mmmm")</f>
        <v>October</v>
      </c>
      <c r="D280" s="20" t="str">
        <f>TEXT(Daily_Data[[#This Row],[Month_key]],"yyyy")</f>
        <v>2023</v>
      </c>
      <c r="E280" s="7">
        <v>14</v>
      </c>
      <c r="F280" s="7">
        <v>14</v>
      </c>
      <c r="G280" s="8">
        <f>Daily_Data[[#This Row],[Rooms_Occupied]]/F280</f>
        <v>1</v>
      </c>
      <c r="H280" s="7">
        <v>1846</v>
      </c>
      <c r="I280" s="7">
        <f>Daily_Data[[#This Row],[Room_rate]]*Daily_Data[[#This Row],[Rooms_Occupied]]</f>
        <v>25844</v>
      </c>
      <c r="J280" s="10">
        <f>Daily_Data[[#This Row],[Total_Sales]] * 0.22</f>
        <v>5685.68</v>
      </c>
      <c r="K280" s="10">
        <f>INDEX(Expense_master[Monthly_Rent],MATCH(Daily_Data[[#This Row],[Month_key]],Expense_master[Month_Key],0)) / INDEX(Expense_master[Days_in_Month],MATCH(Daily_Data[[#This Row],[Month_key]],Expense_master[Month_Key],0))</f>
        <v>6774.1935483870966</v>
      </c>
      <c r="L280" s="10">
        <f>SUMIFS(Expense_master[Staff_Salary],Expense_master[Month_Key],Daily_Data[[#This Row],[Month_key]]) / SUMIFS(Expense_master[Days_in_Month],Expense_master[Month_Key],Daily_Data[[#This Row],[Month_key]])</f>
        <v>2258.0645161290322</v>
      </c>
      <c r="M280" s="10">
        <f>Daily_Data[[#This Row],[Rooms_Occupied]] * (SUMIFS(Expense_master[Housekeeping_Laundy],Expense_master[Month_Key],Daily_Data[[#This Row],[Month_key]]) / SUMIFS(Occupancy_table[Monthly_rooms_Occupied],Occupancy_table[Month_Key],Daily_Data[[#This Row],[Month_key]]))</f>
        <v>416.66666666666669</v>
      </c>
      <c r="N2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1965.2443548387096</v>
      </c>
      <c r="O280" s="10">
        <f>SUMIFS(Expense_master[Monthly_Maintenance],Expense_master[Month_Key],Daily_Data[[#This Row],[Month_key]]) / SUMIFS(Expense_master[Days_in_Month],Expense_master[Month_Key], Daily_Data[[#This Row],[Month_key]])</f>
        <v>645.16129032258061</v>
      </c>
      <c r="P280" s="10">
        <f xml:space="preserve"> Daily_Data[[#This Row],[OTA Commision]] + Daily_Data[[#This Row],[Daily_Rent]]+Daily_Data[[#This Row],[Daily_Staff]]+Daily_Data[[#This Row],[Daily_HK]]+Daily_Data[[#This Row],[Daily_Electricity]] + Daily_Data[[#This Row],[Daily Maintenance]]</f>
        <v>17745.010376344086</v>
      </c>
      <c r="Q280" s="10">
        <f>Daily_Data[[#This Row],[Total_Sales]]-Daily_Data[[#This Row],[Total_Daily_Expense]]</f>
        <v>8098.9896236559143</v>
      </c>
      <c r="R280" s="10">
        <f>Daily_Data[[#This Row],[Total_Sales]]/Daily_Data[[#This Row],[Rooms_Occupied]]</f>
        <v>1846</v>
      </c>
      <c r="S280" s="10">
        <f>Daily_Data[[#This Row],[Total_Sales]] / Daily_Data[[#This Row],[Max_rooms]]</f>
        <v>1846</v>
      </c>
    </row>
    <row r="281" spans="1:19" x14ac:dyDescent="0.25">
      <c r="A281" s="6">
        <v>45206</v>
      </c>
      <c r="B281" s="20">
        <f>DATE(YEAR(Daily_Data[[#This Row],[Date]]), MONTH(Daily_Data[[#This Row],[Date]]), 1)</f>
        <v>45200</v>
      </c>
      <c r="C281" s="20" t="str">
        <f>TEXT(Daily_Data[[#This Row],[Month_key]],"mmmm")</f>
        <v>October</v>
      </c>
      <c r="D281" s="20" t="str">
        <f>TEXT(Daily_Data[[#This Row],[Month_key]],"yyyy")</f>
        <v>2023</v>
      </c>
      <c r="E281" s="7">
        <v>13</v>
      </c>
      <c r="F281" s="7">
        <v>14</v>
      </c>
      <c r="G281" s="8">
        <f>Daily_Data[[#This Row],[Rooms_Occupied]]/F281</f>
        <v>0.9285714285714286</v>
      </c>
      <c r="H281" s="7">
        <v>1104</v>
      </c>
      <c r="I281" s="7">
        <f>Daily_Data[[#This Row],[Room_rate]]*Daily_Data[[#This Row],[Rooms_Occupied]]</f>
        <v>14352</v>
      </c>
      <c r="J281" s="10">
        <f>Daily_Data[[#This Row],[Total_Sales]] * 0.22</f>
        <v>3157.44</v>
      </c>
      <c r="K281" s="10">
        <f>INDEX(Expense_master[Monthly_Rent],MATCH(Daily_Data[[#This Row],[Month_key]],Expense_master[Month_Key],0)) / INDEX(Expense_master[Days_in_Month],MATCH(Daily_Data[[#This Row],[Month_key]],Expense_master[Month_Key],0))</f>
        <v>6774.1935483870966</v>
      </c>
      <c r="L281" s="10">
        <f>SUMIFS(Expense_master[Staff_Salary],Expense_master[Month_Key],Daily_Data[[#This Row],[Month_key]]) / SUMIFS(Expense_master[Days_in_Month],Expense_master[Month_Key],Daily_Data[[#This Row],[Month_key]])</f>
        <v>2258.0645161290322</v>
      </c>
      <c r="M281" s="10">
        <f>Daily_Data[[#This Row],[Rooms_Occupied]] * (SUMIFS(Expense_master[Housekeeping_Laundy],Expense_master[Month_Key],Daily_Data[[#This Row],[Month_key]]) / SUMIFS(Occupancy_table[Monthly_rooms_Occupied],Occupancy_table[Month_Key],Daily_Data[[#This Row],[Month_key]]))</f>
        <v>386.90476190476193</v>
      </c>
      <c r="N2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1872.6568548387095</v>
      </c>
      <c r="O281" s="10">
        <f>SUMIFS(Expense_master[Monthly_Maintenance],Expense_master[Month_Key],Daily_Data[[#This Row],[Month_key]]) / SUMIFS(Expense_master[Days_in_Month],Expense_master[Month_Key], Daily_Data[[#This Row],[Month_key]])</f>
        <v>645.16129032258061</v>
      </c>
      <c r="P281" s="10">
        <f xml:space="preserve"> Daily_Data[[#This Row],[OTA Commision]] + Daily_Data[[#This Row],[Daily_Rent]]+Daily_Data[[#This Row],[Daily_Staff]]+Daily_Data[[#This Row],[Daily_HK]]+Daily_Data[[#This Row],[Daily_Electricity]] + Daily_Data[[#This Row],[Daily Maintenance]]</f>
        <v>15094.420971582182</v>
      </c>
      <c r="Q281" s="10">
        <f>Daily_Data[[#This Row],[Total_Sales]]-Daily_Data[[#This Row],[Total_Daily_Expense]]</f>
        <v>-742.42097158218166</v>
      </c>
      <c r="R281" s="10">
        <f>Daily_Data[[#This Row],[Total_Sales]]/Daily_Data[[#This Row],[Rooms_Occupied]]</f>
        <v>1104</v>
      </c>
      <c r="S281" s="10">
        <f>Daily_Data[[#This Row],[Total_Sales]] / Daily_Data[[#This Row],[Max_rooms]]</f>
        <v>1025.1428571428571</v>
      </c>
    </row>
    <row r="282" spans="1:19" x14ac:dyDescent="0.25">
      <c r="A282" s="6">
        <v>45207</v>
      </c>
      <c r="B282" s="20">
        <f>DATE(YEAR(Daily_Data[[#This Row],[Date]]), MONTH(Daily_Data[[#This Row],[Date]]), 1)</f>
        <v>45200</v>
      </c>
      <c r="C282" s="20" t="str">
        <f>TEXT(Daily_Data[[#This Row],[Month_key]],"mmmm")</f>
        <v>October</v>
      </c>
      <c r="D282" s="20" t="str">
        <f>TEXT(Daily_Data[[#This Row],[Month_key]],"yyyy")</f>
        <v>2023</v>
      </c>
      <c r="E282" s="7">
        <v>9</v>
      </c>
      <c r="F282" s="7">
        <v>14</v>
      </c>
      <c r="G282" s="8">
        <f>Daily_Data[[#This Row],[Rooms_Occupied]]/F282</f>
        <v>0.6428571428571429</v>
      </c>
      <c r="H282" s="7">
        <v>1322</v>
      </c>
      <c r="I282" s="7">
        <f>Daily_Data[[#This Row],[Room_rate]]*Daily_Data[[#This Row],[Rooms_Occupied]]</f>
        <v>11898</v>
      </c>
      <c r="J282" s="10">
        <f>Daily_Data[[#This Row],[Total_Sales]] * 0.22</f>
        <v>2617.56</v>
      </c>
      <c r="K282" s="10">
        <f>INDEX(Expense_master[Monthly_Rent],MATCH(Daily_Data[[#This Row],[Month_key]],Expense_master[Month_Key],0)) / INDEX(Expense_master[Days_in_Month],MATCH(Daily_Data[[#This Row],[Month_key]],Expense_master[Month_Key],0))</f>
        <v>6774.1935483870966</v>
      </c>
      <c r="L282" s="10">
        <f>SUMIFS(Expense_master[Staff_Salary],Expense_master[Month_Key],Daily_Data[[#This Row],[Month_key]]) / SUMIFS(Expense_master[Days_in_Month],Expense_master[Month_Key],Daily_Data[[#This Row],[Month_key]])</f>
        <v>2258.0645161290322</v>
      </c>
      <c r="M282" s="10">
        <f>Daily_Data[[#This Row],[Rooms_Occupied]] * (SUMIFS(Expense_master[Housekeeping_Laundy],Expense_master[Month_Key],Daily_Data[[#This Row],[Month_key]]) / SUMIFS(Occupancy_table[Monthly_rooms_Occupied],Occupancy_table[Month_Key],Daily_Data[[#This Row],[Month_key]]))</f>
        <v>267.85714285714289</v>
      </c>
      <c r="N2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82" s="10">
        <f>SUMIFS(Expense_master[Monthly_Maintenance],Expense_master[Month_Key],Daily_Data[[#This Row],[Month_key]]) / SUMIFS(Expense_master[Days_in_Month],Expense_master[Month_Key], Daily_Data[[#This Row],[Month_key]])</f>
        <v>645.16129032258061</v>
      </c>
      <c r="P282" s="10">
        <f xml:space="preserve"> Daily_Data[[#This Row],[OTA Commision]] + Daily_Data[[#This Row],[Daily_Rent]]+Daily_Data[[#This Row],[Daily_Staff]]+Daily_Data[[#This Row],[Daily_HK]]+Daily_Data[[#This Row],[Daily_Electricity]] + Daily_Data[[#This Row],[Daily Maintenance]]</f>
        <v>14065.143352534562</v>
      </c>
      <c r="Q282" s="10">
        <f>Daily_Data[[#This Row],[Total_Sales]]-Daily_Data[[#This Row],[Total_Daily_Expense]]</f>
        <v>-2167.1433525345619</v>
      </c>
      <c r="R282" s="10">
        <f>Daily_Data[[#This Row],[Total_Sales]]/Daily_Data[[#This Row],[Rooms_Occupied]]</f>
        <v>1322</v>
      </c>
      <c r="S282" s="10">
        <f>Daily_Data[[#This Row],[Total_Sales]] / Daily_Data[[#This Row],[Max_rooms]]</f>
        <v>849.85714285714289</v>
      </c>
    </row>
    <row r="283" spans="1:19" x14ac:dyDescent="0.25">
      <c r="A283" s="6">
        <v>45208</v>
      </c>
      <c r="B283" s="20">
        <f>DATE(YEAR(Daily_Data[[#This Row],[Date]]), MONTH(Daily_Data[[#This Row],[Date]]), 1)</f>
        <v>45200</v>
      </c>
      <c r="C283" s="20" t="str">
        <f>TEXT(Daily_Data[[#This Row],[Month_key]],"mmmm")</f>
        <v>October</v>
      </c>
      <c r="D283" s="20" t="str">
        <f>TEXT(Daily_Data[[#This Row],[Month_key]],"yyyy")</f>
        <v>2023</v>
      </c>
      <c r="E283" s="7">
        <v>12</v>
      </c>
      <c r="F283" s="7">
        <v>14</v>
      </c>
      <c r="G283" s="8">
        <f>Daily_Data[[#This Row],[Rooms_Occupied]]/F283</f>
        <v>0.8571428571428571</v>
      </c>
      <c r="H283" s="7">
        <v>1860</v>
      </c>
      <c r="I283" s="7">
        <f>Daily_Data[[#This Row],[Room_rate]]*Daily_Data[[#This Row],[Rooms_Occupied]]</f>
        <v>22320</v>
      </c>
      <c r="J283" s="10">
        <f>Daily_Data[[#This Row],[Total_Sales]] * 0.22</f>
        <v>4910.3999999999996</v>
      </c>
      <c r="K283" s="10">
        <f>INDEX(Expense_master[Monthly_Rent],MATCH(Daily_Data[[#This Row],[Month_key]],Expense_master[Month_Key],0)) / INDEX(Expense_master[Days_in_Month],MATCH(Daily_Data[[#This Row],[Month_key]],Expense_master[Month_Key],0))</f>
        <v>6774.1935483870966</v>
      </c>
      <c r="L283" s="10">
        <f>SUMIFS(Expense_master[Staff_Salary],Expense_master[Month_Key],Daily_Data[[#This Row],[Month_key]]) / SUMIFS(Expense_master[Days_in_Month],Expense_master[Month_Key],Daily_Data[[#This Row],[Month_key]])</f>
        <v>2258.0645161290322</v>
      </c>
      <c r="M283" s="10">
        <f>Daily_Data[[#This Row],[Rooms_Occupied]] * (SUMIFS(Expense_master[Housekeeping_Laundy],Expense_master[Month_Key],Daily_Data[[#This Row],[Month_key]]) / SUMIFS(Occupancy_table[Monthly_rooms_Occupied],Occupancy_table[Month_Key],Daily_Data[[#This Row],[Month_key]]))</f>
        <v>357.14285714285717</v>
      </c>
      <c r="N2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1780.0693548387096</v>
      </c>
      <c r="O283" s="10">
        <f>SUMIFS(Expense_master[Monthly_Maintenance],Expense_master[Month_Key],Daily_Data[[#This Row],[Month_key]]) / SUMIFS(Expense_master[Days_in_Month],Expense_master[Month_Key], Daily_Data[[#This Row],[Month_key]])</f>
        <v>645.16129032258061</v>
      </c>
      <c r="P283" s="10">
        <f xml:space="preserve"> Daily_Data[[#This Row],[OTA Commision]] + Daily_Data[[#This Row],[Daily_Rent]]+Daily_Data[[#This Row],[Daily_Staff]]+Daily_Data[[#This Row],[Daily_HK]]+Daily_Data[[#This Row],[Daily_Electricity]] + Daily_Data[[#This Row],[Daily Maintenance]]</f>
        <v>16725.031566820275</v>
      </c>
      <c r="Q283" s="10">
        <f>Daily_Data[[#This Row],[Total_Sales]]-Daily_Data[[#This Row],[Total_Daily_Expense]]</f>
        <v>5594.9684331797253</v>
      </c>
      <c r="R283" s="10">
        <f>Daily_Data[[#This Row],[Total_Sales]]/Daily_Data[[#This Row],[Rooms_Occupied]]</f>
        <v>1860</v>
      </c>
      <c r="S283" s="10">
        <f>Daily_Data[[#This Row],[Total_Sales]] / Daily_Data[[#This Row],[Max_rooms]]</f>
        <v>1594.2857142857142</v>
      </c>
    </row>
    <row r="284" spans="1:19" x14ac:dyDescent="0.25">
      <c r="A284" s="6">
        <v>45209</v>
      </c>
      <c r="B284" s="20">
        <f>DATE(YEAR(Daily_Data[[#This Row],[Date]]), MONTH(Daily_Data[[#This Row],[Date]]), 1)</f>
        <v>45200</v>
      </c>
      <c r="C284" s="20" t="str">
        <f>TEXT(Daily_Data[[#This Row],[Month_key]],"mmmm")</f>
        <v>October</v>
      </c>
      <c r="D284" s="20" t="str">
        <f>TEXT(Daily_Data[[#This Row],[Month_key]],"yyyy")</f>
        <v>2023</v>
      </c>
      <c r="E284" s="7">
        <v>13</v>
      </c>
      <c r="F284" s="7">
        <v>14</v>
      </c>
      <c r="G284" s="8">
        <f>Daily_Data[[#This Row],[Rooms_Occupied]]/F284</f>
        <v>0.9285714285714286</v>
      </c>
      <c r="H284" s="7">
        <v>1722</v>
      </c>
      <c r="I284" s="7">
        <f>Daily_Data[[#This Row],[Room_rate]]*Daily_Data[[#This Row],[Rooms_Occupied]]</f>
        <v>22386</v>
      </c>
      <c r="J284" s="10">
        <f>Daily_Data[[#This Row],[Total_Sales]] * 0.22</f>
        <v>4924.92</v>
      </c>
      <c r="K284" s="10">
        <f>INDEX(Expense_master[Monthly_Rent],MATCH(Daily_Data[[#This Row],[Month_key]],Expense_master[Month_Key],0)) / INDEX(Expense_master[Days_in_Month],MATCH(Daily_Data[[#This Row],[Month_key]],Expense_master[Month_Key],0))</f>
        <v>6774.1935483870966</v>
      </c>
      <c r="L284" s="10">
        <f>SUMIFS(Expense_master[Staff_Salary],Expense_master[Month_Key],Daily_Data[[#This Row],[Month_key]]) / SUMIFS(Expense_master[Days_in_Month],Expense_master[Month_Key],Daily_Data[[#This Row],[Month_key]])</f>
        <v>2258.0645161290322</v>
      </c>
      <c r="M284" s="10">
        <f>Daily_Data[[#This Row],[Rooms_Occupied]] * (SUMIFS(Expense_master[Housekeeping_Laundy],Expense_master[Month_Key],Daily_Data[[#This Row],[Month_key]]) / SUMIFS(Occupancy_table[Monthly_rooms_Occupied],Occupancy_table[Month_Key],Daily_Data[[#This Row],[Month_key]]))</f>
        <v>386.90476190476193</v>
      </c>
      <c r="N2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1872.6568548387095</v>
      </c>
      <c r="O284" s="10">
        <f>SUMIFS(Expense_master[Monthly_Maintenance],Expense_master[Month_Key],Daily_Data[[#This Row],[Month_key]]) / SUMIFS(Expense_master[Days_in_Month],Expense_master[Month_Key], Daily_Data[[#This Row],[Month_key]])</f>
        <v>645.16129032258061</v>
      </c>
      <c r="P284" s="10">
        <f xml:space="preserve"> Daily_Data[[#This Row],[OTA Commision]] + Daily_Data[[#This Row],[Daily_Rent]]+Daily_Data[[#This Row],[Daily_Staff]]+Daily_Data[[#This Row],[Daily_HK]]+Daily_Data[[#This Row],[Daily_Electricity]] + Daily_Data[[#This Row],[Daily Maintenance]]</f>
        <v>16861.900971582181</v>
      </c>
      <c r="Q284" s="10">
        <f>Daily_Data[[#This Row],[Total_Sales]]-Daily_Data[[#This Row],[Total_Daily_Expense]]</f>
        <v>5524.0990284178188</v>
      </c>
      <c r="R284" s="10">
        <f>Daily_Data[[#This Row],[Total_Sales]]/Daily_Data[[#This Row],[Rooms_Occupied]]</f>
        <v>1722</v>
      </c>
      <c r="S284" s="10">
        <f>Daily_Data[[#This Row],[Total_Sales]] / Daily_Data[[#This Row],[Max_rooms]]</f>
        <v>1599</v>
      </c>
    </row>
    <row r="285" spans="1:19" x14ac:dyDescent="0.25">
      <c r="A285" s="6">
        <v>45210</v>
      </c>
      <c r="B285" s="20">
        <f>DATE(YEAR(Daily_Data[[#This Row],[Date]]), MONTH(Daily_Data[[#This Row],[Date]]), 1)</f>
        <v>45200</v>
      </c>
      <c r="C285" s="20" t="str">
        <f>TEXT(Daily_Data[[#This Row],[Month_key]],"mmmm")</f>
        <v>October</v>
      </c>
      <c r="D285" s="20" t="str">
        <f>TEXT(Daily_Data[[#This Row],[Month_key]],"yyyy")</f>
        <v>2023</v>
      </c>
      <c r="E285" s="7">
        <v>9</v>
      </c>
      <c r="F285" s="7">
        <v>14</v>
      </c>
      <c r="G285" s="8">
        <f>Daily_Data[[#This Row],[Rooms_Occupied]]/F285</f>
        <v>0.6428571428571429</v>
      </c>
      <c r="H285" s="7">
        <v>1108</v>
      </c>
      <c r="I285" s="7">
        <f>Daily_Data[[#This Row],[Room_rate]]*Daily_Data[[#This Row],[Rooms_Occupied]]</f>
        <v>9972</v>
      </c>
      <c r="J285" s="10">
        <f>Daily_Data[[#This Row],[Total_Sales]] * 0.22</f>
        <v>2193.84</v>
      </c>
      <c r="K285" s="10">
        <f>INDEX(Expense_master[Monthly_Rent],MATCH(Daily_Data[[#This Row],[Month_key]],Expense_master[Month_Key],0)) / INDEX(Expense_master[Days_in_Month],MATCH(Daily_Data[[#This Row],[Month_key]],Expense_master[Month_Key],0))</f>
        <v>6774.1935483870966</v>
      </c>
      <c r="L285" s="10">
        <f>SUMIFS(Expense_master[Staff_Salary],Expense_master[Month_Key],Daily_Data[[#This Row],[Month_key]]) / SUMIFS(Expense_master[Days_in_Month],Expense_master[Month_Key],Daily_Data[[#This Row],[Month_key]])</f>
        <v>2258.0645161290322</v>
      </c>
      <c r="M285" s="10">
        <f>Daily_Data[[#This Row],[Rooms_Occupied]] * (SUMIFS(Expense_master[Housekeeping_Laundy],Expense_master[Month_Key],Daily_Data[[#This Row],[Month_key]]) / SUMIFS(Occupancy_table[Monthly_rooms_Occupied],Occupancy_table[Month_Key],Daily_Data[[#This Row],[Month_key]]))</f>
        <v>267.85714285714289</v>
      </c>
      <c r="N2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85" s="10">
        <f>SUMIFS(Expense_master[Monthly_Maintenance],Expense_master[Month_Key],Daily_Data[[#This Row],[Month_key]]) / SUMIFS(Expense_master[Days_in_Month],Expense_master[Month_Key], Daily_Data[[#This Row],[Month_key]])</f>
        <v>645.16129032258061</v>
      </c>
      <c r="P285" s="10">
        <f xml:space="preserve"> Daily_Data[[#This Row],[OTA Commision]] + Daily_Data[[#This Row],[Daily_Rent]]+Daily_Data[[#This Row],[Daily_Staff]]+Daily_Data[[#This Row],[Daily_HK]]+Daily_Data[[#This Row],[Daily_Electricity]] + Daily_Data[[#This Row],[Daily Maintenance]]</f>
        <v>13641.423352534563</v>
      </c>
      <c r="Q285" s="10">
        <f>Daily_Data[[#This Row],[Total_Sales]]-Daily_Data[[#This Row],[Total_Daily_Expense]]</f>
        <v>-3669.4233525345626</v>
      </c>
      <c r="R285" s="10">
        <f>Daily_Data[[#This Row],[Total_Sales]]/Daily_Data[[#This Row],[Rooms_Occupied]]</f>
        <v>1108</v>
      </c>
      <c r="S285" s="10">
        <f>Daily_Data[[#This Row],[Total_Sales]] / Daily_Data[[#This Row],[Max_rooms]]</f>
        <v>712.28571428571433</v>
      </c>
    </row>
    <row r="286" spans="1:19" x14ac:dyDescent="0.25">
      <c r="A286" s="6">
        <v>45211</v>
      </c>
      <c r="B286" s="20">
        <f>DATE(YEAR(Daily_Data[[#This Row],[Date]]), MONTH(Daily_Data[[#This Row],[Date]]), 1)</f>
        <v>45200</v>
      </c>
      <c r="C286" s="20" t="str">
        <f>TEXT(Daily_Data[[#This Row],[Month_key]],"mmmm")</f>
        <v>October</v>
      </c>
      <c r="D286" s="20" t="str">
        <f>TEXT(Daily_Data[[#This Row],[Month_key]],"yyyy")</f>
        <v>2023</v>
      </c>
      <c r="E286" s="7">
        <v>9</v>
      </c>
      <c r="F286" s="7">
        <v>14</v>
      </c>
      <c r="G286" s="8">
        <f>Daily_Data[[#This Row],[Rooms_Occupied]]/F286</f>
        <v>0.6428571428571429</v>
      </c>
      <c r="H286" s="7">
        <v>1168</v>
      </c>
      <c r="I286" s="7">
        <f>Daily_Data[[#This Row],[Room_rate]]*Daily_Data[[#This Row],[Rooms_Occupied]]</f>
        <v>10512</v>
      </c>
      <c r="J286" s="10">
        <f>Daily_Data[[#This Row],[Total_Sales]] * 0.22</f>
        <v>2312.64</v>
      </c>
      <c r="K286" s="10">
        <f>INDEX(Expense_master[Monthly_Rent],MATCH(Daily_Data[[#This Row],[Month_key]],Expense_master[Month_Key],0)) / INDEX(Expense_master[Days_in_Month],MATCH(Daily_Data[[#This Row],[Month_key]],Expense_master[Month_Key],0))</f>
        <v>6774.1935483870966</v>
      </c>
      <c r="L286" s="10">
        <f>SUMIFS(Expense_master[Staff_Salary],Expense_master[Month_Key],Daily_Data[[#This Row],[Month_key]]) / SUMIFS(Expense_master[Days_in_Month],Expense_master[Month_Key],Daily_Data[[#This Row],[Month_key]])</f>
        <v>2258.0645161290322</v>
      </c>
      <c r="M286" s="10">
        <f>Daily_Data[[#This Row],[Rooms_Occupied]] * (SUMIFS(Expense_master[Housekeeping_Laundy],Expense_master[Month_Key],Daily_Data[[#This Row],[Month_key]]) / SUMIFS(Occupancy_table[Monthly_rooms_Occupied],Occupancy_table[Month_Key],Daily_Data[[#This Row],[Month_key]]))</f>
        <v>267.85714285714289</v>
      </c>
      <c r="N2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86" s="10">
        <f>SUMIFS(Expense_master[Monthly_Maintenance],Expense_master[Month_Key],Daily_Data[[#This Row],[Month_key]]) / SUMIFS(Expense_master[Days_in_Month],Expense_master[Month_Key], Daily_Data[[#This Row],[Month_key]])</f>
        <v>645.16129032258061</v>
      </c>
      <c r="P286" s="10">
        <f xml:space="preserve"> Daily_Data[[#This Row],[OTA Commision]] + Daily_Data[[#This Row],[Daily_Rent]]+Daily_Data[[#This Row],[Daily_Staff]]+Daily_Data[[#This Row],[Daily_HK]]+Daily_Data[[#This Row],[Daily_Electricity]] + Daily_Data[[#This Row],[Daily Maintenance]]</f>
        <v>13760.223352534562</v>
      </c>
      <c r="Q286" s="10">
        <f>Daily_Data[[#This Row],[Total_Sales]]-Daily_Data[[#This Row],[Total_Daily_Expense]]</f>
        <v>-3248.2233525345619</v>
      </c>
      <c r="R286" s="10">
        <f>Daily_Data[[#This Row],[Total_Sales]]/Daily_Data[[#This Row],[Rooms_Occupied]]</f>
        <v>1168</v>
      </c>
      <c r="S286" s="10">
        <f>Daily_Data[[#This Row],[Total_Sales]] / Daily_Data[[#This Row],[Max_rooms]]</f>
        <v>750.85714285714289</v>
      </c>
    </row>
    <row r="287" spans="1:19" x14ac:dyDescent="0.25">
      <c r="A287" s="6">
        <v>45212</v>
      </c>
      <c r="B287" s="20">
        <f>DATE(YEAR(Daily_Data[[#This Row],[Date]]), MONTH(Daily_Data[[#This Row],[Date]]), 1)</f>
        <v>45200</v>
      </c>
      <c r="C287" s="20" t="str">
        <f>TEXT(Daily_Data[[#This Row],[Month_key]],"mmmm")</f>
        <v>October</v>
      </c>
      <c r="D287" s="20" t="str">
        <f>TEXT(Daily_Data[[#This Row],[Month_key]],"yyyy")</f>
        <v>2023</v>
      </c>
      <c r="E287" s="7">
        <v>10</v>
      </c>
      <c r="F287" s="7">
        <v>14</v>
      </c>
      <c r="G287" s="8">
        <f>Daily_Data[[#This Row],[Rooms_Occupied]]/F287</f>
        <v>0.7142857142857143</v>
      </c>
      <c r="H287" s="7">
        <v>1666</v>
      </c>
      <c r="I287" s="7">
        <f>Daily_Data[[#This Row],[Room_rate]]*Daily_Data[[#This Row],[Rooms_Occupied]]</f>
        <v>16660</v>
      </c>
      <c r="J287" s="10">
        <f>Daily_Data[[#This Row],[Total_Sales]] * 0.22</f>
        <v>3665.2</v>
      </c>
      <c r="K287" s="10">
        <f>INDEX(Expense_master[Monthly_Rent],MATCH(Daily_Data[[#This Row],[Month_key]],Expense_master[Month_Key],0)) / INDEX(Expense_master[Days_in_Month],MATCH(Daily_Data[[#This Row],[Month_key]],Expense_master[Month_Key],0))</f>
        <v>6774.1935483870966</v>
      </c>
      <c r="L287" s="10">
        <f>SUMIFS(Expense_master[Staff_Salary],Expense_master[Month_Key],Daily_Data[[#This Row],[Month_key]]) / SUMIFS(Expense_master[Days_in_Month],Expense_master[Month_Key],Daily_Data[[#This Row],[Month_key]])</f>
        <v>2258.0645161290322</v>
      </c>
      <c r="M287" s="10">
        <f>Daily_Data[[#This Row],[Rooms_Occupied]] * (SUMIFS(Expense_master[Housekeeping_Laundy],Expense_master[Month_Key],Daily_Data[[#This Row],[Month_key]]) / SUMIFS(Occupancy_table[Monthly_rooms_Occupied],Occupancy_table[Month_Key],Daily_Data[[#This Row],[Month_key]]))</f>
        <v>297.61904761904765</v>
      </c>
      <c r="N2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1594.8943548387097</v>
      </c>
      <c r="O287" s="10">
        <f>SUMIFS(Expense_master[Monthly_Maintenance],Expense_master[Month_Key],Daily_Data[[#This Row],[Month_key]]) / SUMIFS(Expense_master[Days_in_Month],Expense_master[Month_Key], Daily_Data[[#This Row],[Month_key]])</f>
        <v>645.16129032258061</v>
      </c>
      <c r="P287" s="10">
        <f xml:space="preserve"> Daily_Data[[#This Row],[OTA Commision]] + Daily_Data[[#This Row],[Daily_Rent]]+Daily_Data[[#This Row],[Daily_Staff]]+Daily_Data[[#This Row],[Daily_HK]]+Daily_Data[[#This Row],[Daily_Electricity]] + Daily_Data[[#This Row],[Daily Maintenance]]</f>
        <v>15235.132757296467</v>
      </c>
      <c r="Q287" s="10">
        <f>Daily_Data[[#This Row],[Total_Sales]]-Daily_Data[[#This Row],[Total_Daily_Expense]]</f>
        <v>1424.8672427035326</v>
      </c>
      <c r="R287" s="10">
        <f>Daily_Data[[#This Row],[Total_Sales]]/Daily_Data[[#This Row],[Rooms_Occupied]]</f>
        <v>1666</v>
      </c>
      <c r="S287" s="10">
        <f>Daily_Data[[#This Row],[Total_Sales]] / Daily_Data[[#This Row],[Max_rooms]]</f>
        <v>1190</v>
      </c>
    </row>
    <row r="288" spans="1:19" x14ac:dyDescent="0.25">
      <c r="A288" s="6">
        <v>45213</v>
      </c>
      <c r="B288" s="20">
        <f>DATE(YEAR(Daily_Data[[#This Row],[Date]]), MONTH(Daily_Data[[#This Row],[Date]]), 1)</f>
        <v>45200</v>
      </c>
      <c r="C288" s="20" t="str">
        <f>TEXT(Daily_Data[[#This Row],[Month_key]],"mmmm")</f>
        <v>October</v>
      </c>
      <c r="D288" s="20" t="str">
        <f>TEXT(Daily_Data[[#This Row],[Month_key]],"yyyy")</f>
        <v>2023</v>
      </c>
      <c r="E288" s="7">
        <v>13</v>
      </c>
      <c r="F288" s="7">
        <v>14</v>
      </c>
      <c r="G288" s="8">
        <f>Daily_Data[[#This Row],[Rooms_Occupied]]/F288</f>
        <v>0.9285714285714286</v>
      </c>
      <c r="H288" s="7">
        <v>1052</v>
      </c>
      <c r="I288" s="7">
        <f>Daily_Data[[#This Row],[Room_rate]]*Daily_Data[[#This Row],[Rooms_Occupied]]</f>
        <v>13676</v>
      </c>
      <c r="J288" s="10">
        <f>Daily_Data[[#This Row],[Total_Sales]] * 0.22</f>
        <v>3008.72</v>
      </c>
      <c r="K288" s="10">
        <f>INDEX(Expense_master[Monthly_Rent],MATCH(Daily_Data[[#This Row],[Month_key]],Expense_master[Month_Key],0)) / INDEX(Expense_master[Days_in_Month],MATCH(Daily_Data[[#This Row],[Month_key]],Expense_master[Month_Key],0))</f>
        <v>6774.1935483870966</v>
      </c>
      <c r="L288" s="10">
        <f>SUMIFS(Expense_master[Staff_Salary],Expense_master[Month_Key],Daily_Data[[#This Row],[Month_key]]) / SUMIFS(Expense_master[Days_in_Month],Expense_master[Month_Key],Daily_Data[[#This Row],[Month_key]])</f>
        <v>2258.0645161290322</v>
      </c>
      <c r="M288" s="10">
        <f>Daily_Data[[#This Row],[Rooms_Occupied]] * (SUMIFS(Expense_master[Housekeeping_Laundy],Expense_master[Month_Key],Daily_Data[[#This Row],[Month_key]]) / SUMIFS(Occupancy_table[Monthly_rooms_Occupied],Occupancy_table[Month_Key],Daily_Data[[#This Row],[Month_key]]))</f>
        <v>386.90476190476193</v>
      </c>
      <c r="N2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1872.6568548387095</v>
      </c>
      <c r="O288" s="10">
        <f>SUMIFS(Expense_master[Monthly_Maintenance],Expense_master[Month_Key],Daily_Data[[#This Row],[Month_key]]) / SUMIFS(Expense_master[Days_in_Month],Expense_master[Month_Key], Daily_Data[[#This Row],[Month_key]])</f>
        <v>645.16129032258061</v>
      </c>
      <c r="P288" s="10">
        <f xml:space="preserve"> Daily_Data[[#This Row],[OTA Commision]] + Daily_Data[[#This Row],[Daily_Rent]]+Daily_Data[[#This Row],[Daily_Staff]]+Daily_Data[[#This Row],[Daily_HK]]+Daily_Data[[#This Row],[Daily_Electricity]] + Daily_Data[[#This Row],[Daily Maintenance]]</f>
        <v>14945.700971582181</v>
      </c>
      <c r="Q288" s="10">
        <f>Daily_Data[[#This Row],[Total_Sales]]-Daily_Data[[#This Row],[Total_Daily_Expense]]</f>
        <v>-1269.7009715821805</v>
      </c>
      <c r="R288" s="10">
        <f>Daily_Data[[#This Row],[Total_Sales]]/Daily_Data[[#This Row],[Rooms_Occupied]]</f>
        <v>1052</v>
      </c>
      <c r="S288" s="10">
        <f>Daily_Data[[#This Row],[Total_Sales]] / Daily_Data[[#This Row],[Max_rooms]]</f>
        <v>976.85714285714289</v>
      </c>
    </row>
    <row r="289" spans="1:19" x14ac:dyDescent="0.25">
      <c r="A289" s="6">
        <v>45214</v>
      </c>
      <c r="B289" s="20">
        <f>DATE(YEAR(Daily_Data[[#This Row],[Date]]), MONTH(Daily_Data[[#This Row],[Date]]), 1)</f>
        <v>45200</v>
      </c>
      <c r="C289" s="20" t="str">
        <f>TEXT(Daily_Data[[#This Row],[Month_key]],"mmmm")</f>
        <v>October</v>
      </c>
      <c r="D289" s="20" t="str">
        <f>TEXT(Daily_Data[[#This Row],[Month_key]],"yyyy")</f>
        <v>2023</v>
      </c>
      <c r="E289" s="7">
        <v>9</v>
      </c>
      <c r="F289" s="7">
        <v>14</v>
      </c>
      <c r="G289" s="8">
        <f>Daily_Data[[#This Row],[Rooms_Occupied]]/F289</f>
        <v>0.6428571428571429</v>
      </c>
      <c r="H289" s="7">
        <v>1656</v>
      </c>
      <c r="I289" s="7">
        <f>Daily_Data[[#This Row],[Room_rate]]*Daily_Data[[#This Row],[Rooms_Occupied]]</f>
        <v>14904</v>
      </c>
      <c r="J289" s="10">
        <f>Daily_Data[[#This Row],[Total_Sales]] * 0.22</f>
        <v>3278.88</v>
      </c>
      <c r="K289" s="10">
        <f>INDEX(Expense_master[Monthly_Rent],MATCH(Daily_Data[[#This Row],[Month_key]],Expense_master[Month_Key],0)) / INDEX(Expense_master[Days_in_Month],MATCH(Daily_Data[[#This Row],[Month_key]],Expense_master[Month_Key],0))</f>
        <v>6774.1935483870966</v>
      </c>
      <c r="L289" s="10">
        <f>SUMIFS(Expense_master[Staff_Salary],Expense_master[Month_Key],Daily_Data[[#This Row],[Month_key]]) / SUMIFS(Expense_master[Days_in_Month],Expense_master[Month_Key],Daily_Data[[#This Row],[Month_key]])</f>
        <v>2258.0645161290322</v>
      </c>
      <c r="M289" s="10">
        <f>Daily_Data[[#This Row],[Rooms_Occupied]] * (SUMIFS(Expense_master[Housekeeping_Laundy],Expense_master[Month_Key],Daily_Data[[#This Row],[Month_key]]) / SUMIFS(Occupancy_table[Monthly_rooms_Occupied],Occupancy_table[Month_Key],Daily_Data[[#This Row],[Month_key]]))</f>
        <v>267.85714285714289</v>
      </c>
      <c r="N2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89" s="10">
        <f>SUMIFS(Expense_master[Monthly_Maintenance],Expense_master[Month_Key],Daily_Data[[#This Row],[Month_key]]) / SUMIFS(Expense_master[Days_in_Month],Expense_master[Month_Key], Daily_Data[[#This Row],[Month_key]])</f>
        <v>645.16129032258061</v>
      </c>
      <c r="P289" s="10">
        <f xml:space="preserve"> Daily_Data[[#This Row],[OTA Commision]] + Daily_Data[[#This Row],[Daily_Rent]]+Daily_Data[[#This Row],[Daily_Staff]]+Daily_Data[[#This Row],[Daily_HK]]+Daily_Data[[#This Row],[Daily_Electricity]] + Daily_Data[[#This Row],[Daily Maintenance]]</f>
        <v>14726.463352534562</v>
      </c>
      <c r="Q289" s="10">
        <f>Daily_Data[[#This Row],[Total_Sales]]-Daily_Data[[#This Row],[Total_Daily_Expense]]</f>
        <v>177.53664746543836</v>
      </c>
      <c r="R289" s="10">
        <f>Daily_Data[[#This Row],[Total_Sales]]/Daily_Data[[#This Row],[Rooms_Occupied]]</f>
        <v>1656</v>
      </c>
      <c r="S289" s="10">
        <f>Daily_Data[[#This Row],[Total_Sales]] / Daily_Data[[#This Row],[Max_rooms]]</f>
        <v>1064.5714285714287</v>
      </c>
    </row>
    <row r="290" spans="1:19" x14ac:dyDescent="0.25">
      <c r="A290" s="6">
        <v>45215</v>
      </c>
      <c r="B290" s="20">
        <f>DATE(YEAR(Daily_Data[[#This Row],[Date]]), MONTH(Daily_Data[[#This Row],[Date]]), 1)</f>
        <v>45200</v>
      </c>
      <c r="C290" s="20" t="str">
        <f>TEXT(Daily_Data[[#This Row],[Month_key]],"mmmm")</f>
        <v>October</v>
      </c>
      <c r="D290" s="20" t="str">
        <f>TEXT(Daily_Data[[#This Row],[Month_key]],"yyyy")</f>
        <v>2023</v>
      </c>
      <c r="E290" s="7">
        <v>9</v>
      </c>
      <c r="F290" s="7">
        <v>14</v>
      </c>
      <c r="G290" s="8">
        <f>Daily_Data[[#This Row],[Rooms_Occupied]]/F290</f>
        <v>0.6428571428571429</v>
      </c>
      <c r="H290" s="7">
        <v>1938</v>
      </c>
      <c r="I290" s="7">
        <f>Daily_Data[[#This Row],[Room_rate]]*Daily_Data[[#This Row],[Rooms_Occupied]]</f>
        <v>17442</v>
      </c>
      <c r="J290" s="10">
        <f>Daily_Data[[#This Row],[Total_Sales]] * 0.22</f>
        <v>3837.2400000000002</v>
      </c>
      <c r="K290" s="10">
        <f>INDEX(Expense_master[Monthly_Rent],MATCH(Daily_Data[[#This Row],[Month_key]],Expense_master[Month_Key],0)) / INDEX(Expense_master[Days_in_Month],MATCH(Daily_Data[[#This Row],[Month_key]],Expense_master[Month_Key],0))</f>
        <v>6774.1935483870966</v>
      </c>
      <c r="L290" s="10">
        <f>SUMIFS(Expense_master[Staff_Salary],Expense_master[Month_Key],Daily_Data[[#This Row],[Month_key]]) / SUMIFS(Expense_master[Days_in_Month],Expense_master[Month_Key],Daily_Data[[#This Row],[Month_key]])</f>
        <v>2258.0645161290322</v>
      </c>
      <c r="M290" s="10">
        <f>Daily_Data[[#This Row],[Rooms_Occupied]] * (SUMIFS(Expense_master[Housekeeping_Laundy],Expense_master[Month_Key],Daily_Data[[#This Row],[Month_key]]) / SUMIFS(Occupancy_table[Monthly_rooms_Occupied],Occupancy_table[Month_Key],Daily_Data[[#This Row],[Month_key]]))</f>
        <v>267.85714285714289</v>
      </c>
      <c r="N2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90" s="10">
        <f>SUMIFS(Expense_master[Monthly_Maintenance],Expense_master[Month_Key],Daily_Data[[#This Row],[Month_key]]) / SUMIFS(Expense_master[Days_in_Month],Expense_master[Month_Key], Daily_Data[[#This Row],[Month_key]])</f>
        <v>645.16129032258061</v>
      </c>
      <c r="P290" s="10">
        <f xml:space="preserve"> Daily_Data[[#This Row],[OTA Commision]] + Daily_Data[[#This Row],[Daily_Rent]]+Daily_Data[[#This Row],[Daily_Staff]]+Daily_Data[[#This Row],[Daily_HK]]+Daily_Data[[#This Row],[Daily_Electricity]] + Daily_Data[[#This Row],[Daily Maintenance]]</f>
        <v>15284.823352534562</v>
      </c>
      <c r="Q290" s="10">
        <f>Daily_Data[[#This Row],[Total_Sales]]-Daily_Data[[#This Row],[Total_Daily_Expense]]</f>
        <v>2157.1766474654378</v>
      </c>
      <c r="R290" s="10">
        <f>Daily_Data[[#This Row],[Total_Sales]]/Daily_Data[[#This Row],[Rooms_Occupied]]</f>
        <v>1938</v>
      </c>
      <c r="S290" s="10">
        <f>Daily_Data[[#This Row],[Total_Sales]] / Daily_Data[[#This Row],[Max_rooms]]</f>
        <v>1245.8571428571429</v>
      </c>
    </row>
    <row r="291" spans="1:19" x14ac:dyDescent="0.25">
      <c r="A291" s="6">
        <v>45216</v>
      </c>
      <c r="B291" s="20">
        <f>DATE(YEAR(Daily_Data[[#This Row],[Date]]), MONTH(Daily_Data[[#This Row],[Date]]), 1)</f>
        <v>45200</v>
      </c>
      <c r="C291" s="20" t="str">
        <f>TEXT(Daily_Data[[#This Row],[Month_key]],"mmmm")</f>
        <v>October</v>
      </c>
      <c r="D291" s="20" t="str">
        <f>TEXT(Daily_Data[[#This Row],[Month_key]],"yyyy")</f>
        <v>2023</v>
      </c>
      <c r="E291" s="7">
        <v>9</v>
      </c>
      <c r="F291" s="7">
        <v>14</v>
      </c>
      <c r="G291" s="8">
        <f>Daily_Data[[#This Row],[Rooms_Occupied]]/F291</f>
        <v>0.6428571428571429</v>
      </c>
      <c r="H291" s="7">
        <v>1418</v>
      </c>
      <c r="I291" s="7">
        <f>Daily_Data[[#This Row],[Room_rate]]*Daily_Data[[#This Row],[Rooms_Occupied]]</f>
        <v>12762</v>
      </c>
      <c r="J291" s="10">
        <f>Daily_Data[[#This Row],[Total_Sales]] * 0.22</f>
        <v>2807.64</v>
      </c>
      <c r="K291" s="10">
        <f>INDEX(Expense_master[Monthly_Rent],MATCH(Daily_Data[[#This Row],[Month_key]],Expense_master[Month_Key],0)) / INDEX(Expense_master[Days_in_Month],MATCH(Daily_Data[[#This Row],[Month_key]],Expense_master[Month_Key],0))</f>
        <v>6774.1935483870966</v>
      </c>
      <c r="L291" s="10">
        <f>SUMIFS(Expense_master[Staff_Salary],Expense_master[Month_Key],Daily_Data[[#This Row],[Month_key]]) / SUMIFS(Expense_master[Days_in_Month],Expense_master[Month_Key],Daily_Data[[#This Row],[Month_key]])</f>
        <v>2258.0645161290322</v>
      </c>
      <c r="M291" s="10">
        <f>Daily_Data[[#This Row],[Rooms_Occupied]] * (SUMIFS(Expense_master[Housekeeping_Laundy],Expense_master[Month_Key],Daily_Data[[#This Row],[Month_key]]) / SUMIFS(Occupancy_table[Monthly_rooms_Occupied],Occupancy_table[Month_Key],Daily_Data[[#This Row],[Month_key]]))</f>
        <v>267.85714285714289</v>
      </c>
      <c r="N2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291" s="10">
        <f>SUMIFS(Expense_master[Monthly_Maintenance],Expense_master[Month_Key],Daily_Data[[#This Row],[Month_key]]) / SUMIFS(Expense_master[Days_in_Month],Expense_master[Month_Key], Daily_Data[[#This Row],[Month_key]])</f>
        <v>645.16129032258061</v>
      </c>
      <c r="P291" s="10">
        <f xml:space="preserve"> Daily_Data[[#This Row],[OTA Commision]] + Daily_Data[[#This Row],[Daily_Rent]]+Daily_Data[[#This Row],[Daily_Staff]]+Daily_Data[[#This Row],[Daily_HK]]+Daily_Data[[#This Row],[Daily_Electricity]] + Daily_Data[[#This Row],[Daily Maintenance]]</f>
        <v>14255.223352534562</v>
      </c>
      <c r="Q291" s="10">
        <f>Daily_Data[[#This Row],[Total_Sales]]-Daily_Data[[#This Row],[Total_Daily_Expense]]</f>
        <v>-1493.2233525345619</v>
      </c>
      <c r="R291" s="10">
        <f>Daily_Data[[#This Row],[Total_Sales]]/Daily_Data[[#This Row],[Rooms_Occupied]]</f>
        <v>1418</v>
      </c>
      <c r="S291" s="10">
        <f>Daily_Data[[#This Row],[Total_Sales]] / Daily_Data[[#This Row],[Max_rooms]]</f>
        <v>911.57142857142856</v>
      </c>
    </row>
    <row r="292" spans="1:19" x14ac:dyDescent="0.25">
      <c r="A292" s="6">
        <v>45217</v>
      </c>
      <c r="B292" s="20">
        <f>DATE(YEAR(Daily_Data[[#This Row],[Date]]), MONTH(Daily_Data[[#This Row],[Date]]), 1)</f>
        <v>45200</v>
      </c>
      <c r="C292" s="20" t="str">
        <f>TEXT(Daily_Data[[#This Row],[Month_key]],"mmmm")</f>
        <v>October</v>
      </c>
      <c r="D292" s="20" t="str">
        <f>TEXT(Daily_Data[[#This Row],[Month_key]],"yyyy")</f>
        <v>2023</v>
      </c>
      <c r="E292" s="7">
        <v>10</v>
      </c>
      <c r="F292" s="7">
        <v>14</v>
      </c>
      <c r="G292" s="8">
        <f>Daily_Data[[#This Row],[Rooms_Occupied]]/F292</f>
        <v>0.7142857142857143</v>
      </c>
      <c r="H292" s="7">
        <v>1694</v>
      </c>
      <c r="I292" s="7">
        <f>Daily_Data[[#This Row],[Room_rate]]*Daily_Data[[#This Row],[Rooms_Occupied]]</f>
        <v>16940</v>
      </c>
      <c r="J292" s="10">
        <f>Daily_Data[[#This Row],[Total_Sales]] * 0.22</f>
        <v>3726.8</v>
      </c>
      <c r="K292" s="10">
        <f>INDEX(Expense_master[Monthly_Rent],MATCH(Daily_Data[[#This Row],[Month_key]],Expense_master[Month_Key],0)) / INDEX(Expense_master[Days_in_Month],MATCH(Daily_Data[[#This Row],[Month_key]],Expense_master[Month_Key],0))</f>
        <v>6774.1935483870966</v>
      </c>
      <c r="L292" s="10">
        <f>SUMIFS(Expense_master[Staff_Salary],Expense_master[Month_Key],Daily_Data[[#This Row],[Month_key]]) / SUMIFS(Expense_master[Days_in_Month],Expense_master[Month_Key],Daily_Data[[#This Row],[Month_key]])</f>
        <v>2258.0645161290322</v>
      </c>
      <c r="M292" s="10">
        <f>Daily_Data[[#This Row],[Rooms_Occupied]] * (SUMIFS(Expense_master[Housekeeping_Laundy],Expense_master[Month_Key],Daily_Data[[#This Row],[Month_key]]) / SUMIFS(Occupancy_table[Monthly_rooms_Occupied],Occupancy_table[Month_Key],Daily_Data[[#This Row],[Month_key]]))</f>
        <v>297.61904761904765</v>
      </c>
      <c r="N2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1594.8943548387097</v>
      </c>
      <c r="O292" s="10">
        <f>SUMIFS(Expense_master[Monthly_Maintenance],Expense_master[Month_Key],Daily_Data[[#This Row],[Month_key]]) / SUMIFS(Expense_master[Days_in_Month],Expense_master[Month_Key], Daily_Data[[#This Row],[Month_key]])</f>
        <v>645.16129032258061</v>
      </c>
      <c r="P292" s="10">
        <f xml:space="preserve"> Daily_Data[[#This Row],[OTA Commision]] + Daily_Data[[#This Row],[Daily_Rent]]+Daily_Data[[#This Row],[Daily_Staff]]+Daily_Data[[#This Row],[Daily_HK]]+Daily_Data[[#This Row],[Daily_Electricity]] + Daily_Data[[#This Row],[Daily Maintenance]]</f>
        <v>15296.73275729647</v>
      </c>
      <c r="Q292" s="10">
        <f>Daily_Data[[#This Row],[Total_Sales]]-Daily_Data[[#This Row],[Total_Daily_Expense]]</f>
        <v>1643.2672427035304</v>
      </c>
      <c r="R292" s="10">
        <f>Daily_Data[[#This Row],[Total_Sales]]/Daily_Data[[#This Row],[Rooms_Occupied]]</f>
        <v>1694</v>
      </c>
      <c r="S292" s="10">
        <f>Daily_Data[[#This Row],[Total_Sales]] / Daily_Data[[#This Row],[Max_rooms]]</f>
        <v>1210</v>
      </c>
    </row>
    <row r="293" spans="1:19" x14ac:dyDescent="0.25">
      <c r="A293" s="6">
        <v>45218</v>
      </c>
      <c r="B293" s="20">
        <f>DATE(YEAR(Daily_Data[[#This Row],[Date]]), MONTH(Daily_Data[[#This Row],[Date]]), 1)</f>
        <v>45200</v>
      </c>
      <c r="C293" s="20" t="str">
        <f>TEXT(Daily_Data[[#This Row],[Month_key]],"mmmm")</f>
        <v>October</v>
      </c>
      <c r="D293" s="20" t="str">
        <f>TEXT(Daily_Data[[#This Row],[Month_key]],"yyyy")</f>
        <v>2023</v>
      </c>
      <c r="E293" s="7">
        <v>11</v>
      </c>
      <c r="F293" s="7">
        <v>14</v>
      </c>
      <c r="G293" s="8">
        <f>Daily_Data[[#This Row],[Rooms_Occupied]]/F293</f>
        <v>0.7857142857142857</v>
      </c>
      <c r="H293" s="7">
        <v>1575</v>
      </c>
      <c r="I293" s="7">
        <f>Daily_Data[[#This Row],[Room_rate]]*Daily_Data[[#This Row],[Rooms_Occupied]]</f>
        <v>17325</v>
      </c>
      <c r="J293" s="10">
        <f>Daily_Data[[#This Row],[Total_Sales]] * 0.22</f>
        <v>3811.5</v>
      </c>
      <c r="K293" s="10">
        <f>INDEX(Expense_master[Monthly_Rent],MATCH(Daily_Data[[#This Row],[Month_key]],Expense_master[Month_Key],0)) / INDEX(Expense_master[Days_in_Month],MATCH(Daily_Data[[#This Row],[Month_key]],Expense_master[Month_Key],0))</f>
        <v>6774.1935483870966</v>
      </c>
      <c r="L293" s="10">
        <f>SUMIFS(Expense_master[Staff_Salary],Expense_master[Month_Key],Daily_Data[[#This Row],[Month_key]]) / SUMIFS(Expense_master[Days_in_Month],Expense_master[Month_Key],Daily_Data[[#This Row],[Month_key]])</f>
        <v>2258.0645161290322</v>
      </c>
      <c r="M293" s="10">
        <f>Daily_Data[[#This Row],[Rooms_Occupied]] * (SUMIFS(Expense_master[Housekeeping_Laundy],Expense_master[Month_Key],Daily_Data[[#This Row],[Month_key]]) / SUMIFS(Occupancy_table[Monthly_rooms_Occupied],Occupancy_table[Month_Key],Daily_Data[[#This Row],[Month_key]]))</f>
        <v>327.38095238095241</v>
      </c>
      <c r="N2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1687.4818548387095</v>
      </c>
      <c r="O293" s="10">
        <f>SUMIFS(Expense_master[Monthly_Maintenance],Expense_master[Month_Key],Daily_Data[[#This Row],[Month_key]]) / SUMIFS(Expense_master[Days_in_Month],Expense_master[Month_Key], Daily_Data[[#This Row],[Month_key]])</f>
        <v>645.16129032258061</v>
      </c>
      <c r="P293" s="10">
        <f xml:space="preserve"> Daily_Data[[#This Row],[OTA Commision]] + Daily_Data[[#This Row],[Daily_Rent]]+Daily_Data[[#This Row],[Daily_Staff]]+Daily_Data[[#This Row],[Daily_HK]]+Daily_Data[[#This Row],[Daily_Electricity]] + Daily_Data[[#This Row],[Daily Maintenance]]</f>
        <v>15503.782162058373</v>
      </c>
      <c r="Q293" s="10">
        <f>Daily_Data[[#This Row],[Total_Sales]]-Daily_Data[[#This Row],[Total_Daily_Expense]]</f>
        <v>1821.2178379416273</v>
      </c>
      <c r="R293" s="10">
        <f>Daily_Data[[#This Row],[Total_Sales]]/Daily_Data[[#This Row],[Rooms_Occupied]]</f>
        <v>1575</v>
      </c>
      <c r="S293" s="10">
        <f>Daily_Data[[#This Row],[Total_Sales]] / Daily_Data[[#This Row],[Max_rooms]]</f>
        <v>1237.5</v>
      </c>
    </row>
    <row r="294" spans="1:19" x14ac:dyDescent="0.25">
      <c r="A294" s="6">
        <v>45219</v>
      </c>
      <c r="B294" s="20">
        <f>DATE(YEAR(Daily_Data[[#This Row],[Date]]), MONTH(Daily_Data[[#This Row],[Date]]), 1)</f>
        <v>45200</v>
      </c>
      <c r="C294" s="20" t="str">
        <f>TEXT(Daily_Data[[#This Row],[Month_key]],"mmmm")</f>
        <v>October</v>
      </c>
      <c r="D294" s="20" t="str">
        <f>TEXT(Daily_Data[[#This Row],[Month_key]],"yyyy")</f>
        <v>2023</v>
      </c>
      <c r="E294" s="7">
        <v>14</v>
      </c>
      <c r="F294" s="7">
        <v>14</v>
      </c>
      <c r="G294" s="8">
        <f>Daily_Data[[#This Row],[Rooms_Occupied]]/F294</f>
        <v>1</v>
      </c>
      <c r="H294" s="7">
        <v>1336</v>
      </c>
      <c r="I294" s="7">
        <f>Daily_Data[[#This Row],[Room_rate]]*Daily_Data[[#This Row],[Rooms_Occupied]]</f>
        <v>18704</v>
      </c>
      <c r="J294" s="10">
        <f>Daily_Data[[#This Row],[Total_Sales]] * 0.22</f>
        <v>4114.88</v>
      </c>
      <c r="K294" s="10">
        <f>INDEX(Expense_master[Monthly_Rent],MATCH(Daily_Data[[#This Row],[Month_key]],Expense_master[Month_Key],0)) / INDEX(Expense_master[Days_in_Month],MATCH(Daily_Data[[#This Row],[Month_key]],Expense_master[Month_Key],0))</f>
        <v>6774.1935483870966</v>
      </c>
      <c r="L294" s="10">
        <f>SUMIFS(Expense_master[Staff_Salary],Expense_master[Month_Key],Daily_Data[[#This Row],[Month_key]]) / SUMIFS(Expense_master[Days_in_Month],Expense_master[Month_Key],Daily_Data[[#This Row],[Month_key]])</f>
        <v>2258.0645161290322</v>
      </c>
      <c r="M294" s="10">
        <f>Daily_Data[[#This Row],[Rooms_Occupied]] * (SUMIFS(Expense_master[Housekeeping_Laundy],Expense_master[Month_Key],Daily_Data[[#This Row],[Month_key]]) / SUMIFS(Occupancy_table[Monthly_rooms_Occupied],Occupancy_table[Month_Key],Daily_Data[[#This Row],[Month_key]]))</f>
        <v>416.66666666666669</v>
      </c>
      <c r="N2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1965.2443548387096</v>
      </c>
      <c r="O294" s="10">
        <f>SUMIFS(Expense_master[Monthly_Maintenance],Expense_master[Month_Key],Daily_Data[[#This Row],[Month_key]]) / SUMIFS(Expense_master[Days_in_Month],Expense_master[Month_Key], Daily_Data[[#This Row],[Month_key]])</f>
        <v>645.16129032258061</v>
      </c>
      <c r="P294" s="10">
        <f xml:space="preserve"> Daily_Data[[#This Row],[OTA Commision]] + Daily_Data[[#This Row],[Daily_Rent]]+Daily_Data[[#This Row],[Daily_Staff]]+Daily_Data[[#This Row],[Daily_HK]]+Daily_Data[[#This Row],[Daily_Electricity]] + Daily_Data[[#This Row],[Daily Maintenance]]</f>
        <v>16174.210376344085</v>
      </c>
      <c r="Q294" s="10">
        <f>Daily_Data[[#This Row],[Total_Sales]]-Daily_Data[[#This Row],[Total_Daily_Expense]]</f>
        <v>2529.7896236559154</v>
      </c>
      <c r="R294" s="10">
        <f>Daily_Data[[#This Row],[Total_Sales]]/Daily_Data[[#This Row],[Rooms_Occupied]]</f>
        <v>1336</v>
      </c>
      <c r="S294" s="10">
        <f>Daily_Data[[#This Row],[Total_Sales]] / Daily_Data[[#This Row],[Max_rooms]]</f>
        <v>1336</v>
      </c>
    </row>
    <row r="295" spans="1:19" x14ac:dyDescent="0.25">
      <c r="A295" s="6">
        <v>45220</v>
      </c>
      <c r="B295" s="20">
        <f>DATE(YEAR(Daily_Data[[#This Row],[Date]]), MONTH(Daily_Data[[#This Row],[Date]]), 1)</f>
        <v>45200</v>
      </c>
      <c r="C295" s="20" t="str">
        <f>TEXT(Daily_Data[[#This Row],[Month_key]],"mmmm")</f>
        <v>October</v>
      </c>
      <c r="D295" s="20" t="str">
        <f>TEXT(Daily_Data[[#This Row],[Month_key]],"yyyy")</f>
        <v>2023</v>
      </c>
      <c r="E295" s="7">
        <v>10</v>
      </c>
      <c r="F295" s="7">
        <v>14</v>
      </c>
      <c r="G295" s="8">
        <f>Daily_Data[[#This Row],[Rooms_Occupied]]/F295</f>
        <v>0.7142857142857143</v>
      </c>
      <c r="H295" s="7">
        <v>1865</v>
      </c>
      <c r="I295" s="7">
        <f>Daily_Data[[#This Row],[Room_rate]]*Daily_Data[[#This Row],[Rooms_Occupied]]</f>
        <v>18650</v>
      </c>
      <c r="J295" s="10">
        <f>Daily_Data[[#This Row],[Total_Sales]] * 0.22</f>
        <v>4103</v>
      </c>
      <c r="K295" s="10">
        <f>INDEX(Expense_master[Monthly_Rent],MATCH(Daily_Data[[#This Row],[Month_key]],Expense_master[Month_Key],0)) / INDEX(Expense_master[Days_in_Month],MATCH(Daily_Data[[#This Row],[Month_key]],Expense_master[Month_Key],0))</f>
        <v>6774.1935483870966</v>
      </c>
      <c r="L295" s="10">
        <f>SUMIFS(Expense_master[Staff_Salary],Expense_master[Month_Key],Daily_Data[[#This Row],[Month_key]]) / SUMIFS(Expense_master[Days_in_Month],Expense_master[Month_Key],Daily_Data[[#This Row],[Month_key]])</f>
        <v>2258.0645161290322</v>
      </c>
      <c r="M295" s="10">
        <f>Daily_Data[[#This Row],[Rooms_Occupied]] * (SUMIFS(Expense_master[Housekeeping_Laundy],Expense_master[Month_Key],Daily_Data[[#This Row],[Month_key]]) / SUMIFS(Occupancy_table[Monthly_rooms_Occupied],Occupancy_table[Month_Key],Daily_Data[[#This Row],[Month_key]]))</f>
        <v>297.61904761904765</v>
      </c>
      <c r="N2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1594.8943548387097</v>
      </c>
      <c r="O295" s="10">
        <f>SUMIFS(Expense_master[Monthly_Maintenance],Expense_master[Month_Key],Daily_Data[[#This Row],[Month_key]]) / SUMIFS(Expense_master[Days_in_Month],Expense_master[Month_Key], Daily_Data[[#This Row],[Month_key]])</f>
        <v>645.16129032258061</v>
      </c>
      <c r="P295" s="10">
        <f xml:space="preserve"> Daily_Data[[#This Row],[OTA Commision]] + Daily_Data[[#This Row],[Daily_Rent]]+Daily_Data[[#This Row],[Daily_Staff]]+Daily_Data[[#This Row],[Daily_HK]]+Daily_Data[[#This Row],[Daily_Electricity]] + Daily_Data[[#This Row],[Daily Maintenance]]</f>
        <v>15672.932757296467</v>
      </c>
      <c r="Q295" s="10">
        <f>Daily_Data[[#This Row],[Total_Sales]]-Daily_Data[[#This Row],[Total_Daily_Expense]]</f>
        <v>2977.0672427035333</v>
      </c>
      <c r="R295" s="10">
        <f>Daily_Data[[#This Row],[Total_Sales]]/Daily_Data[[#This Row],[Rooms_Occupied]]</f>
        <v>1865</v>
      </c>
      <c r="S295" s="10">
        <f>Daily_Data[[#This Row],[Total_Sales]] / Daily_Data[[#This Row],[Max_rooms]]</f>
        <v>1332.1428571428571</v>
      </c>
    </row>
    <row r="296" spans="1:19" x14ac:dyDescent="0.25">
      <c r="A296" s="6">
        <v>45221</v>
      </c>
      <c r="B296" s="20">
        <f>DATE(YEAR(Daily_Data[[#This Row],[Date]]), MONTH(Daily_Data[[#This Row],[Date]]), 1)</f>
        <v>45200</v>
      </c>
      <c r="C296" s="20" t="str">
        <f>TEXT(Daily_Data[[#This Row],[Month_key]],"mmmm")</f>
        <v>October</v>
      </c>
      <c r="D296" s="20" t="str">
        <f>TEXT(Daily_Data[[#This Row],[Month_key]],"yyyy")</f>
        <v>2023</v>
      </c>
      <c r="E296" s="7">
        <v>8</v>
      </c>
      <c r="F296" s="7">
        <v>14</v>
      </c>
      <c r="G296" s="8">
        <f>Daily_Data[[#This Row],[Rooms_Occupied]]/F296</f>
        <v>0.5714285714285714</v>
      </c>
      <c r="H296" s="7">
        <v>1172</v>
      </c>
      <c r="I296" s="7">
        <f>Daily_Data[[#This Row],[Room_rate]]*Daily_Data[[#This Row],[Rooms_Occupied]]</f>
        <v>9376</v>
      </c>
      <c r="J296" s="10">
        <f>Daily_Data[[#This Row],[Total_Sales]] * 0.22</f>
        <v>2062.7199999999998</v>
      </c>
      <c r="K296" s="10">
        <f>INDEX(Expense_master[Monthly_Rent],MATCH(Daily_Data[[#This Row],[Month_key]],Expense_master[Month_Key],0)) / INDEX(Expense_master[Days_in_Month],MATCH(Daily_Data[[#This Row],[Month_key]],Expense_master[Month_Key],0))</f>
        <v>6774.1935483870966</v>
      </c>
      <c r="L296" s="10">
        <f>SUMIFS(Expense_master[Staff_Salary],Expense_master[Month_Key],Daily_Data[[#This Row],[Month_key]]) / SUMIFS(Expense_master[Days_in_Month],Expense_master[Month_Key],Daily_Data[[#This Row],[Month_key]])</f>
        <v>2258.0645161290322</v>
      </c>
      <c r="M296" s="10">
        <f>Daily_Data[[#This Row],[Rooms_Occupied]] * (SUMIFS(Expense_master[Housekeeping_Laundy],Expense_master[Month_Key],Daily_Data[[#This Row],[Month_key]]) / SUMIFS(Occupancy_table[Monthly_rooms_Occupied],Occupancy_table[Month_Key],Daily_Data[[#This Row],[Month_key]]))</f>
        <v>238.0952380952381</v>
      </c>
      <c r="N2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1409.7193548387095</v>
      </c>
      <c r="O296" s="10">
        <f>SUMIFS(Expense_master[Monthly_Maintenance],Expense_master[Month_Key],Daily_Data[[#This Row],[Month_key]]) / SUMIFS(Expense_master[Days_in_Month],Expense_master[Month_Key], Daily_Data[[#This Row],[Month_key]])</f>
        <v>645.16129032258061</v>
      </c>
      <c r="P296" s="10">
        <f xml:space="preserve"> Daily_Data[[#This Row],[OTA Commision]] + Daily_Data[[#This Row],[Daily_Rent]]+Daily_Data[[#This Row],[Daily_Staff]]+Daily_Data[[#This Row],[Daily_HK]]+Daily_Data[[#This Row],[Daily_Electricity]] + Daily_Data[[#This Row],[Daily Maintenance]]</f>
        <v>13387.953947772658</v>
      </c>
      <c r="Q296" s="10">
        <f>Daily_Data[[#This Row],[Total_Sales]]-Daily_Data[[#This Row],[Total_Daily_Expense]]</f>
        <v>-4011.9539477726576</v>
      </c>
      <c r="R296" s="10">
        <f>Daily_Data[[#This Row],[Total_Sales]]/Daily_Data[[#This Row],[Rooms_Occupied]]</f>
        <v>1172</v>
      </c>
      <c r="S296" s="10">
        <f>Daily_Data[[#This Row],[Total_Sales]] / Daily_Data[[#This Row],[Max_rooms]]</f>
        <v>669.71428571428567</v>
      </c>
    </row>
    <row r="297" spans="1:19" x14ac:dyDescent="0.25">
      <c r="A297" s="6">
        <v>45222</v>
      </c>
      <c r="B297" s="20">
        <f>DATE(YEAR(Daily_Data[[#This Row],[Date]]), MONTH(Daily_Data[[#This Row],[Date]]), 1)</f>
        <v>45200</v>
      </c>
      <c r="C297" s="20" t="str">
        <f>TEXT(Daily_Data[[#This Row],[Month_key]],"mmmm")</f>
        <v>October</v>
      </c>
      <c r="D297" s="20" t="str">
        <f>TEXT(Daily_Data[[#This Row],[Month_key]],"yyyy")</f>
        <v>2023</v>
      </c>
      <c r="E297" s="7">
        <v>13</v>
      </c>
      <c r="F297" s="7">
        <v>14</v>
      </c>
      <c r="G297" s="8">
        <f>Daily_Data[[#This Row],[Rooms_Occupied]]/F297</f>
        <v>0.9285714285714286</v>
      </c>
      <c r="H297" s="7">
        <v>1538</v>
      </c>
      <c r="I297" s="7">
        <f>Daily_Data[[#This Row],[Room_rate]]*Daily_Data[[#This Row],[Rooms_Occupied]]</f>
        <v>19994</v>
      </c>
      <c r="J297" s="10">
        <f>Daily_Data[[#This Row],[Total_Sales]] * 0.22</f>
        <v>4398.68</v>
      </c>
      <c r="K297" s="10">
        <f>INDEX(Expense_master[Monthly_Rent],MATCH(Daily_Data[[#This Row],[Month_key]],Expense_master[Month_Key],0)) / INDEX(Expense_master[Days_in_Month],MATCH(Daily_Data[[#This Row],[Month_key]],Expense_master[Month_Key],0))</f>
        <v>6774.1935483870966</v>
      </c>
      <c r="L297" s="10">
        <f>SUMIFS(Expense_master[Staff_Salary],Expense_master[Month_Key],Daily_Data[[#This Row],[Month_key]]) / SUMIFS(Expense_master[Days_in_Month],Expense_master[Month_Key],Daily_Data[[#This Row],[Month_key]])</f>
        <v>2258.0645161290322</v>
      </c>
      <c r="M297" s="10">
        <f>Daily_Data[[#This Row],[Rooms_Occupied]] * (SUMIFS(Expense_master[Housekeeping_Laundy],Expense_master[Month_Key],Daily_Data[[#This Row],[Month_key]]) / SUMIFS(Occupancy_table[Monthly_rooms_Occupied],Occupancy_table[Month_Key],Daily_Data[[#This Row],[Month_key]]))</f>
        <v>386.90476190476193</v>
      </c>
      <c r="N2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1872.6568548387095</v>
      </c>
      <c r="O297" s="10">
        <f>SUMIFS(Expense_master[Monthly_Maintenance],Expense_master[Month_Key],Daily_Data[[#This Row],[Month_key]]) / SUMIFS(Expense_master[Days_in_Month],Expense_master[Month_Key], Daily_Data[[#This Row],[Month_key]])</f>
        <v>645.16129032258061</v>
      </c>
      <c r="P297" s="10">
        <f xml:space="preserve"> Daily_Data[[#This Row],[OTA Commision]] + Daily_Data[[#This Row],[Daily_Rent]]+Daily_Data[[#This Row],[Daily_Staff]]+Daily_Data[[#This Row],[Daily_HK]]+Daily_Data[[#This Row],[Daily_Electricity]] + Daily_Data[[#This Row],[Daily Maintenance]]</f>
        <v>16335.660971582181</v>
      </c>
      <c r="Q297" s="10">
        <f>Daily_Data[[#This Row],[Total_Sales]]-Daily_Data[[#This Row],[Total_Daily_Expense]]</f>
        <v>3658.3390284178186</v>
      </c>
      <c r="R297" s="10">
        <f>Daily_Data[[#This Row],[Total_Sales]]/Daily_Data[[#This Row],[Rooms_Occupied]]</f>
        <v>1538</v>
      </c>
      <c r="S297" s="10">
        <f>Daily_Data[[#This Row],[Total_Sales]] / Daily_Data[[#This Row],[Max_rooms]]</f>
        <v>1428.1428571428571</v>
      </c>
    </row>
    <row r="298" spans="1:19" x14ac:dyDescent="0.25">
      <c r="A298" s="6">
        <v>45223</v>
      </c>
      <c r="B298" s="20">
        <f>DATE(YEAR(Daily_Data[[#This Row],[Date]]), MONTH(Daily_Data[[#This Row],[Date]]), 1)</f>
        <v>45200</v>
      </c>
      <c r="C298" s="20" t="str">
        <f>TEXT(Daily_Data[[#This Row],[Month_key]],"mmmm")</f>
        <v>October</v>
      </c>
      <c r="D298" s="20" t="str">
        <f>TEXT(Daily_Data[[#This Row],[Month_key]],"yyyy")</f>
        <v>2023</v>
      </c>
      <c r="E298" s="7">
        <v>11</v>
      </c>
      <c r="F298" s="7">
        <v>14</v>
      </c>
      <c r="G298" s="8">
        <f>Daily_Data[[#This Row],[Rooms_Occupied]]/F298</f>
        <v>0.7857142857142857</v>
      </c>
      <c r="H298" s="7">
        <v>1165</v>
      </c>
      <c r="I298" s="7">
        <f>Daily_Data[[#This Row],[Room_rate]]*Daily_Data[[#This Row],[Rooms_Occupied]]</f>
        <v>12815</v>
      </c>
      <c r="J298" s="10">
        <f>Daily_Data[[#This Row],[Total_Sales]] * 0.22</f>
        <v>2819.3</v>
      </c>
      <c r="K298" s="10">
        <f>INDEX(Expense_master[Monthly_Rent],MATCH(Daily_Data[[#This Row],[Month_key]],Expense_master[Month_Key],0)) / INDEX(Expense_master[Days_in_Month],MATCH(Daily_Data[[#This Row],[Month_key]],Expense_master[Month_Key],0))</f>
        <v>6774.1935483870966</v>
      </c>
      <c r="L298" s="10">
        <f>SUMIFS(Expense_master[Staff_Salary],Expense_master[Month_Key],Daily_Data[[#This Row],[Month_key]]) / SUMIFS(Expense_master[Days_in_Month],Expense_master[Month_Key],Daily_Data[[#This Row],[Month_key]])</f>
        <v>2258.0645161290322</v>
      </c>
      <c r="M298" s="10">
        <f>Daily_Data[[#This Row],[Rooms_Occupied]] * (SUMIFS(Expense_master[Housekeeping_Laundy],Expense_master[Month_Key],Daily_Data[[#This Row],[Month_key]]) / SUMIFS(Occupancy_table[Monthly_rooms_Occupied],Occupancy_table[Month_Key],Daily_Data[[#This Row],[Month_key]]))</f>
        <v>327.38095238095241</v>
      </c>
      <c r="N2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1687.4818548387095</v>
      </c>
      <c r="O298" s="10">
        <f>SUMIFS(Expense_master[Monthly_Maintenance],Expense_master[Month_Key],Daily_Data[[#This Row],[Month_key]]) / SUMIFS(Expense_master[Days_in_Month],Expense_master[Month_Key], Daily_Data[[#This Row],[Month_key]])</f>
        <v>645.16129032258061</v>
      </c>
      <c r="P298" s="10">
        <f xml:space="preserve"> Daily_Data[[#This Row],[OTA Commision]] + Daily_Data[[#This Row],[Daily_Rent]]+Daily_Data[[#This Row],[Daily_Staff]]+Daily_Data[[#This Row],[Daily_HK]]+Daily_Data[[#This Row],[Daily_Electricity]] + Daily_Data[[#This Row],[Daily Maintenance]]</f>
        <v>14511.582162058374</v>
      </c>
      <c r="Q298" s="10">
        <f>Daily_Data[[#This Row],[Total_Sales]]-Daily_Data[[#This Row],[Total_Daily_Expense]]</f>
        <v>-1696.5821620583738</v>
      </c>
      <c r="R298" s="10">
        <f>Daily_Data[[#This Row],[Total_Sales]]/Daily_Data[[#This Row],[Rooms_Occupied]]</f>
        <v>1165</v>
      </c>
      <c r="S298" s="10">
        <f>Daily_Data[[#This Row],[Total_Sales]] / Daily_Data[[#This Row],[Max_rooms]]</f>
        <v>915.35714285714289</v>
      </c>
    </row>
    <row r="299" spans="1:19" x14ac:dyDescent="0.25">
      <c r="A299" s="6">
        <v>45224</v>
      </c>
      <c r="B299" s="20">
        <f>DATE(YEAR(Daily_Data[[#This Row],[Date]]), MONTH(Daily_Data[[#This Row],[Date]]), 1)</f>
        <v>45200</v>
      </c>
      <c r="C299" s="20" t="str">
        <f>TEXT(Daily_Data[[#This Row],[Month_key]],"mmmm")</f>
        <v>October</v>
      </c>
      <c r="D299" s="20" t="str">
        <f>TEXT(Daily_Data[[#This Row],[Month_key]],"yyyy")</f>
        <v>2023</v>
      </c>
      <c r="E299" s="7">
        <v>13</v>
      </c>
      <c r="F299" s="7">
        <v>14</v>
      </c>
      <c r="G299" s="8">
        <f>Daily_Data[[#This Row],[Rooms_Occupied]]/F299</f>
        <v>0.9285714285714286</v>
      </c>
      <c r="H299" s="7">
        <v>1719</v>
      </c>
      <c r="I299" s="7">
        <f>Daily_Data[[#This Row],[Room_rate]]*Daily_Data[[#This Row],[Rooms_Occupied]]</f>
        <v>22347</v>
      </c>
      <c r="J299" s="10">
        <f>Daily_Data[[#This Row],[Total_Sales]] * 0.22</f>
        <v>4916.34</v>
      </c>
      <c r="K299" s="10">
        <f>INDEX(Expense_master[Monthly_Rent],MATCH(Daily_Data[[#This Row],[Month_key]],Expense_master[Month_Key],0)) / INDEX(Expense_master[Days_in_Month],MATCH(Daily_Data[[#This Row],[Month_key]],Expense_master[Month_Key],0))</f>
        <v>6774.1935483870966</v>
      </c>
      <c r="L299" s="10">
        <f>SUMIFS(Expense_master[Staff_Salary],Expense_master[Month_Key],Daily_Data[[#This Row],[Month_key]]) / SUMIFS(Expense_master[Days_in_Month],Expense_master[Month_Key],Daily_Data[[#This Row],[Month_key]])</f>
        <v>2258.0645161290322</v>
      </c>
      <c r="M299" s="10">
        <f>Daily_Data[[#This Row],[Rooms_Occupied]] * (SUMIFS(Expense_master[Housekeeping_Laundy],Expense_master[Month_Key],Daily_Data[[#This Row],[Month_key]]) / SUMIFS(Occupancy_table[Monthly_rooms_Occupied],Occupancy_table[Month_Key],Daily_Data[[#This Row],[Month_key]]))</f>
        <v>386.90476190476193</v>
      </c>
      <c r="N2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1872.6568548387095</v>
      </c>
      <c r="O299" s="10">
        <f>SUMIFS(Expense_master[Monthly_Maintenance],Expense_master[Month_Key],Daily_Data[[#This Row],[Month_key]]) / SUMIFS(Expense_master[Days_in_Month],Expense_master[Month_Key], Daily_Data[[#This Row],[Month_key]])</f>
        <v>645.16129032258061</v>
      </c>
      <c r="P299" s="10">
        <f xml:space="preserve"> Daily_Data[[#This Row],[OTA Commision]] + Daily_Data[[#This Row],[Daily_Rent]]+Daily_Data[[#This Row],[Daily_Staff]]+Daily_Data[[#This Row],[Daily_HK]]+Daily_Data[[#This Row],[Daily_Electricity]] + Daily_Data[[#This Row],[Daily Maintenance]]</f>
        <v>16853.320971582179</v>
      </c>
      <c r="Q299" s="10">
        <f>Daily_Data[[#This Row],[Total_Sales]]-Daily_Data[[#This Row],[Total_Daily_Expense]]</f>
        <v>5493.6790284178205</v>
      </c>
      <c r="R299" s="10">
        <f>Daily_Data[[#This Row],[Total_Sales]]/Daily_Data[[#This Row],[Rooms_Occupied]]</f>
        <v>1719</v>
      </c>
      <c r="S299" s="10">
        <f>Daily_Data[[#This Row],[Total_Sales]] / Daily_Data[[#This Row],[Max_rooms]]</f>
        <v>1596.2142857142858</v>
      </c>
    </row>
    <row r="300" spans="1:19" x14ac:dyDescent="0.25">
      <c r="A300" s="6">
        <v>45225</v>
      </c>
      <c r="B300" s="20">
        <f>DATE(YEAR(Daily_Data[[#This Row],[Date]]), MONTH(Daily_Data[[#This Row],[Date]]), 1)</f>
        <v>45200</v>
      </c>
      <c r="C300" s="20" t="str">
        <f>TEXT(Daily_Data[[#This Row],[Month_key]],"mmmm")</f>
        <v>October</v>
      </c>
      <c r="D300" s="20" t="str">
        <f>TEXT(Daily_Data[[#This Row],[Month_key]],"yyyy")</f>
        <v>2023</v>
      </c>
      <c r="E300" s="7">
        <v>10</v>
      </c>
      <c r="F300" s="7">
        <v>14</v>
      </c>
      <c r="G300" s="8">
        <f>Daily_Data[[#This Row],[Rooms_Occupied]]/F300</f>
        <v>0.7142857142857143</v>
      </c>
      <c r="H300" s="7">
        <v>1701</v>
      </c>
      <c r="I300" s="7">
        <f>Daily_Data[[#This Row],[Room_rate]]*Daily_Data[[#This Row],[Rooms_Occupied]]</f>
        <v>17010</v>
      </c>
      <c r="J300" s="10">
        <f>Daily_Data[[#This Row],[Total_Sales]] * 0.22</f>
        <v>3742.2</v>
      </c>
      <c r="K300" s="10">
        <f>INDEX(Expense_master[Monthly_Rent],MATCH(Daily_Data[[#This Row],[Month_key]],Expense_master[Month_Key],0)) / INDEX(Expense_master[Days_in_Month],MATCH(Daily_Data[[#This Row],[Month_key]],Expense_master[Month_Key],0))</f>
        <v>6774.1935483870966</v>
      </c>
      <c r="L300" s="10">
        <f>SUMIFS(Expense_master[Staff_Salary],Expense_master[Month_Key],Daily_Data[[#This Row],[Month_key]]) / SUMIFS(Expense_master[Days_in_Month],Expense_master[Month_Key],Daily_Data[[#This Row],[Month_key]])</f>
        <v>2258.0645161290322</v>
      </c>
      <c r="M300" s="10">
        <f>Daily_Data[[#This Row],[Rooms_Occupied]] * (SUMIFS(Expense_master[Housekeeping_Laundy],Expense_master[Month_Key],Daily_Data[[#This Row],[Month_key]]) / SUMIFS(Occupancy_table[Monthly_rooms_Occupied],Occupancy_table[Month_Key],Daily_Data[[#This Row],[Month_key]]))</f>
        <v>297.61904761904765</v>
      </c>
      <c r="N3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1594.8943548387097</v>
      </c>
      <c r="O300" s="10">
        <f>SUMIFS(Expense_master[Monthly_Maintenance],Expense_master[Month_Key],Daily_Data[[#This Row],[Month_key]]) / SUMIFS(Expense_master[Days_in_Month],Expense_master[Month_Key], Daily_Data[[#This Row],[Month_key]])</f>
        <v>645.16129032258061</v>
      </c>
      <c r="P300" s="10">
        <f xml:space="preserve"> Daily_Data[[#This Row],[OTA Commision]] + Daily_Data[[#This Row],[Daily_Rent]]+Daily_Data[[#This Row],[Daily_Staff]]+Daily_Data[[#This Row],[Daily_HK]]+Daily_Data[[#This Row],[Daily_Electricity]] + Daily_Data[[#This Row],[Daily Maintenance]]</f>
        <v>15312.132757296467</v>
      </c>
      <c r="Q300" s="10">
        <f>Daily_Data[[#This Row],[Total_Sales]]-Daily_Data[[#This Row],[Total_Daily_Expense]]</f>
        <v>1697.8672427035326</v>
      </c>
      <c r="R300" s="10">
        <f>Daily_Data[[#This Row],[Total_Sales]]/Daily_Data[[#This Row],[Rooms_Occupied]]</f>
        <v>1701</v>
      </c>
      <c r="S300" s="10">
        <f>Daily_Data[[#This Row],[Total_Sales]] / Daily_Data[[#This Row],[Max_rooms]]</f>
        <v>1215</v>
      </c>
    </row>
    <row r="301" spans="1:19" x14ac:dyDescent="0.25">
      <c r="A301" s="6">
        <v>45226</v>
      </c>
      <c r="B301" s="20">
        <f>DATE(YEAR(Daily_Data[[#This Row],[Date]]), MONTH(Daily_Data[[#This Row],[Date]]), 1)</f>
        <v>45200</v>
      </c>
      <c r="C301" s="20" t="str">
        <f>TEXT(Daily_Data[[#This Row],[Month_key]],"mmmm")</f>
        <v>October</v>
      </c>
      <c r="D301" s="20" t="str">
        <f>TEXT(Daily_Data[[#This Row],[Month_key]],"yyyy")</f>
        <v>2023</v>
      </c>
      <c r="E301" s="7">
        <v>11</v>
      </c>
      <c r="F301" s="7">
        <v>14</v>
      </c>
      <c r="G301" s="8">
        <f>Daily_Data[[#This Row],[Rooms_Occupied]]/F301</f>
        <v>0.7857142857142857</v>
      </c>
      <c r="H301" s="7">
        <v>1943</v>
      </c>
      <c r="I301" s="7">
        <f>Daily_Data[[#This Row],[Room_rate]]*Daily_Data[[#This Row],[Rooms_Occupied]]</f>
        <v>21373</v>
      </c>
      <c r="J301" s="10">
        <f>Daily_Data[[#This Row],[Total_Sales]] * 0.22</f>
        <v>4702.0600000000004</v>
      </c>
      <c r="K301" s="10">
        <f>INDEX(Expense_master[Monthly_Rent],MATCH(Daily_Data[[#This Row],[Month_key]],Expense_master[Month_Key],0)) / INDEX(Expense_master[Days_in_Month],MATCH(Daily_Data[[#This Row],[Month_key]],Expense_master[Month_Key],0))</f>
        <v>6774.1935483870966</v>
      </c>
      <c r="L301" s="10">
        <f>SUMIFS(Expense_master[Staff_Salary],Expense_master[Month_Key],Daily_Data[[#This Row],[Month_key]]) / SUMIFS(Expense_master[Days_in_Month],Expense_master[Month_Key],Daily_Data[[#This Row],[Month_key]])</f>
        <v>2258.0645161290322</v>
      </c>
      <c r="M301" s="10">
        <f>Daily_Data[[#This Row],[Rooms_Occupied]] * (SUMIFS(Expense_master[Housekeeping_Laundy],Expense_master[Month_Key],Daily_Data[[#This Row],[Month_key]]) / SUMIFS(Occupancy_table[Monthly_rooms_Occupied],Occupancy_table[Month_Key],Daily_Data[[#This Row],[Month_key]]))</f>
        <v>327.38095238095241</v>
      </c>
      <c r="N3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1687.4818548387095</v>
      </c>
      <c r="O301" s="10">
        <f>SUMIFS(Expense_master[Monthly_Maintenance],Expense_master[Month_Key],Daily_Data[[#This Row],[Month_key]]) / SUMIFS(Expense_master[Days_in_Month],Expense_master[Month_Key], Daily_Data[[#This Row],[Month_key]])</f>
        <v>645.16129032258061</v>
      </c>
      <c r="P301" s="10">
        <f xml:space="preserve"> Daily_Data[[#This Row],[OTA Commision]] + Daily_Data[[#This Row],[Daily_Rent]]+Daily_Data[[#This Row],[Daily_Staff]]+Daily_Data[[#This Row],[Daily_HK]]+Daily_Data[[#This Row],[Daily_Electricity]] + Daily_Data[[#This Row],[Daily Maintenance]]</f>
        <v>16394.342162058372</v>
      </c>
      <c r="Q301" s="10">
        <f>Daily_Data[[#This Row],[Total_Sales]]-Daily_Data[[#This Row],[Total_Daily_Expense]]</f>
        <v>4978.6578379416278</v>
      </c>
      <c r="R301" s="10">
        <f>Daily_Data[[#This Row],[Total_Sales]]/Daily_Data[[#This Row],[Rooms_Occupied]]</f>
        <v>1943</v>
      </c>
      <c r="S301" s="10">
        <f>Daily_Data[[#This Row],[Total_Sales]] / Daily_Data[[#This Row],[Max_rooms]]</f>
        <v>1526.6428571428571</v>
      </c>
    </row>
    <row r="302" spans="1:19" x14ac:dyDescent="0.25">
      <c r="A302" s="6">
        <v>45227</v>
      </c>
      <c r="B302" s="20">
        <f>DATE(YEAR(Daily_Data[[#This Row],[Date]]), MONTH(Daily_Data[[#This Row],[Date]]), 1)</f>
        <v>45200</v>
      </c>
      <c r="C302" s="20" t="str">
        <f>TEXT(Daily_Data[[#This Row],[Month_key]],"mmmm")</f>
        <v>October</v>
      </c>
      <c r="D302" s="20" t="str">
        <f>TEXT(Daily_Data[[#This Row],[Month_key]],"yyyy")</f>
        <v>2023</v>
      </c>
      <c r="E302" s="7">
        <v>8</v>
      </c>
      <c r="F302" s="7">
        <v>14</v>
      </c>
      <c r="G302" s="8">
        <f>Daily_Data[[#This Row],[Rooms_Occupied]]/F302</f>
        <v>0.5714285714285714</v>
      </c>
      <c r="H302" s="7">
        <v>1157</v>
      </c>
      <c r="I302" s="7">
        <f>Daily_Data[[#This Row],[Room_rate]]*Daily_Data[[#This Row],[Rooms_Occupied]]</f>
        <v>9256</v>
      </c>
      <c r="J302" s="10">
        <f>Daily_Data[[#This Row],[Total_Sales]] * 0.22</f>
        <v>2036.32</v>
      </c>
      <c r="K302" s="10">
        <f>INDEX(Expense_master[Monthly_Rent],MATCH(Daily_Data[[#This Row],[Month_key]],Expense_master[Month_Key],0)) / INDEX(Expense_master[Days_in_Month],MATCH(Daily_Data[[#This Row],[Month_key]],Expense_master[Month_Key],0))</f>
        <v>6774.1935483870966</v>
      </c>
      <c r="L302" s="10">
        <f>SUMIFS(Expense_master[Staff_Salary],Expense_master[Month_Key],Daily_Data[[#This Row],[Month_key]]) / SUMIFS(Expense_master[Days_in_Month],Expense_master[Month_Key],Daily_Data[[#This Row],[Month_key]])</f>
        <v>2258.0645161290322</v>
      </c>
      <c r="M302" s="10">
        <f>Daily_Data[[#This Row],[Rooms_Occupied]] * (SUMIFS(Expense_master[Housekeeping_Laundy],Expense_master[Month_Key],Daily_Data[[#This Row],[Month_key]]) / SUMIFS(Occupancy_table[Monthly_rooms_Occupied],Occupancy_table[Month_Key],Daily_Data[[#This Row],[Month_key]]))</f>
        <v>238.0952380952381</v>
      </c>
      <c r="N3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1409.7193548387095</v>
      </c>
      <c r="O302" s="10">
        <f>SUMIFS(Expense_master[Monthly_Maintenance],Expense_master[Month_Key],Daily_Data[[#This Row],[Month_key]]) / SUMIFS(Expense_master[Days_in_Month],Expense_master[Month_Key], Daily_Data[[#This Row],[Month_key]])</f>
        <v>645.16129032258061</v>
      </c>
      <c r="P302" s="10">
        <f xml:space="preserve"> Daily_Data[[#This Row],[OTA Commision]] + Daily_Data[[#This Row],[Daily_Rent]]+Daily_Data[[#This Row],[Daily_Staff]]+Daily_Data[[#This Row],[Daily_HK]]+Daily_Data[[#This Row],[Daily_Electricity]] + Daily_Data[[#This Row],[Daily Maintenance]]</f>
        <v>13361.553947772658</v>
      </c>
      <c r="Q302" s="10">
        <f>Daily_Data[[#This Row],[Total_Sales]]-Daily_Data[[#This Row],[Total_Daily_Expense]]</f>
        <v>-4105.5539477726579</v>
      </c>
      <c r="R302" s="10">
        <f>Daily_Data[[#This Row],[Total_Sales]]/Daily_Data[[#This Row],[Rooms_Occupied]]</f>
        <v>1157</v>
      </c>
      <c r="S302" s="10">
        <f>Daily_Data[[#This Row],[Total_Sales]] / Daily_Data[[#This Row],[Max_rooms]]</f>
        <v>661.14285714285711</v>
      </c>
    </row>
    <row r="303" spans="1:19" x14ac:dyDescent="0.25">
      <c r="A303" s="6">
        <v>45228</v>
      </c>
      <c r="B303" s="20">
        <f>DATE(YEAR(Daily_Data[[#This Row],[Date]]), MONTH(Daily_Data[[#This Row],[Date]]), 1)</f>
        <v>45200</v>
      </c>
      <c r="C303" s="20" t="str">
        <f>TEXT(Daily_Data[[#This Row],[Month_key]],"mmmm")</f>
        <v>October</v>
      </c>
      <c r="D303" s="20" t="str">
        <f>TEXT(Daily_Data[[#This Row],[Month_key]],"yyyy")</f>
        <v>2023</v>
      </c>
      <c r="E303" s="7">
        <v>12</v>
      </c>
      <c r="F303" s="7">
        <v>14</v>
      </c>
      <c r="G303" s="8">
        <f>Daily_Data[[#This Row],[Rooms_Occupied]]/F303</f>
        <v>0.8571428571428571</v>
      </c>
      <c r="H303" s="7">
        <v>1334</v>
      </c>
      <c r="I303" s="7">
        <f>Daily_Data[[#This Row],[Room_rate]]*Daily_Data[[#This Row],[Rooms_Occupied]]</f>
        <v>16008</v>
      </c>
      <c r="J303" s="10">
        <f>Daily_Data[[#This Row],[Total_Sales]] * 0.22</f>
        <v>3521.76</v>
      </c>
      <c r="K303" s="10">
        <f>INDEX(Expense_master[Monthly_Rent],MATCH(Daily_Data[[#This Row],[Month_key]],Expense_master[Month_Key],0)) / INDEX(Expense_master[Days_in_Month],MATCH(Daily_Data[[#This Row],[Month_key]],Expense_master[Month_Key],0))</f>
        <v>6774.1935483870966</v>
      </c>
      <c r="L303" s="10">
        <f>SUMIFS(Expense_master[Staff_Salary],Expense_master[Month_Key],Daily_Data[[#This Row],[Month_key]]) / SUMIFS(Expense_master[Days_in_Month],Expense_master[Month_Key],Daily_Data[[#This Row],[Month_key]])</f>
        <v>2258.0645161290322</v>
      </c>
      <c r="M303" s="10">
        <f>Daily_Data[[#This Row],[Rooms_Occupied]] * (SUMIFS(Expense_master[Housekeeping_Laundy],Expense_master[Month_Key],Daily_Data[[#This Row],[Month_key]]) / SUMIFS(Occupancy_table[Monthly_rooms_Occupied],Occupancy_table[Month_Key],Daily_Data[[#This Row],[Month_key]]))</f>
        <v>357.14285714285717</v>
      </c>
      <c r="N3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1780.0693548387096</v>
      </c>
      <c r="O303" s="10">
        <f>SUMIFS(Expense_master[Monthly_Maintenance],Expense_master[Month_Key],Daily_Data[[#This Row],[Month_key]]) / SUMIFS(Expense_master[Days_in_Month],Expense_master[Month_Key], Daily_Data[[#This Row],[Month_key]])</f>
        <v>645.16129032258061</v>
      </c>
      <c r="P303" s="10">
        <f xml:space="preserve"> Daily_Data[[#This Row],[OTA Commision]] + Daily_Data[[#This Row],[Daily_Rent]]+Daily_Data[[#This Row],[Daily_Staff]]+Daily_Data[[#This Row],[Daily_HK]]+Daily_Data[[#This Row],[Daily_Electricity]] + Daily_Data[[#This Row],[Daily Maintenance]]</f>
        <v>15336.391566820277</v>
      </c>
      <c r="Q303" s="10">
        <f>Daily_Data[[#This Row],[Total_Sales]]-Daily_Data[[#This Row],[Total_Daily_Expense]]</f>
        <v>671.60843317972285</v>
      </c>
      <c r="R303" s="10">
        <f>Daily_Data[[#This Row],[Total_Sales]]/Daily_Data[[#This Row],[Rooms_Occupied]]</f>
        <v>1334</v>
      </c>
      <c r="S303" s="10">
        <f>Daily_Data[[#This Row],[Total_Sales]] / Daily_Data[[#This Row],[Max_rooms]]</f>
        <v>1143.4285714285713</v>
      </c>
    </row>
    <row r="304" spans="1:19" x14ac:dyDescent="0.25">
      <c r="A304" s="6">
        <v>45229</v>
      </c>
      <c r="B304" s="20">
        <f>DATE(YEAR(Daily_Data[[#This Row],[Date]]), MONTH(Daily_Data[[#This Row],[Date]]), 1)</f>
        <v>45200</v>
      </c>
      <c r="C304" s="20" t="str">
        <f>TEXT(Daily_Data[[#This Row],[Month_key]],"mmmm")</f>
        <v>October</v>
      </c>
      <c r="D304" s="20" t="str">
        <f>TEXT(Daily_Data[[#This Row],[Month_key]],"yyyy")</f>
        <v>2023</v>
      </c>
      <c r="E304" s="7">
        <v>9</v>
      </c>
      <c r="F304" s="7">
        <v>14</v>
      </c>
      <c r="G304" s="8">
        <f>Daily_Data[[#This Row],[Rooms_Occupied]]/F304</f>
        <v>0.6428571428571429</v>
      </c>
      <c r="H304" s="7">
        <v>1758</v>
      </c>
      <c r="I304" s="7">
        <f>Daily_Data[[#This Row],[Room_rate]]*Daily_Data[[#This Row],[Rooms_Occupied]]</f>
        <v>15822</v>
      </c>
      <c r="J304" s="10">
        <f>Daily_Data[[#This Row],[Total_Sales]] * 0.22</f>
        <v>3480.84</v>
      </c>
      <c r="K304" s="10">
        <f>INDEX(Expense_master[Monthly_Rent],MATCH(Daily_Data[[#This Row],[Month_key]],Expense_master[Month_Key],0)) / INDEX(Expense_master[Days_in_Month],MATCH(Daily_Data[[#This Row],[Month_key]],Expense_master[Month_Key],0))</f>
        <v>6774.1935483870966</v>
      </c>
      <c r="L304" s="10">
        <f>SUMIFS(Expense_master[Staff_Salary],Expense_master[Month_Key],Daily_Data[[#This Row],[Month_key]]) / SUMIFS(Expense_master[Days_in_Month],Expense_master[Month_Key],Daily_Data[[#This Row],[Month_key]])</f>
        <v>2258.0645161290322</v>
      </c>
      <c r="M304" s="10">
        <f>Daily_Data[[#This Row],[Rooms_Occupied]] * (SUMIFS(Expense_master[Housekeeping_Laundy],Expense_master[Month_Key],Daily_Data[[#This Row],[Month_key]]) / SUMIFS(Occupancy_table[Monthly_rooms_Occupied],Occupancy_table[Month_Key],Daily_Data[[#This Row],[Month_key]]))</f>
        <v>267.85714285714289</v>
      </c>
      <c r="N3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1502.3068548387096</v>
      </c>
      <c r="O304" s="10">
        <f>SUMIFS(Expense_master[Monthly_Maintenance],Expense_master[Month_Key],Daily_Data[[#This Row],[Month_key]]) / SUMIFS(Expense_master[Days_in_Month],Expense_master[Month_Key], Daily_Data[[#This Row],[Month_key]])</f>
        <v>645.16129032258061</v>
      </c>
      <c r="P304" s="10">
        <f xml:space="preserve"> Daily_Data[[#This Row],[OTA Commision]] + Daily_Data[[#This Row],[Daily_Rent]]+Daily_Data[[#This Row],[Daily_Staff]]+Daily_Data[[#This Row],[Daily_HK]]+Daily_Data[[#This Row],[Daily_Electricity]] + Daily_Data[[#This Row],[Daily Maintenance]]</f>
        <v>14928.423352534563</v>
      </c>
      <c r="Q304" s="10">
        <f>Daily_Data[[#This Row],[Total_Sales]]-Daily_Data[[#This Row],[Total_Daily_Expense]]</f>
        <v>893.57664746543742</v>
      </c>
      <c r="R304" s="10">
        <f>Daily_Data[[#This Row],[Total_Sales]]/Daily_Data[[#This Row],[Rooms_Occupied]]</f>
        <v>1758</v>
      </c>
      <c r="S304" s="10">
        <f>Daily_Data[[#This Row],[Total_Sales]] / Daily_Data[[#This Row],[Max_rooms]]</f>
        <v>1130.1428571428571</v>
      </c>
    </row>
    <row r="305" spans="1:19" x14ac:dyDescent="0.25">
      <c r="A305" s="6">
        <v>45230</v>
      </c>
      <c r="B305" s="20">
        <f>DATE(YEAR(Daily_Data[[#This Row],[Date]]), MONTH(Daily_Data[[#This Row],[Date]]), 1)</f>
        <v>45200</v>
      </c>
      <c r="C305" s="20" t="str">
        <f>TEXT(Daily_Data[[#This Row],[Month_key]],"mmmm")</f>
        <v>October</v>
      </c>
      <c r="D305" s="20" t="str">
        <f>TEXT(Daily_Data[[#This Row],[Month_key]],"yyyy")</f>
        <v>2023</v>
      </c>
      <c r="E305" s="7">
        <v>14</v>
      </c>
      <c r="F305" s="7">
        <v>14</v>
      </c>
      <c r="G305" s="8">
        <f>Daily_Data[[#This Row],[Rooms_Occupied]]/F305</f>
        <v>1</v>
      </c>
      <c r="H305" s="7">
        <v>1220</v>
      </c>
      <c r="I305" s="7">
        <f>Daily_Data[[#This Row],[Room_rate]]*Daily_Data[[#This Row],[Rooms_Occupied]]</f>
        <v>17080</v>
      </c>
      <c r="J305" s="10">
        <f>Daily_Data[[#This Row],[Total_Sales]] * 0.22</f>
        <v>3757.6</v>
      </c>
      <c r="K305" s="10">
        <f>INDEX(Expense_master[Monthly_Rent],MATCH(Daily_Data[[#This Row],[Month_key]],Expense_master[Month_Key],0)) / INDEX(Expense_master[Days_in_Month],MATCH(Daily_Data[[#This Row],[Month_key]],Expense_master[Month_Key],0))</f>
        <v>6774.1935483870966</v>
      </c>
      <c r="L305" s="10">
        <f>SUMIFS(Expense_master[Staff_Salary],Expense_master[Month_Key],Daily_Data[[#This Row],[Month_key]]) / SUMIFS(Expense_master[Days_in_Month],Expense_master[Month_Key],Daily_Data[[#This Row],[Month_key]])</f>
        <v>2258.0645161290322</v>
      </c>
      <c r="M305" s="10">
        <f>Daily_Data[[#This Row],[Rooms_Occupied]] * (SUMIFS(Expense_master[Housekeeping_Laundy],Expense_master[Month_Key],Daily_Data[[#This Row],[Month_key]]) / SUMIFS(Occupancy_table[Monthly_rooms_Occupied],Occupancy_table[Month_Key],Daily_Data[[#This Row],[Month_key]]))</f>
        <v>416.66666666666669</v>
      </c>
      <c r="N3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1965.2443548387096</v>
      </c>
      <c r="O305" s="10">
        <f>SUMIFS(Expense_master[Monthly_Maintenance],Expense_master[Month_Key],Daily_Data[[#This Row],[Month_key]]) / SUMIFS(Expense_master[Days_in_Month],Expense_master[Month_Key], Daily_Data[[#This Row],[Month_key]])</f>
        <v>645.16129032258061</v>
      </c>
      <c r="P305" s="10">
        <f xml:space="preserve"> Daily_Data[[#This Row],[OTA Commision]] + Daily_Data[[#This Row],[Daily_Rent]]+Daily_Data[[#This Row],[Daily_Staff]]+Daily_Data[[#This Row],[Daily_HK]]+Daily_Data[[#This Row],[Daily_Electricity]] + Daily_Data[[#This Row],[Daily Maintenance]]</f>
        <v>15816.930376344086</v>
      </c>
      <c r="Q305" s="10">
        <f>Daily_Data[[#This Row],[Total_Sales]]-Daily_Data[[#This Row],[Total_Daily_Expense]]</f>
        <v>1263.0696236559143</v>
      </c>
      <c r="R305" s="10">
        <f>Daily_Data[[#This Row],[Total_Sales]]/Daily_Data[[#This Row],[Rooms_Occupied]]</f>
        <v>1220</v>
      </c>
      <c r="S305" s="10">
        <f>Daily_Data[[#This Row],[Total_Sales]] / Daily_Data[[#This Row],[Max_rooms]]</f>
        <v>1220</v>
      </c>
    </row>
    <row r="306" spans="1:19" x14ac:dyDescent="0.25">
      <c r="A306" s="6">
        <v>45231</v>
      </c>
      <c r="B306" s="20">
        <f>DATE(YEAR(Daily_Data[[#This Row],[Date]]), MONTH(Daily_Data[[#This Row],[Date]]), 1)</f>
        <v>45231</v>
      </c>
      <c r="C306" s="20" t="str">
        <f>TEXT(Daily_Data[[#This Row],[Month_key]],"mmmm")</f>
        <v>November</v>
      </c>
      <c r="D306" s="20" t="str">
        <f>TEXT(Daily_Data[[#This Row],[Month_key]],"yyyy")</f>
        <v>2023</v>
      </c>
      <c r="E306" s="7">
        <v>14</v>
      </c>
      <c r="F306" s="7">
        <v>14</v>
      </c>
      <c r="G306" s="8">
        <f>Daily_Data[[#This Row],[Rooms_Occupied]]/F306</f>
        <v>1</v>
      </c>
      <c r="H306" s="7">
        <v>1870</v>
      </c>
      <c r="I306" s="7">
        <f>Daily_Data[[#This Row],[Room_rate]]*Daily_Data[[#This Row],[Rooms_Occupied]]</f>
        <v>26180</v>
      </c>
      <c r="J306" s="10">
        <f>Daily_Data[[#This Row],[Total_Sales]] * 0.22</f>
        <v>5759.6</v>
      </c>
      <c r="K306" s="10">
        <f>INDEX(Expense_master[Monthly_Rent],MATCH(Daily_Data[[#This Row],[Month_key]],Expense_master[Month_Key],0)) / INDEX(Expense_master[Days_in_Month],MATCH(Daily_Data[[#This Row],[Month_key]],Expense_master[Month_Key],0))</f>
        <v>7000</v>
      </c>
      <c r="L306" s="10">
        <f>SUMIFS(Expense_master[Staff_Salary],Expense_master[Month_Key],Daily_Data[[#This Row],[Month_key]]) / SUMIFS(Expense_master[Days_in_Month],Expense_master[Month_Key],Daily_Data[[#This Row],[Month_key]])</f>
        <v>2333.3333333333335</v>
      </c>
      <c r="M306" s="10">
        <f>Daily_Data[[#This Row],[Rooms_Occupied]] * (SUMIFS(Expense_master[Housekeeping_Laundy],Expense_master[Month_Key],Daily_Data[[#This Row],[Month_key]]) / SUMIFS(Occupancy_table[Monthly_rooms_Occupied],Occupancy_table[Month_Key],Daily_Data[[#This Row],[Month_key]]))</f>
        <v>411.76470588235293</v>
      </c>
      <c r="N3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1990.1737254901959</v>
      </c>
      <c r="O306" s="10">
        <f>SUMIFS(Expense_master[Monthly_Maintenance],Expense_master[Month_Key],Daily_Data[[#This Row],[Month_key]]) / SUMIFS(Expense_master[Days_in_Month],Expense_master[Month_Key], Daily_Data[[#This Row],[Month_key]])</f>
        <v>666.66666666666663</v>
      </c>
      <c r="P306" s="10">
        <f xml:space="preserve"> Daily_Data[[#This Row],[OTA Commision]] + Daily_Data[[#This Row],[Daily_Rent]]+Daily_Data[[#This Row],[Daily_Staff]]+Daily_Data[[#This Row],[Daily_HK]]+Daily_Data[[#This Row],[Daily_Electricity]] + Daily_Data[[#This Row],[Daily Maintenance]]</f>
        <v>18161.538431372552</v>
      </c>
      <c r="Q306" s="10">
        <f>Daily_Data[[#This Row],[Total_Sales]]-Daily_Data[[#This Row],[Total_Daily_Expense]]</f>
        <v>8018.4615686274483</v>
      </c>
      <c r="R306" s="10">
        <f>Daily_Data[[#This Row],[Total_Sales]]/Daily_Data[[#This Row],[Rooms_Occupied]]</f>
        <v>1870</v>
      </c>
      <c r="S306" s="10">
        <f>Daily_Data[[#This Row],[Total_Sales]] / Daily_Data[[#This Row],[Max_rooms]]</f>
        <v>1870</v>
      </c>
    </row>
    <row r="307" spans="1:19" x14ac:dyDescent="0.25">
      <c r="A307" s="6">
        <v>45232</v>
      </c>
      <c r="B307" s="20">
        <f>DATE(YEAR(Daily_Data[[#This Row],[Date]]), MONTH(Daily_Data[[#This Row],[Date]]), 1)</f>
        <v>45231</v>
      </c>
      <c r="C307" s="20" t="str">
        <f>TEXT(Daily_Data[[#This Row],[Month_key]],"mmmm")</f>
        <v>November</v>
      </c>
      <c r="D307" s="20" t="str">
        <f>TEXT(Daily_Data[[#This Row],[Month_key]],"yyyy")</f>
        <v>2023</v>
      </c>
      <c r="E307" s="7">
        <v>8</v>
      </c>
      <c r="F307" s="7">
        <v>14</v>
      </c>
      <c r="G307" s="8">
        <f>Daily_Data[[#This Row],[Rooms_Occupied]]/F307</f>
        <v>0.5714285714285714</v>
      </c>
      <c r="H307" s="7">
        <v>1012</v>
      </c>
      <c r="I307" s="7">
        <f>Daily_Data[[#This Row],[Room_rate]]*Daily_Data[[#This Row],[Rooms_Occupied]]</f>
        <v>8096</v>
      </c>
      <c r="J307" s="10">
        <f>Daily_Data[[#This Row],[Total_Sales]] * 0.22</f>
        <v>1781.1200000000001</v>
      </c>
      <c r="K307" s="10">
        <f>INDEX(Expense_master[Monthly_Rent],MATCH(Daily_Data[[#This Row],[Month_key]],Expense_master[Month_Key],0)) / INDEX(Expense_master[Days_in_Month],MATCH(Daily_Data[[#This Row],[Month_key]],Expense_master[Month_Key],0))</f>
        <v>7000</v>
      </c>
      <c r="L307" s="10">
        <f>SUMIFS(Expense_master[Staff_Salary],Expense_master[Month_Key],Daily_Data[[#This Row],[Month_key]]) / SUMIFS(Expense_master[Days_in_Month],Expense_master[Month_Key],Daily_Data[[#This Row],[Month_key]])</f>
        <v>2333.3333333333335</v>
      </c>
      <c r="M307" s="10">
        <f>Daily_Data[[#This Row],[Rooms_Occupied]] * (SUMIFS(Expense_master[Housekeeping_Laundy],Expense_master[Month_Key],Daily_Data[[#This Row],[Month_key]]) / SUMIFS(Occupancy_table[Monthly_rooms_Occupied],Occupancy_table[Month_Key],Daily_Data[[#This Row],[Month_key]]))</f>
        <v>235.29411764705881</v>
      </c>
      <c r="N3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1436.2078431372549</v>
      </c>
      <c r="O307" s="10">
        <f>SUMIFS(Expense_master[Monthly_Maintenance],Expense_master[Month_Key],Daily_Data[[#This Row],[Month_key]]) / SUMIFS(Expense_master[Days_in_Month],Expense_master[Month_Key], Daily_Data[[#This Row],[Month_key]])</f>
        <v>666.66666666666663</v>
      </c>
      <c r="P307" s="10">
        <f xml:space="preserve"> Daily_Data[[#This Row],[OTA Commision]] + Daily_Data[[#This Row],[Daily_Rent]]+Daily_Data[[#This Row],[Daily_Staff]]+Daily_Data[[#This Row],[Daily_HK]]+Daily_Data[[#This Row],[Daily_Electricity]] + Daily_Data[[#This Row],[Daily Maintenance]]</f>
        <v>13452.621960784316</v>
      </c>
      <c r="Q307" s="10">
        <f>Daily_Data[[#This Row],[Total_Sales]]-Daily_Data[[#This Row],[Total_Daily_Expense]]</f>
        <v>-5356.6219607843159</v>
      </c>
      <c r="R307" s="10">
        <f>Daily_Data[[#This Row],[Total_Sales]]/Daily_Data[[#This Row],[Rooms_Occupied]]</f>
        <v>1012</v>
      </c>
      <c r="S307" s="10">
        <f>Daily_Data[[#This Row],[Total_Sales]] / Daily_Data[[#This Row],[Max_rooms]]</f>
        <v>578.28571428571433</v>
      </c>
    </row>
    <row r="308" spans="1:19" x14ac:dyDescent="0.25">
      <c r="A308" s="6">
        <v>45233</v>
      </c>
      <c r="B308" s="20">
        <f>DATE(YEAR(Daily_Data[[#This Row],[Date]]), MONTH(Daily_Data[[#This Row],[Date]]), 1)</f>
        <v>45231</v>
      </c>
      <c r="C308" s="20" t="str">
        <f>TEXT(Daily_Data[[#This Row],[Month_key]],"mmmm")</f>
        <v>November</v>
      </c>
      <c r="D308" s="20" t="str">
        <f>TEXT(Daily_Data[[#This Row],[Month_key]],"yyyy")</f>
        <v>2023</v>
      </c>
      <c r="E308" s="7">
        <v>11</v>
      </c>
      <c r="F308" s="7">
        <v>14</v>
      </c>
      <c r="G308" s="8">
        <f>Daily_Data[[#This Row],[Rooms_Occupied]]/F308</f>
        <v>0.7857142857142857</v>
      </c>
      <c r="H308" s="7">
        <v>1025</v>
      </c>
      <c r="I308" s="7">
        <f>Daily_Data[[#This Row],[Room_rate]]*Daily_Data[[#This Row],[Rooms_Occupied]]</f>
        <v>11275</v>
      </c>
      <c r="J308" s="10">
        <f>Daily_Data[[#This Row],[Total_Sales]] * 0.22</f>
        <v>2480.5</v>
      </c>
      <c r="K308" s="10">
        <f>INDEX(Expense_master[Monthly_Rent],MATCH(Daily_Data[[#This Row],[Month_key]],Expense_master[Month_Key],0)) / INDEX(Expense_master[Days_in_Month],MATCH(Daily_Data[[#This Row],[Month_key]],Expense_master[Month_Key],0))</f>
        <v>7000</v>
      </c>
      <c r="L308" s="10">
        <f>SUMIFS(Expense_master[Staff_Salary],Expense_master[Month_Key],Daily_Data[[#This Row],[Month_key]]) / SUMIFS(Expense_master[Days_in_Month],Expense_master[Month_Key],Daily_Data[[#This Row],[Month_key]])</f>
        <v>2333.3333333333335</v>
      </c>
      <c r="M308" s="10">
        <f>Daily_Data[[#This Row],[Rooms_Occupied]] * (SUMIFS(Expense_master[Housekeeping_Laundy],Expense_master[Month_Key],Daily_Data[[#This Row],[Month_key]]) / SUMIFS(Occupancy_table[Monthly_rooms_Occupied],Occupancy_table[Month_Key],Daily_Data[[#This Row],[Month_key]]))</f>
        <v>323.52941176470586</v>
      </c>
      <c r="N3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1713.1907843137255</v>
      </c>
      <c r="O308" s="10">
        <f>SUMIFS(Expense_master[Monthly_Maintenance],Expense_master[Month_Key],Daily_Data[[#This Row],[Month_key]]) / SUMIFS(Expense_master[Days_in_Month],Expense_master[Month_Key], Daily_Data[[#This Row],[Month_key]])</f>
        <v>666.66666666666663</v>
      </c>
      <c r="P308" s="10">
        <f xml:space="preserve"> Daily_Data[[#This Row],[OTA Commision]] + Daily_Data[[#This Row],[Daily_Rent]]+Daily_Data[[#This Row],[Daily_Staff]]+Daily_Data[[#This Row],[Daily_HK]]+Daily_Data[[#This Row],[Daily_Electricity]] + Daily_Data[[#This Row],[Daily Maintenance]]</f>
        <v>14517.220196078431</v>
      </c>
      <c r="Q308" s="10">
        <f>Daily_Data[[#This Row],[Total_Sales]]-Daily_Data[[#This Row],[Total_Daily_Expense]]</f>
        <v>-3242.2201960784314</v>
      </c>
      <c r="R308" s="10">
        <f>Daily_Data[[#This Row],[Total_Sales]]/Daily_Data[[#This Row],[Rooms_Occupied]]</f>
        <v>1025</v>
      </c>
      <c r="S308" s="10">
        <f>Daily_Data[[#This Row],[Total_Sales]] / Daily_Data[[#This Row],[Max_rooms]]</f>
        <v>805.35714285714289</v>
      </c>
    </row>
    <row r="309" spans="1:19" x14ac:dyDescent="0.25">
      <c r="A309" s="6">
        <v>45234</v>
      </c>
      <c r="B309" s="20">
        <f>DATE(YEAR(Daily_Data[[#This Row],[Date]]), MONTH(Daily_Data[[#This Row],[Date]]), 1)</f>
        <v>45231</v>
      </c>
      <c r="C309" s="20" t="str">
        <f>TEXT(Daily_Data[[#This Row],[Month_key]],"mmmm")</f>
        <v>November</v>
      </c>
      <c r="D309" s="20" t="str">
        <f>TEXT(Daily_Data[[#This Row],[Month_key]],"yyyy")</f>
        <v>2023</v>
      </c>
      <c r="E309" s="7">
        <v>11</v>
      </c>
      <c r="F309" s="7">
        <v>14</v>
      </c>
      <c r="G309" s="8">
        <f>Daily_Data[[#This Row],[Rooms_Occupied]]/F309</f>
        <v>0.7857142857142857</v>
      </c>
      <c r="H309" s="7">
        <v>1641</v>
      </c>
      <c r="I309" s="7">
        <f>Daily_Data[[#This Row],[Room_rate]]*Daily_Data[[#This Row],[Rooms_Occupied]]</f>
        <v>18051</v>
      </c>
      <c r="J309" s="10">
        <f>Daily_Data[[#This Row],[Total_Sales]] * 0.22</f>
        <v>3971.22</v>
      </c>
      <c r="K309" s="10">
        <f>INDEX(Expense_master[Monthly_Rent],MATCH(Daily_Data[[#This Row],[Month_key]],Expense_master[Month_Key],0)) / INDEX(Expense_master[Days_in_Month],MATCH(Daily_Data[[#This Row],[Month_key]],Expense_master[Month_Key],0))</f>
        <v>7000</v>
      </c>
      <c r="L309" s="10">
        <f>SUMIFS(Expense_master[Staff_Salary],Expense_master[Month_Key],Daily_Data[[#This Row],[Month_key]]) / SUMIFS(Expense_master[Days_in_Month],Expense_master[Month_Key],Daily_Data[[#This Row],[Month_key]])</f>
        <v>2333.3333333333335</v>
      </c>
      <c r="M309" s="10">
        <f>Daily_Data[[#This Row],[Rooms_Occupied]] * (SUMIFS(Expense_master[Housekeeping_Laundy],Expense_master[Month_Key],Daily_Data[[#This Row],[Month_key]]) / SUMIFS(Occupancy_table[Monthly_rooms_Occupied],Occupancy_table[Month_Key],Daily_Data[[#This Row],[Month_key]]))</f>
        <v>323.52941176470586</v>
      </c>
      <c r="N3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1713.1907843137255</v>
      </c>
      <c r="O309" s="10">
        <f>SUMIFS(Expense_master[Monthly_Maintenance],Expense_master[Month_Key],Daily_Data[[#This Row],[Month_key]]) / SUMIFS(Expense_master[Days_in_Month],Expense_master[Month_Key], Daily_Data[[#This Row],[Month_key]])</f>
        <v>666.66666666666663</v>
      </c>
      <c r="P309" s="10">
        <f xml:space="preserve"> Daily_Data[[#This Row],[OTA Commision]] + Daily_Data[[#This Row],[Daily_Rent]]+Daily_Data[[#This Row],[Daily_Staff]]+Daily_Data[[#This Row],[Daily_HK]]+Daily_Data[[#This Row],[Daily_Electricity]] + Daily_Data[[#This Row],[Daily Maintenance]]</f>
        <v>16007.940196078431</v>
      </c>
      <c r="Q309" s="10">
        <f>Daily_Data[[#This Row],[Total_Sales]]-Daily_Data[[#This Row],[Total_Daily_Expense]]</f>
        <v>2043.0598039215693</v>
      </c>
      <c r="R309" s="10">
        <f>Daily_Data[[#This Row],[Total_Sales]]/Daily_Data[[#This Row],[Rooms_Occupied]]</f>
        <v>1641</v>
      </c>
      <c r="S309" s="10">
        <f>Daily_Data[[#This Row],[Total_Sales]] / Daily_Data[[#This Row],[Max_rooms]]</f>
        <v>1289.3571428571429</v>
      </c>
    </row>
    <row r="310" spans="1:19" x14ac:dyDescent="0.25">
      <c r="A310" s="6">
        <v>45235</v>
      </c>
      <c r="B310" s="20">
        <f>DATE(YEAR(Daily_Data[[#This Row],[Date]]), MONTH(Daily_Data[[#This Row],[Date]]), 1)</f>
        <v>45231</v>
      </c>
      <c r="C310" s="20" t="str">
        <f>TEXT(Daily_Data[[#This Row],[Month_key]],"mmmm")</f>
        <v>November</v>
      </c>
      <c r="D310" s="20" t="str">
        <f>TEXT(Daily_Data[[#This Row],[Month_key]],"yyyy")</f>
        <v>2023</v>
      </c>
      <c r="E310" s="7">
        <v>10</v>
      </c>
      <c r="F310" s="7">
        <v>14</v>
      </c>
      <c r="G310" s="8">
        <f>Daily_Data[[#This Row],[Rooms_Occupied]]/F310</f>
        <v>0.7142857142857143</v>
      </c>
      <c r="H310" s="7">
        <v>1429</v>
      </c>
      <c r="I310" s="7">
        <f>Daily_Data[[#This Row],[Room_rate]]*Daily_Data[[#This Row],[Rooms_Occupied]]</f>
        <v>14290</v>
      </c>
      <c r="J310" s="10">
        <f>Daily_Data[[#This Row],[Total_Sales]] * 0.22</f>
        <v>3143.8</v>
      </c>
      <c r="K310" s="10">
        <f>INDEX(Expense_master[Monthly_Rent],MATCH(Daily_Data[[#This Row],[Month_key]],Expense_master[Month_Key],0)) / INDEX(Expense_master[Days_in_Month],MATCH(Daily_Data[[#This Row],[Month_key]],Expense_master[Month_Key],0))</f>
        <v>7000</v>
      </c>
      <c r="L310" s="10">
        <f>SUMIFS(Expense_master[Staff_Salary],Expense_master[Month_Key],Daily_Data[[#This Row],[Month_key]]) / SUMIFS(Expense_master[Days_in_Month],Expense_master[Month_Key],Daily_Data[[#This Row],[Month_key]])</f>
        <v>2333.3333333333335</v>
      </c>
      <c r="M310" s="10">
        <f>Daily_Data[[#This Row],[Rooms_Occupied]] * (SUMIFS(Expense_master[Housekeeping_Laundy],Expense_master[Month_Key],Daily_Data[[#This Row],[Month_key]]) / SUMIFS(Occupancy_table[Monthly_rooms_Occupied],Occupancy_table[Month_Key],Daily_Data[[#This Row],[Month_key]]))</f>
        <v>294.11764705882354</v>
      </c>
      <c r="N3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10" s="10">
        <f>SUMIFS(Expense_master[Monthly_Maintenance],Expense_master[Month_Key],Daily_Data[[#This Row],[Month_key]]) / SUMIFS(Expense_master[Days_in_Month],Expense_master[Month_Key], Daily_Data[[#This Row],[Month_key]])</f>
        <v>666.66666666666663</v>
      </c>
      <c r="P310" s="10">
        <f xml:space="preserve"> Daily_Data[[#This Row],[OTA Commision]] + Daily_Data[[#This Row],[Daily_Rent]]+Daily_Data[[#This Row],[Daily_Staff]]+Daily_Data[[#This Row],[Daily_HK]]+Daily_Data[[#This Row],[Daily_Electricity]] + Daily_Data[[#This Row],[Daily Maintenance]]</f>
        <v>15058.780784313725</v>
      </c>
      <c r="Q310" s="10">
        <f>Daily_Data[[#This Row],[Total_Sales]]-Daily_Data[[#This Row],[Total_Daily_Expense]]</f>
        <v>-768.78078431372523</v>
      </c>
      <c r="R310" s="10">
        <f>Daily_Data[[#This Row],[Total_Sales]]/Daily_Data[[#This Row],[Rooms_Occupied]]</f>
        <v>1429</v>
      </c>
      <c r="S310" s="10">
        <f>Daily_Data[[#This Row],[Total_Sales]] / Daily_Data[[#This Row],[Max_rooms]]</f>
        <v>1020.7142857142857</v>
      </c>
    </row>
    <row r="311" spans="1:19" x14ac:dyDescent="0.25">
      <c r="A311" s="6">
        <v>45236</v>
      </c>
      <c r="B311" s="20">
        <f>DATE(YEAR(Daily_Data[[#This Row],[Date]]), MONTH(Daily_Data[[#This Row],[Date]]), 1)</f>
        <v>45231</v>
      </c>
      <c r="C311" s="20" t="str">
        <f>TEXT(Daily_Data[[#This Row],[Month_key]],"mmmm")</f>
        <v>November</v>
      </c>
      <c r="D311" s="20" t="str">
        <f>TEXT(Daily_Data[[#This Row],[Month_key]],"yyyy")</f>
        <v>2023</v>
      </c>
      <c r="E311" s="7">
        <v>12</v>
      </c>
      <c r="F311" s="7">
        <v>14</v>
      </c>
      <c r="G311" s="8">
        <f>Daily_Data[[#This Row],[Rooms_Occupied]]/F311</f>
        <v>0.8571428571428571</v>
      </c>
      <c r="H311" s="7">
        <v>1762</v>
      </c>
      <c r="I311" s="7">
        <f>Daily_Data[[#This Row],[Room_rate]]*Daily_Data[[#This Row],[Rooms_Occupied]]</f>
        <v>21144</v>
      </c>
      <c r="J311" s="10">
        <f>Daily_Data[[#This Row],[Total_Sales]] * 0.22</f>
        <v>4651.68</v>
      </c>
      <c r="K311" s="10">
        <f>INDEX(Expense_master[Monthly_Rent],MATCH(Daily_Data[[#This Row],[Month_key]],Expense_master[Month_Key],0)) / INDEX(Expense_master[Days_in_Month],MATCH(Daily_Data[[#This Row],[Month_key]],Expense_master[Month_Key],0))</f>
        <v>7000</v>
      </c>
      <c r="L311" s="10">
        <f>SUMIFS(Expense_master[Staff_Salary],Expense_master[Month_Key],Daily_Data[[#This Row],[Month_key]]) / SUMIFS(Expense_master[Days_in_Month],Expense_master[Month_Key],Daily_Data[[#This Row],[Month_key]])</f>
        <v>2333.3333333333335</v>
      </c>
      <c r="M311" s="10">
        <f>Daily_Data[[#This Row],[Rooms_Occupied]] * (SUMIFS(Expense_master[Housekeeping_Laundy],Expense_master[Month_Key],Daily_Data[[#This Row],[Month_key]]) / SUMIFS(Occupancy_table[Monthly_rooms_Occupied],Occupancy_table[Month_Key],Daily_Data[[#This Row],[Month_key]]))</f>
        <v>352.94117647058823</v>
      </c>
      <c r="N3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1805.518431372549</v>
      </c>
      <c r="O311" s="10">
        <f>SUMIFS(Expense_master[Monthly_Maintenance],Expense_master[Month_Key],Daily_Data[[#This Row],[Month_key]]) / SUMIFS(Expense_master[Days_in_Month],Expense_master[Month_Key], Daily_Data[[#This Row],[Month_key]])</f>
        <v>666.66666666666663</v>
      </c>
      <c r="P311" s="10">
        <f xml:space="preserve"> Daily_Data[[#This Row],[OTA Commision]] + Daily_Data[[#This Row],[Daily_Rent]]+Daily_Data[[#This Row],[Daily_Staff]]+Daily_Data[[#This Row],[Daily_HK]]+Daily_Data[[#This Row],[Daily_Electricity]] + Daily_Data[[#This Row],[Daily Maintenance]]</f>
        <v>16810.139607843139</v>
      </c>
      <c r="Q311" s="10">
        <f>Daily_Data[[#This Row],[Total_Sales]]-Daily_Data[[#This Row],[Total_Daily_Expense]]</f>
        <v>4333.8603921568611</v>
      </c>
      <c r="R311" s="10">
        <f>Daily_Data[[#This Row],[Total_Sales]]/Daily_Data[[#This Row],[Rooms_Occupied]]</f>
        <v>1762</v>
      </c>
      <c r="S311" s="10">
        <f>Daily_Data[[#This Row],[Total_Sales]] / Daily_Data[[#This Row],[Max_rooms]]</f>
        <v>1510.2857142857142</v>
      </c>
    </row>
    <row r="312" spans="1:19" x14ac:dyDescent="0.25">
      <c r="A312" s="6">
        <v>45237</v>
      </c>
      <c r="B312" s="20">
        <f>DATE(YEAR(Daily_Data[[#This Row],[Date]]), MONTH(Daily_Data[[#This Row],[Date]]), 1)</f>
        <v>45231</v>
      </c>
      <c r="C312" s="20" t="str">
        <f>TEXT(Daily_Data[[#This Row],[Month_key]],"mmmm")</f>
        <v>November</v>
      </c>
      <c r="D312" s="20" t="str">
        <f>TEXT(Daily_Data[[#This Row],[Month_key]],"yyyy")</f>
        <v>2023</v>
      </c>
      <c r="E312" s="7">
        <v>9</v>
      </c>
      <c r="F312" s="7">
        <v>14</v>
      </c>
      <c r="G312" s="8">
        <f>Daily_Data[[#This Row],[Rooms_Occupied]]/F312</f>
        <v>0.6428571428571429</v>
      </c>
      <c r="H312" s="7">
        <v>1287</v>
      </c>
      <c r="I312" s="7">
        <f>Daily_Data[[#This Row],[Room_rate]]*Daily_Data[[#This Row],[Rooms_Occupied]]</f>
        <v>11583</v>
      </c>
      <c r="J312" s="10">
        <f>Daily_Data[[#This Row],[Total_Sales]] * 0.22</f>
        <v>2548.2600000000002</v>
      </c>
      <c r="K312" s="10">
        <f>INDEX(Expense_master[Monthly_Rent],MATCH(Daily_Data[[#This Row],[Month_key]],Expense_master[Month_Key],0)) / INDEX(Expense_master[Days_in_Month],MATCH(Daily_Data[[#This Row],[Month_key]],Expense_master[Month_Key],0))</f>
        <v>7000</v>
      </c>
      <c r="L312" s="10">
        <f>SUMIFS(Expense_master[Staff_Salary],Expense_master[Month_Key],Daily_Data[[#This Row],[Month_key]]) / SUMIFS(Expense_master[Days_in_Month],Expense_master[Month_Key],Daily_Data[[#This Row],[Month_key]])</f>
        <v>2333.3333333333335</v>
      </c>
      <c r="M312" s="10">
        <f>Daily_Data[[#This Row],[Rooms_Occupied]] * (SUMIFS(Expense_master[Housekeeping_Laundy],Expense_master[Month_Key],Daily_Data[[#This Row],[Month_key]]) / SUMIFS(Occupancy_table[Monthly_rooms_Occupied],Occupancy_table[Month_Key],Daily_Data[[#This Row],[Month_key]]))</f>
        <v>264.70588235294116</v>
      </c>
      <c r="N3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1528.5354901960786</v>
      </c>
      <c r="O312" s="10">
        <f>SUMIFS(Expense_master[Monthly_Maintenance],Expense_master[Month_Key],Daily_Data[[#This Row],[Month_key]]) / SUMIFS(Expense_master[Days_in_Month],Expense_master[Month_Key], Daily_Data[[#This Row],[Month_key]])</f>
        <v>666.66666666666663</v>
      </c>
      <c r="P312" s="10">
        <f xml:space="preserve"> Daily_Data[[#This Row],[OTA Commision]] + Daily_Data[[#This Row],[Daily_Rent]]+Daily_Data[[#This Row],[Daily_Staff]]+Daily_Data[[#This Row],[Daily_HK]]+Daily_Data[[#This Row],[Daily_Electricity]] + Daily_Data[[#This Row],[Daily Maintenance]]</f>
        <v>14341.501372549019</v>
      </c>
      <c r="Q312" s="10">
        <f>Daily_Data[[#This Row],[Total_Sales]]-Daily_Data[[#This Row],[Total_Daily_Expense]]</f>
        <v>-2758.5013725490189</v>
      </c>
      <c r="R312" s="10">
        <f>Daily_Data[[#This Row],[Total_Sales]]/Daily_Data[[#This Row],[Rooms_Occupied]]</f>
        <v>1287</v>
      </c>
      <c r="S312" s="10">
        <f>Daily_Data[[#This Row],[Total_Sales]] / Daily_Data[[#This Row],[Max_rooms]]</f>
        <v>827.35714285714289</v>
      </c>
    </row>
    <row r="313" spans="1:19" x14ac:dyDescent="0.25">
      <c r="A313" s="6">
        <v>45238</v>
      </c>
      <c r="B313" s="20">
        <f>DATE(YEAR(Daily_Data[[#This Row],[Date]]), MONTH(Daily_Data[[#This Row],[Date]]), 1)</f>
        <v>45231</v>
      </c>
      <c r="C313" s="20" t="str">
        <f>TEXT(Daily_Data[[#This Row],[Month_key]],"mmmm")</f>
        <v>November</v>
      </c>
      <c r="D313" s="20" t="str">
        <f>TEXT(Daily_Data[[#This Row],[Month_key]],"yyyy")</f>
        <v>2023</v>
      </c>
      <c r="E313" s="7">
        <v>14</v>
      </c>
      <c r="F313" s="7">
        <v>14</v>
      </c>
      <c r="G313" s="8">
        <f>Daily_Data[[#This Row],[Rooms_Occupied]]/F313</f>
        <v>1</v>
      </c>
      <c r="H313" s="7">
        <v>1544</v>
      </c>
      <c r="I313" s="7">
        <f>Daily_Data[[#This Row],[Room_rate]]*Daily_Data[[#This Row],[Rooms_Occupied]]</f>
        <v>21616</v>
      </c>
      <c r="J313" s="10">
        <f>Daily_Data[[#This Row],[Total_Sales]] * 0.22</f>
        <v>4755.5200000000004</v>
      </c>
      <c r="K313" s="10">
        <f>INDEX(Expense_master[Monthly_Rent],MATCH(Daily_Data[[#This Row],[Month_key]],Expense_master[Month_Key],0)) / INDEX(Expense_master[Days_in_Month],MATCH(Daily_Data[[#This Row],[Month_key]],Expense_master[Month_Key],0))</f>
        <v>7000</v>
      </c>
      <c r="L313" s="10">
        <f>SUMIFS(Expense_master[Staff_Salary],Expense_master[Month_Key],Daily_Data[[#This Row],[Month_key]]) / SUMIFS(Expense_master[Days_in_Month],Expense_master[Month_Key],Daily_Data[[#This Row],[Month_key]])</f>
        <v>2333.3333333333335</v>
      </c>
      <c r="M313" s="10">
        <f>Daily_Data[[#This Row],[Rooms_Occupied]] * (SUMIFS(Expense_master[Housekeeping_Laundy],Expense_master[Month_Key],Daily_Data[[#This Row],[Month_key]]) / SUMIFS(Occupancy_table[Monthly_rooms_Occupied],Occupancy_table[Month_Key],Daily_Data[[#This Row],[Month_key]]))</f>
        <v>411.76470588235293</v>
      </c>
      <c r="N3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1990.1737254901959</v>
      </c>
      <c r="O313" s="10">
        <f>SUMIFS(Expense_master[Monthly_Maintenance],Expense_master[Month_Key],Daily_Data[[#This Row],[Month_key]]) / SUMIFS(Expense_master[Days_in_Month],Expense_master[Month_Key], Daily_Data[[#This Row],[Month_key]])</f>
        <v>666.66666666666663</v>
      </c>
      <c r="P313" s="10">
        <f xml:space="preserve"> Daily_Data[[#This Row],[OTA Commision]] + Daily_Data[[#This Row],[Daily_Rent]]+Daily_Data[[#This Row],[Daily_Staff]]+Daily_Data[[#This Row],[Daily_HK]]+Daily_Data[[#This Row],[Daily_Electricity]] + Daily_Data[[#This Row],[Daily Maintenance]]</f>
        <v>17157.45843137255</v>
      </c>
      <c r="Q313" s="10">
        <f>Daily_Data[[#This Row],[Total_Sales]]-Daily_Data[[#This Row],[Total_Daily_Expense]]</f>
        <v>4458.54156862745</v>
      </c>
      <c r="R313" s="10">
        <f>Daily_Data[[#This Row],[Total_Sales]]/Daily_Data[[#This Row],[Rooms_Occupied]]</f>
        <v>1544</v>
      </c>
      <c r="S313" s="10">
        <f>Daily_Data[[#This Row],[Total_Sales]] / Daily_Data[[#This Row],[Max_rooms]]</f>
        <v>1544</v>
      </c>
    </row>
    <row r="314" spans="1:19" x14ac:dyDescent="0.25">
      <c r="A314" s="6">
        <v>45239</v>
      </c>
      <c r="B314" s="20">
        <f>DATE(YEAR(Daily_Data[[#This Row],[Date]]), MONTH(Daily_Data[[#This Row],[Date]]), 1)</f>
        <v>45231</v>
      </c>
      <c r="C314" s="20" t="str">
        <f>TEXT(Daily_Data[[#This Row],[Month_key]],"mmmm")</f>
        <v>November</v>
      </c>
      <c r="D314" s="20" t="str">
        <f>TEXT(Daily_Data[[#This Row],[Month_key]],"yyyy")</f>
        <v>2023</v>
      </c>
      <c r="E314" s="7">
        <v>10</v>
      </c>
      <c r="F314" s="7">
        <v>14</v>
      </c>
      <c r="G314" s="8">
        <f>Daily_Data[[#This Row],[Rooms_Occupied]]/F314</f>
        <v>0.7142857142857143</v>
      </c>
      <c r="H314" s="7">
        <v>1386</v>
      </c>
      <c r="I314" s="7">
        <f>Daily_Data[[#This Row],[Room_rate]]*Daily_Data[[#This Row],[Rooms_Occupied]]</f>
        <v>13860</v>
      </c>
      <c r="J314" s="10">
        <f>Daily_Data[[#This Row],[Total_Sales]] * 0.22</f>
        <v>3049.2</v>
      </c>
      <c r="K314" s="10">
        <f>INDEX(Expense_master[Monthly_Rent],MATCH(Daily_Data[[#This Row],[Month_key]],Expense_master[Month_Key],0)) / INDEX(Expense_master[Days_in_Month],MATCH(Daily_Data[[#This Row],[Month_key]],Expense_master[Month_Key],0))</f>
        <v>7000</v>
      </c>
      <c r="L314" s="10">
        <f>SUMIFS(Expense_master[Staff_Salary],Expense_master[Month_Key],Daily_Data[[#This Row],[Month_key]]) / SUMIFS(Expense_master[Days_in_Month],Expense_master[Month_Key],Daily_Data[[#This Row],[Month_key]])</f>
        <v>2333.3333333333335</v>
      </c>
      <c r="M314" s="10">
        <f>Daily_Data[[#This Row],[Rooms_Occupied]] * (SUMIFS(Expense_master[Housekeeping_Laundy],Expense_master[Month_Key],Daily_Data[[#This Row],[Month_key]]) / SUMIFS(Occupancy_table[Monthly_rooms_Occupied],Occupancy_table[Month_Key],Daily_Data[[#This Row],[Month_key]]))</f>
        <v>294.11764705882354</v>
      </c>
      <c r="N3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14" s="10">
        <f>SUMIFS(Expense_master[Monthly_Maintenance],Expense_master[Month_Key],Daily_Data[[#This Row],[Month_key]]) / SUMIFS(Expense_master[Days_in_Month],Expense_master[Month_Key], Daily_Data[[#This Row],[Month_key]])</f>
        <v>666.66666666666663</v>
      </c>
      <c r="P314" s="10">
        <f xml:space="preserve"> Daily_Data[[#This Row],[OTA Commision]] + Daily_Data[[#This Row],[Daily_Rent]]+Daily_Data[[#This Row],[Daily_Staff]]+Daily_Data[[#This Row],[Daily_HK]]+Daily_Data[[#This Row],[Daily_Electricity]] + Daily_Data[[#This Row],[Daily Maintenance]]</f>
        <v>14964.180784313727</v>
      </c>
      <c r="Q314" s="10">
        <f>Daily_Data[[#This Row],[Total_Sales]]-Daily_Data[[#This Row],[Total_Daily_Expense]]</f>
        <v>-1104.1807843137267</v>
      </c>
      <c r="R314" s="10">
        <f>Daily_Data[[#This Row],[Total_Sales]]/Daily_Data[[#This Row],[Rooms_Occupied]]</f>
        <v>1386</v>
      </c>
      <c r="S314" s="10">
        <f>Daily_Data[[#This Row],[Total_Sales]] / Daily_Data[[#This Row],[Max_rooms]]</f>
        <v>990</v>
      </c>
    </row>
    <row r="315" spans="1:19" x14ac:dyDescent="0.25">
      <c r="A315" s="6">
        <v>45240</v>
      </c>
      <c r="B315" s="20">
        <f>DATE(YEAR(Daily_Data[[#This Row],[Date]]), MONTH(Daily_Data[[#This Row],[Date]]), 1)</f>
        <v>45231</v>
      </c>
      <c r="C315" s="20" t="str">
        <f>TEXT(Daily_Data[[#This Row],[Month_key]],"mmmm")</f>
        <v>November</v>
      </c>
      <c r="D315" s="20" t="str">
        <f>TEXT(Daily_Data[[#This Row],[Month_key]],"yyyy")</f>
        <v>2023</v>
      </c>
      <c r="E315" s="7">
        <v>10</v>
      </c>
      <c r="F315" s="7">
        <v>14</v>
      </c>
      <c r="G315" s="8">
        <f>Daily_Data[[#This Row],[Rooms_Occupied]]/F315</f>
        <v>0.7142857142857143</v>
      </c>
      <c r="H315" s="7">
        <v>1002</v>
      </c>
      <c r="I315" s="7">
        <f>Daily_Data[[#This Row],[Room_rate]]*Daily_Data[[#This Row],[Rooms_Occupied]]</f>
        <v>10020</v>
      </c>
      <c r="J315" s="10">
        <f>Daily_Data[[#This Row],[Total_Sales]] * 0.22</f>
        <v>2204.4</v>
      </c>
      <c r="K315" s="10">
        <f>INDEX(Expense_master[Monthly_Rent],MATCH(Daily_Data[[#This Row],[Month_key]],Expense_master[Month_Key],0)) / INDEX(Expense_master[Days_in_Month],MATCH(Daily_Data[[#This Row],[Month_key]],Expense_master[Month_Key],0))</f>
        <v>7000</v>
      </c>
      <c r="L315" s="10">
        <f>SUMIFS(Expense_master[Staff_Salary],Expense_master[Month_Key],Daily_Data[[#This Row],[Month_key]]) / SUMIFS(Expense_master[Days_in_Month],Expense_master[Month_Key],Daily_Data[[#This Row],[Month_key]])</f>
        <v>2333.3333333333335</v>
      </c>
      <c r="M315" s="10">
        <f>Daily_Data[[#This Row],[Rooms_Occupied]] * (SUMIFS(Expense_master[Housekeeping_Laundy],Expense_master[Month_Key],Daily_Data[[#This Row],[Month_key]]) / SUMIFS(Occupancy_table[Monthly_rooms_Occupied],Occupancy_table[Month_Key],Daily_Data[[#This Row],[Month_key]]))</f>
        <v>294.11764705882354</v>
      </c>
      <c r="N3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15" s="10">
        <f>SUMIFS(Expense_master[Monthly_Maintenance],Expense_master[Month_Key],Daily_Data[[#This Row],[Month_key]]) / SUMIFS(Expense_master[Days_in_Month],Expense_master[Month_Key], Daily_Data[[#This Row],[Month_key]])</f>
        <v>666.66666666666663</v>
      </c>
      <c r="P315" s="10">
        <f xml:space="preserve"> Daily_Data[[#This Row],[OTA Commision]] + Daily_Data[[#This Row],[Daily_Rent]]+Daily_Data[[#This Row],[Daily_Staff]]+Daily_Data[[#This Row],[Daily_HK]]+Daily_Data[[#This Row],[Daily_Electricity]] + Daily_Data[[#This Row],[Daily Maintenance]]</f>
        <v>14119.380784313726</v>
      </c>
      <c r="Q315" s="10">
        <f>Daily_Data[[#This Row],[Total_Sales]]-Daily_Data[[#This Row],[Total_Daily_Expense]]</f>
        <v>-4099.3807843137256</v>
      </c>
      <c r="R315" s="10">
        <f>Daily_Data[[#This Row],[Total_Sales]]/Daily_Data[[#This Row],[Rooms_Occupied]]</f>
        <v>1002</v>
      </c>
      <c r="S315" s="10">
        <f>Daily_Data[[#This Row],[Total_Sales]] / Daily_Data[[#This Row],[Max_rooms]]</f>
        <v>715.71428571428567</v>
      </c>
    </row>
    <row r="316" spans="1:19" x14ac:dyDescent="0.25">
      <c r="A316" s="6">
        <v>45241</v>
      </c>
      <c r="B316" s="20">
        <f>DATE(YEAR(Daily_Data[[#This Row],[Date]]), MONTH(Daily_Data[[#This Row],[Date]]), 1)</f>
        <v>45231</v>
      </c>
      <c r="C316" s="20" t="str">
        <f>TEXT(Daily_Data[[#This Row],[Month_key]],"mmmm")</f>
        <v>November</v>
      </c>
      <c r="D316" s="20" t="str">
        <f>TEXT(Daily_Data[[#This Row],[Month_key]],"yyyy")</f>
        <v>2023</v>
      </c>
      <c r="E316" s="7">
        <v>13</v>
      </c>
      <c r="F316" s="7">
        <v>14</v>
      </c>
      <c r="G316" s="8">
        <f>Daily_Data[[#This Row],[Rooms_Occupied]]/F316</f>
        <v>0.9285714285714286</v>
      </c>
      <c r="H316" s="7">
        <v>1763</v>
      </c>
      <c r="I316" s="7">
        <f>Daily_Data[[#This Row],[Room_rate]]*Daily_Data[[#This Row],[Rooms_Occupied]]</f>
        <v>22919</v>
      </c>
      <c r="J316" s="10">
        <f>Daily_Data[[#This Row],[Total_Sales]] * 0.22</f>
        <v>5042.18</v>
      </c>
      <c r="K316" s="10">
        <f>INDEX(Expense_master[Monthly_Rent],MATCH(Daily_Data[[#This Row],[Month_key]],Expense_master[Month_Key],0)) / INDEX(Expense_master[Days_in_Month],MATCH(Daily_Data[[#This Row],[Month_key]],Expense_master[Month_Key],0))</f>
        <v>7000</v>
      </c>
      <c r="L316" s="10">
        <f>SUMIFS(Expense_master[Staff_Salary],Expense_master[Month_Key],Daily_Data[[#This Row],[Month_key]]) / SUMIFS(Expense_master[Days_in_Month],Expense_master[Month_Key],Daily_Data[[#This Row],[Month_key]])</f>
        <v>2333.3333333333335</v>
      </c>
      <c r="M316" s="10">
        <f>Daily_Data[[#This Row],[Rooms_Occupied]] * (SUMIFS(Expense_master[Housekeeping_Laundy],Expense_master[Month_Key],Daily_Data[[#This Row],[Month_key]]) / SUMIFS(Occupancy_table[Monthly_rooms_Occupied],Occupancy_table[Month_Key],Daily_Data[[#This Row],[Month_key]]))</f>
        <v>382.35294117647055</v>
      </c>
      <c r="N3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1897.8460784313725</v>
      </c>
      <c r="O316" s="10">
        <f>SUMIFS(Expense_master[Monthly_Maintenance],Expense_master[Month_Key],Daily_Data[[#This Row],[Month_key]]) / SUMIFS(Expense_master[Days_in_Month],Expense_master[Month_Key], Daily_Data[[#This Row],[Month_key]])</f>
        <v>666.66666666666663</v>
      </c>
      <c r="P316" s="10">
        <f xml:space="preserve"> Daily_Data[[#This Row],[OTA Commision]] + Daily_Data[[#This Row],[Daily_Rent]]+Daily_Data[[#This Row],[Daily_Staff]]+Daily_Data[[#This Row],[Daily_HK]]+Daily_Data[[#This Row],[Daily_Electricity]] + Daily_Data[[#This Row],[Daily Maintenance]]</f>
        <v>17322.379019607844</v>
      </c>
      <c r="Q316" s="10">
        <f>Daily_Data[[#This Row],[Total_Sales]]-Daily_Data[[#This Row],[Total_Daily_Expense]]</f>
        <v>5596.6209803921556</v>
      </c>
      <c r="R316" s="10">
        <f>Daily_Data[[#This Row],[Total_Sales]]/Daily_Data[[#This Row],[Rooms_Occupied]]</f>
        <v>1763</v>
      </c>
      <c r="S316" s="10">
        <f>Daily_Data[[#This Row],[Total_Sales]] / Daily_Data[[#This Row],[Max_rooms]]</f>
        <v>1637.0714285714287</v>
      </c>
    </row>
    <row r="317" spans="1:19" x14ac:dyDescent="0.25">
      <c r="A317" s="6">
        <v>45242</v>
      </c>
      <c r="B317" s="20">
        <f>DATE(YEAR(Daily_Data[[#This Row],[Date]]), MONTH(Daily_Data[[#This Row],[Date]]), 1)</f>
        <v>45231</v>
      </c>
      <c r="C317" s="20" t="str">
        <f>TEXT(Daily_Data[[#This Row],[Month_key]],"mmmm")</f>
        <v>November</v>
      </c>
      <c r="D317" s="20" t="str">
        <f>TEXT(Daily_Data[[#This Row],[Month_key]],"yyyy")</f>
        <v>2023</v>
      </c>
      <c r="E317" s="7">
        <v>14</v>
      </c>
      <c r="F317" s="7">
        <v>14</v>
      </c>
      <c r="G317" s="8">
        <f>Daily_Data[[#This Row],[Rooms_Occupied]]/F317</f>
        <v>1</v>
      </c>
      <c r="H317" s="7">
        <v>1459</v>
      </c>
      <c r="I317" s="7">
        <f>Daily_Data[[#This Row],[Room_rate]]*Daily_Data[[#This Row],[Rooms_Occupied]]</f>
        <v>20426</v>
      </c>
      <c r="J317" s="10">
        <f>Daily_Data[[#This Row],[Total_Sales]] * 0.22</f>
        <v>4493.72</v>
      </c>
      <c r="K317" s="10">
        <f>INDEX(Expense_master[Monthly_Rent],MATCH(Daily_Data[[#This Row],[Month_key]],Expense_master[Month_Key],0)) / INDEX(Expense_master[Days_in_Month],MATCH(Daily_Data[[#This Row],[Month_key]],Expense_master[Month_Key],0))</f>
        <v>7000</v>
      </c>
      <c r="L317" s="10">
        <f>SUMIFS(Expense_master[Staff_Salary],Expense_master[Month_Key],Daily_Data[[#This Row],[Month_key]]) / SUMIFS(Expense_master[Days_in_Month],Expense_master[Month_Key],Daily_Data[[#This Row],[Month_key]])</f>
        <v>2333.3333333333335</v>
      </c>
      <c r="M317" s="10">
        <f>Daily_Data[[#This Row],[Rooms_Occupied]] * (SUMIFS(Expense_master[Housekeeping_Laundy],Expense_master[Month_Key],Daily_Data[[#This Row],[Month_key]]) / SUMIFS(Occupancy_table[Monthly_rooms_Occupied],Occupancy_table[Month_Key],Daily_Data[[#This Row],[Month_key]]))</f>
        <v>411.76470588235293</v>
      </c>
      <c r="N3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1990.1737254901959</v>
      </c>
      <c r="O317" s="10">
        <f>SUMIFS(Expense_master[Monthly_Maintenance],Expense_master[Month_Key],Daily_Data[[#This Row],[Month_key]]) / SUMIFS(Expense_master[Days_in_Month],Expense_master[Month_Key], Daily_Data[[#This Row],[Month_key]])</f>
        <v>666.66666666666663</v>
      </c>
      <c r="P317" s="10">
        <f xml:space="preserve"> Daily_Data[[#This Row],[OTA Commision]] + Daily_Data[[#This Row],[Daily_Rent]]+Daily_Data[[#This Row],[Daily_Staff]]+Daily_Data[[#This Row],[Daily_HK]]+Daily_Data[[#This Row],[Daily_Electricity]] + Daily_Data[[#This Row],[Daily Maintenance]]</f>
        <v>16895.658431372551</v>
      </c>
      <c r="Q317" s="10">
        <f>Daily_Data[[#This Row],[Total_Sales]]-Daily_Data[[#This Row],[Total_Daily_Expense]]</f>
        <v>3530.3415686274493</v>
      </c>
      <c r="R317" s="10">
        <f>Daily_Data[[#This Row],[Total_Sales]]/Daily_Data[[#This Row],[Rooms_Occupied]]</f>
        <v>1459</v>
      </c>
      <c r="S317" s="10">
        <f>Daily_Data[[#This Row],[Total_Sales]] / Daily_Data[[#This Row],[Max_rooms]]</f>
        <v>1459</v>
      </c>
    </row>
    <row r="318" spans="1:19" x14ac:dyDescent="0.25">
      <c r="A318" s="6">
        <v>45243</v>
      </c>
      <c r="B318" s="20">
        <f>DATE(YEAR(Daily_Data[[#This Row],[Date]]), MONTH(Daily_Data[[#This Row],[Date]]), 1)</f>
        <v>45231</v>
      </c>
      <c r="C318" s="20" t="str">
        <f>TEXT(Daily_Data[[#This Row],[Month_key]],"mmmm")</f>
        <v>November</v>
      </c>
      <c r="D318" s="20" t="str">
        <f>TEXT(Daily_Data[[#This Row],[Month_key]],"yyyy")</f>
        <v>2023</v>
      </c>
      <c r="E318" s="7">
        <v>8</v>
      </c>
      <c r="F318" s="7">
        <v>14</v>
      </c>
      <c r="G318" s="8">
        <f>Daily_Data[[#This Row],[Rooms_Occupied]]/F318</f>
        <v>0.5714285714285714</v>
      </c>
      <c r="H318" s="7">
        <v>1191</v>
      </c>
      <c r="I318" s="7">
        <f>Daily_Data[[#This Row],[Room_rate]]*Daily_Data[[#This Row],[Rooms_Occupied]]</f>
        <v>9528</v>
      </c>
      <c r="J318" s="10">
        <f>Daily_Data[[#This Row],[Total_Sales]] * 0.22</f>
        <v>2096.16</v>
      </c>
      <c r="K318" s="10">
        <f>INDEX(Expense_master[Monthly_Rent],MATCH(Daily_Data[[#This Row],[Month_key]],Expense_master[Month_Key],0)) / INDEX(Expense_master[Days_in_Month],MATCH(Daily_Data[[#This Row],[Month_key]],Expense_master[Month_Key],0))</f>
        <v>7000</v>
      </c>
      <c r="L318" s="10">
        <f>SUMIFS(Expense_master[Staff_Salary],Expense_master[Month_Key],Daily_Data[[#This Row],[Month_key]]) / SUMIFS(Expense_master[Days_in_Month],Expense_master[Month_Key],Daily_Data[[#This Row],[Month_key]])</f>
        <v>2333.3333333333335</v>
      </c>
      <c r="M318" s="10">
        <f>Daily_Data[[#This Row],[Rooms_Occupied]] * (SUMIFS(Expense_master[Housekeeping_Laundy],Expense_master[Month_Key],Daily_Data[[#This Row],[Month_key]]) / SUMIFS(Occupancy_table[Monthly_rooms_Occupied],Occupancy_table[Month_Key],Daily_Data[[#This Row],[Month_key]]))</f>
        <v>235.29411764705881</v>
      </c>
      <c r="N3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1436.2078431372549</v>
      </c>
      <c r="O318" s="10">
        <f>SUMIFS(Expense_master[Monthly_Maintenance],Expense_master[Month_Key],Daily_Data[[#This Row],[Month_key]]) / SUMIFS(Expense_master[Days_in_Month],Expense_master[Month_Key], Daily_Data[[#This Row],[Month_key]])</f>
        <v>666.66666666666663</v>
      </c>
      <c r="P318" s="10">
        <f xml:space="preserve"> Daily_Data[[#This Row],[OTA Commision]] + Daily_Data[[#This Row],[Daily_Rent]]+Daily_Data[[#This Row],[Daily_Staff]]+Daily_Data[[#This Row],[Daily_HK]]+Daily_Data[[#This Row],[Daily_Electricity]] + Daily_Data[[#This Row],[Daily Maintenance]]</f>
        <v>13767.661960784315</v>
      </c>
      <c r="Q318" s="10">
        <f>Daily_Data[[#This Row],[Total_Sales]]-Daily_Data[[#This Row],[Total_Daily_Expense]]</f>
        <v>-4239.6619607843149</v>
      </c>
      <c r="R318" s="10">
        <f>Daily_Data[[#This Row],[Total_Sales]]/Daily_Data[[#This Row],[Rooms_Occupied]]</f>
        <v>1191</v>
      </c>
      <c r="S318" s="10">
        <f>Daily_Data[[#This Row],[Total_Sales]] / Daily_Data[[#This Row],[Max_rooms]]</f>
        <v>680.57142857142856</v>
      </c>
    </row>
    <row r="319" spans="1:19" x14ac:dyDescent="0.25">
      <c r="A319" s="6">
        <v>45244</v>
      </c>
      <c r="B319" s="20">
        <f>DATE(YEAR(Daily_Data[[#This Row],[Date]]), MONTH(Daily_Data[[#This Row],[Date]]), 1)</f>
        <v>45231</v>
      </c>
      <c r="C319" s="20" t="str">
        <f>TEXT(Daily_Data[[#This Row],[Month_key]],"mmmm")</f>
        <v>November</v>
      </c>
      <c r="D319" s="20" t="str">
        <f>TEXT(Daily_Data[[#This Row],[Month_key]],"yyyy")</f>
        <v>2023</v>
      </c>
      <c r="E319" s="7">
        <v>10</v>
      </c>
      <c r="F319" s="7">
        <v>14</v>
      </c>
      <c r="G319" s="8">
        <f>Daily_Data[[#This Row],[Rooms_Occupied]]/F319</f>
        <v>0.7142857142857143</v>
      </c>
      <c r="H319" s="7">
        <v>1730</v>
      </c>
      <c r="I319" s="7">
        <f>Daily_Data[[#This Row],[Room_rate]]*Daily_Data[[#This Row],[Rooms_Occupied]]</f>
        <v>17300</v>
      </c>
      <c r="J319" s="10">
        <f>Daily_Data[[#This Row],[Total_Sales]] * 0.22</f>
        <v>3806</v>
      </c>
      <c r="K319" s="10">
        <f>INDEX(Expense_master[Monthly_Rent],MATCH(Daily_Data[[#This Row],[Month_key]],Expense_master[Month_Key],0)) / INDEX(Expense_master[Days_in_Month],MATCH(Daily_Data[[#This Row],[Month_key]],Expense_master[Month_Key],0))</f>
        <v>7000</v>
      </c>
      <c r="L319" s="10">
        <f>SUMIFS(Expense_master[Staff_Salary],Expense_master[Month_Key],Daily_Data[[#This Row],[Month_key]]) / SUMIFS(Expense_master[Days_in_Month],Expense_master[Month_Key],Daily_Data[[#This Row],[Month_key]])</f>
        <v>2333.3333333333335</v>
      </c>
      <c r="M319" s="10">
        <f>Daily_Data[[#This Row],[Rooms_Occupied]] * (SUMIFS(Expense_master[Housekeeping_Laundy],Expense_master[Month_Key],Daily_Data[[#This Row],[Month_key]]) / SUMIFS(Occupancy_table[Monthly_rooms_Occupied],Occupancy_table[Month_Key],Daily_Data[[#This Row],[Month_key]]))</f>
        <v>294.11764705882354</v>
      </c>
      <c r="N3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19" s="10">
        <f>SUMIFS(Expense_master[Monthly_Maintenance],Expense_master[Month_Key],Daily_Data[[#This Row],[Month_key]]) / SUMIFS(Expense_master[Days_in_Month],Expense_master[Month_Key], Daily_Data[[#This Row],[Month_key]])</f>
        <v>666.66666666666663</v>
      </c>
      <c r="P319" s="10">
        <f xml:space="preserve"> Daily_Data[[#This Row],[OTA Commision]] + Daily_Data[[#This Row],[Daily_Rent]]+Daily_Data[[#This Row],[Daily_Staff]]+Daily_Data[[#This Row],[Daily_HK]]+Daily_Data[[#This Row],[Daily_Electricity]] + Daily_Data[[#This Row],[Daily Maintenance]]</f>
        <v>15720.980784313726</v>
      </c>
      <c r="Q319" s="10">
        <f>Daily_Data[[#This Row],[Total_Sales]]-Daily_Data[[#This Row],[Total_Daily_Expense]]</f>
        <v>1579.019215686274</v>
      </c>
      <c r="R319" s="10">
        <f>Daily_Data[[#This Row],[Total_Sales]]/Daily_Data[[#This Row],[Rooms_Occupied]]</f>
        <v>1730</v>
      </c>
      <c r="S319" s="10">
        <f>Daily_Data[[#This Row],[Total_Sales]] / Daily_Data[[#This Row],[Max_rooms]]</f>
        <v>1235.7142857142858</v>
      </c>
    </row>
    <row r="320" spans="1:19" x14ac:dyDescent="0.25">
      <c r="A320" s="6">
        <v>45245</v>
      </c>
      <c r="B320" s="20">
        <f>DATE(YEAR(Daily_Data[[#This Row],[Date]]), MONTH(Daily_Data[[#This Row],[Date]]), 1)</f>
        <v>45231</v>
      </c>
      <c r="C320" s="20" t="str">
        <f>TEXT(Daily_Data[[#This Row],[Month_key]],"mmmm")</f>
        <v>November</v>
      </c>
      <c r="D320" s="20" t="str">
        <f>TEXT(Daily_Data[[#This Row],[Month_key]],"yyyy")</f>
        <v>2023</v>
      </c>
      <c r="E320" s="7">
        <v>11</v>
      </c>
      <c r="F320" s="7">
        <v>14</v>
      </c>
      <c r="G320" s="8">
        <f>Daily_Data[[#This Row],[Rooms_Occupied]]/F320</f>
        <v>0.7857142857142857</v>
      </c>
      <c r="H320" s="7">
        <v>1418</v>
      </c>
      <c r="I320" s="7">
        <f>Daily_Data[[#This Row],[Room_rate]]*Daily_Data[[#This Row],[Rooms_Occupied]]</f>
        <v>15598</v>
      </c>
      <c r="J320" s="10">
        <f>Daily_Data[[#This Row],[Total_Sales]] * 0.22</f>
        <v>3431.56</v>
      </c>
      <c r="K320" s="10">
        <f>INDEX(Expense_master[Monthly_Rent],MATCH(Daily_Data[[#This Row],[Month_key]],Expense_master[Month_Key],0)) / INDEX(Expense_master[Days_in_Month],MATCH(Daily_Data[[#This Row],[Month_key]],Expense_master[Month_Key],0))</f>
        <v>7000</v>
      </c>
      <c r="L320" s="10">
        <f>SUMIFS(Expense_master[Staff_Salary],Expense_master[Month_Key],Daily_Data[[#This Row],[Month_key]]) / SUMIFS(Expense_master[Days_in_Month],Expense_master[Month_Key],Daily_Data[[#This Row],[Month_key]])</f>
        <v>2333.3333333333335</v>
      </c>
      <c r="M320" s="10">
        <f>Daily_Data[[#This Row],[Rooms_Occupied]] * (SUMIFS(Expense_master[Housekeeping_Laundy],Expense_master[Month_Key],Daily_Data[[#This Row],[Month_key]]) / SUMIFS(Occupancy_table[Monthly_rooms_Occupied],Occupancy_table[Month_Key],Daily_Data[[#This Row],[Month_key]]))</f>
        <v>323.52941176470586</v>
      </c>
      <c r="N3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1713.1907843137255</v>
      </c>
      <c r="O320" s="10">
        <f>SUMIFS(Expense_master[Monthly_Maintenance],Expense_master[Month_Key],Daily_Data[[#This Row],[Month_key]]) / SUMIFS(Expense_master[Days_in_Month],Expense_master[Month_Key], Daily_Data[[#This Row],[Month_key]])</f>
        <v>666.66666666666663</v>
      </c>
      <c r="P320" s="10">
        <f xml:space="preserve"> Daily_Data[[#This Row],[OTA Commision]] + Daily_Data[[#This Row],[Daily_Rent]]+Daily_Data[[#This Row],[Daily_Staff]]+Daily_Data[[#This Row],[Daily_HK]]+Daily_Data[[#This Row],[Daily_Electricity]] + Daily_Data[[#This Row],[Daily Maintenance]]</f>
        <v>15468.280196078431</v>
      </c>
      <c r="Q320" s="10">
        <f>Daily_Data[[#This Row],[Total_Sales]]-Daily_Data[[#This Row],[Total_Daily_Expense]]</f>
        <v>129.71980392156911</v>
      </c>
      <c r="R320" s="10">
        <f>Daily_Data[[#This Row],[Total_Sales]]/Daily_Data[[#This Row],[Rooms_Occupied]]</f>
        <v>1418</v>
      </c>
      <c r="S320" s="10">
        <f>Daily_Data[[#This Row],[Total_Sales]] / Daily_Data[[#This Row],[Max_rooms]]</f>
        <v>1114.1428571428571</v>
      </c>
    </row>
    <row r="321" spans="1:19" x14ac:dyDescent="0.25">
      <c r="A321" s="6">
        <v>45246</v>
      </c>
      <c r="B321" s="20">
        <f>DATE(YEAR(Daily_Data[[#This Row],[Date]]), MONTH(Daily_Data[[#This Row],[Date]]), 1)</f>
        <v>45231</v>
      </c>
      <c r="C321" s="20" t="str">
        <f>TEXT(Daily_Data[[#This Row],[Month_key]],"mmmm")</f>
        <v>November</v>
      </c>
      <c r="D321" s="20" t="str">
        <f>TEXT(Daily_Data[[#This Row],[Month_key]],"yyyy")</f>
        <v>2023</v>
      </c>
      <c r="E321" s="7">
        <v>12</v>
      </c>
      <c r="F321" s="7">
        <v>14</v>
      </c>
      <c r="G321" s="8">
        <f>Daily_Data[[#This Row],[Rooms_Occupied]]/F321</f>
        <v>0.8571428571428571</v>
      </c>
      <c r="H321" s="7">
        <v>1227</v>
      </c>
      <c r="I321" s="7">
        <f>Daily_Data[[#This Row],[Room_rate]]*Daily_Data[[#This Row],[Rooms_Occupied]]</f>
        <v>14724</v>
      </c>
      <c r="J321" s="10">
        <f>Daily_Data[[#This Row],[Total_Sales]] * 0.22</f>
        <v>3239.28</v>
      </c>
      <c r="K321" s="10">
        <f>INDEX(Expense_master[Monthly_Rent],MATCH(Daily_Data[[#This Row],[Month_key]],Expense_master[Month_Key],0)) / INDEX(Expense_master[Days_in_Month],MATCH(Daily_Data[[#This Row],[Month_key]],Expense_master[Month_Key],0))</f>
        <v>7000</v>
      </c>
      <c r="L321" s="10">
        <f>SUMIFS(Expense_master[Staff_Salary],Expense_master[Month_Key],Daily_Data[[#This Row],[Month_key]]) / SUMIFS(Expense_master[Days_in_Month],Expense_master[Month_Key],Daily_Data[[#This Row],[Month_key]])</f>
        <v>2333.3333333333335</v>
      </c>
      <c r="M321" s="10">
        <f>Daily_Data[[#This Row],[Rooms_Occupied]] * (SUMIFS(Expense_master[Housekeeping_Laundy],Expense_master[Month_Key],Daily_Data[[#This Row],[Month_key]]) / SUMIFS(Occupancy_table[Monthly_rooms_Occupied],Occupancy_table[Month_Key],Daily_Data[[#This Row],[Month_key]]))</f>
        <v>352.94117647058823</v>
      </c>
      <c r="N3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1805.518431372549</v>
      </c>
      <c r="O321" s="10">
        <f>SUMIFS(Expense_master[Monthly_Maintenance],Expense_master[Month_Key],Daily_Data[[#This Row],[Month_key]]) / SUMIFS(Expense_master[Days_in_Month],Expense_master[Month_Key], Daily_Data[[#This Row],[Month_key]])</f>
        <v>666.66666666666663</v>
      </c>
      <c r="P321" s="10">
        <f xml:space="preserve"> Daily_Data[[#This Row],[OTA Commision]] + Daily_Data[[#This Row],[Daily_Rent]]+Daily_Data[[#This Row],[Daily_Staff]]+Daily_Data[[#This Row],[Daily_HK]]+Daily_Data[[#This Row],[Daily_Electricity]] + Daily_Data[[#This Row],[Daily Maintenance]]</f>
        <v>15397.739607843137</v>
      </c>
      <c r="Q321" s="10">
        <f>Daily_Data[[#This Row],[Total_Sales]]-Daily_Data[[#This Row],[Total_Daily_Expense]]</f>
        <v>-673.73960784313749</v>
      </c>
      <c r="R321" s="10">
        <f>Daily_Data[[#This Row],[Total_Sales]]/Daily_Data[[#This Row],[Rooms_Occupied]]</f>
        <v>1227</v>
      </c>
      <c r="S321" s="10">
        <f>Daily_Data[[#This Row],[Total_Sales]] / Daily_Data[[#This Row],[Max_rooms]]</f>
        <v>1051.7142857142858</v>
      </c>
    </row>
    <row r="322" spans="1:19" x14ac:dyDescent="0.25">
      <c r="A322" s="6">
        <v>45247</v>
      </c>
      <c r="B322" s="20">
        <f>DATE(YEAR(Daily_Data[[#This Row],[Date]]), MONTH(Daily_Data[[#This Row],[Date]]), 1)</f>
        <v>45231</v>
      </c>
      <c r="C322" s="20" t="str">
        <f>TEXT(Daily_Data[[#This Row],[Month_key]],"mmmm")</f>
        <v>November</v>
      </c>
      <c r="D322" s="20" t="str">
        <f>TEXT(Daily_Data[[#This Row],[Month_key]],"yyyy")</f>
        <v>2023</v>
      </c>
      <c r="E322" s="7">
        <v>11</v>
      </c>
      <c r="F322" s="7">
        <v>14</v>
      </c>
      <c r="G322" s="8">
        <f>Daily_Data[[#This Row],[Rooms_Occupied]]/F322</f>
        <v>0.7857142857142857</v>
      </c>
      <c r="H322" s="7">
        <v>1602</v>
      </c>
      <c r="I322" s="7">
        <f>Daily_Data[[#This Row],[Room_rate]]*Daily_Data[[#This Row],[Rooms_Occupied]]</f>
        <v>17622</v>
      </c>
      <c r="J322" s="10">
        <f>Daily_Data[[#This Row],[Total_Sales]] * 0.22</f>
        <v>3876.84</v>
      </c>
      <c r="K322" s="10">
        <f>INDEX(Expense_master[Monthly_Rent],MATCH(Daily_Data[[#This Row],[Month_key]],Expense_master[Month_Key],0)) / INDEX(Expense_master[Days_in_Month],MATCH(Daily_Data[[#This Row],[Month_key]],Expense_master[Month_Key],0))</f>
        <v>7000</v>
      </c>
      <c r="L322" s="10">
        <f>SUMIFS(Expense_master[Staff_Salary],Expense_master[Month_Key],Daily_Data[[#This Row],[Month_key]]) / SUMIFS(Expense_master[Days_in_Month],Expense_master[Month_Key],Daily_Data[[#This Row],[Month_key]])</f>
        <v>2333.3333333333335</v>
      </c>
      <c r="M322" s="10">
        <f>Daily_Data[[#This Row],[Rooms_Occupied]] * (SUMIFS(Expense_master[Housekeeping_Laundy],Expense_master[Month_Key],Daily_Data[[#This Row],[Month_key]]) / SUMIFS(Occupancy_table[Monthly_rooms_Occupied],Occupancy_table[Month_Key],Daily_Data[[#This Row],[Month_key]]))</f>
        <v>323.52941176470586</v>
      </c>
      <c r="N3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1713.1907843137255</v>
      </c>
      <c r="O322" s="10">
        <f>SUMIFS(Expense_master[Monthly_Maintenance],Expense_master[Month_Key],Daily_Data[[#This Row],[Month_key]]) / SUMIFS(Expense_master[Days_in_Month],Expense_master[Month_Key], Daily_Data[[#This Row],[Month_key]])</f>
        <v>666.66666666666663</v>
      </c>
      <c r="P322" s="10">
        <f xml:space="preserve"> Daily_Data[[#This Row],[OTA Commision]] + Daily_Data[[#This Row],[Daily_Rent]]+Daily_Data[[#This Row],[Daily_Staff]]+Daily_Data[[#This Row],[Daily_HK]]+Daily_Data[[#This Row],[Daily_Electricity]] + Daily_Data[[#This Row],[Daily Maintenance]]</f>
        <v>15913.560196078432</v>
      </c>
      <c r="Q322" s="10">
        <f>Daily_Data[[#This Row],[Total_Sales]]-Daily_Data[[#This Row],[Total_Daily_Expense]]</f>
        <v>1708.4398039215685</v>
      </c>
      <c r="R322" s="10">
        <f>Daily_Data[[#This Row],[Total_Sales]]/Daily_Data[[#This Row],[Rooms_Occupied]]</f>
        <v>1602</v>
      </c>
      <c r="S322" s="10">
        <f>Daily_Data[[#This Row],[Total_Sales]] / Daily_Data[[#This Row],[Max_rooms]]</f>
        <v>1258.7142857142858</v>
      </c>
    </row>
    <row r="323" spans="1:19" x14ac:dyDescent="0.25">
      <c r="A323" s="6">
        <v>45248</v>
      </c>
      <c r="B323" s="20">
        <f>DATE(YEAR(Daily_Data[[#This Row],[Date]]), MONTH(Daily_Data[[#This Row],[Date]]), 1)</f>
        <v>45231</v>
      </c>
      <c r="C323" s="20" t="str">
        <f>TEXT(Daily_Data[[#This Row],[Month_key]],"mmmm")</f>
        <v>November</v>
      </c>
      <c r="D323" s="20" t="str">
        <f>TEXT(Daily_Data[[#This Row],[Month_key]],"yyyy")</f>
        <v>2023</v>
      </c>
      <c r="E323" s="7">
        <v>10</v>
      </c>
      <c r="F323" s="7">
        <v>14</v>
      </c>
      <c r="G323" s="8">
        <f>Daily_Data[[#This Row],[Rooms_Occupied]]/F323</f>
        <v>0.7142857142857143</v>
      </c>
      <c r="H323" s="7">
        <v>1489</v>
      </c>
      <c r="I323" s="7">
        <f>Daily_Data[[#This Row],[Room_rate]]*Daily_Data[[#This Row],[Rooms_Occupied]]</f>
        <v>14890</v>
      </c>
      <c r="J323" s="10">
        <f>Daily_Data[[#This Row],[Total_Sales]] * 0.22</f>
        <v>3275.8</v>
      </c>
      <c r="K323" s="10">
        <f>INDEX(Expense_master[Monthly_Rent],MATCH(Daily_Data[[#This Row],[Month_key]],Expense_master[Month_Key],0)) / INDEX(Expense_master[Days_in_Month],MATCH(Daily_Data[[#This Row],[Month_key]],Expense_master[Month_Key],0))</f>
        <v>7000</v>
      </c>
      <c r="L323" s="10">
        <f>SUMIFS(Expense_master[Staff_Salary],Expense_master[Month_Key],Daily_Data[[#This Row],[Month_key]]) / SUMIFS(Expense_master[Days_in_Month],Expense_master[Month_Key],Daily_Data[[#This Row],[Month_key]])</f>
        <v>2333.3333333333335</v>
      </c>
      <c r="M323" s="10">
        <f>Daily_Data[[#This Row],[Rooms_Occupied]] * (SUMIFS(Expense_master[Housekeeping_Laundy],Expense_master[Month_Key],Daily_Data[[#This Row],[Month_key]]) / SUMIFS(Occupancy_table[Monthly_rooms_Occupied],Occupancy_table[Month_Key],Daily_Data[[#This Row],[Month_key]]))</f>
        <v>294.11764705882354</v>
      </c>
      <c r="N3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23" s="10">
        <f>SUMIFS(Expense_master[Monthly_Maintenance],Expense_master[Month_Key],Daily_Data[[#This Row],[Month_key]]) / SUMIFS(Expense_master[Days_in_Month],Expense_master[Month_Key], Daily_Data[[#This Row],[Month_key]])</f>
        <v>666.66666666666663</v>
      </c>
      <c r="P323" s="10">
        <f xml:space="preserve"> Daily_Data[[#This Row],[OTA Commision]] + Daily_Data[[#This Row],[Daily_Rent]]+Daily_Data[[#This Row],[Daily_Staff]]+Daily_Data[[#This Row],[Daily_HK]]+Daily_Data[[#This Row],[Daily_Electricity]] + Daily_Data[[#This Row],[Daily Maintenance]]</f>
        <v>15190.780784313725</v>
      </c>
      <c r="Q323" s="10">
        <f>Daily_Data[[#This Row],[Total_Sales]]-Daily_Data[[#This Row],[Total_Daily_Expense]]</f>
        <v>-300.78078431372523</v>
      </c>
      <c r="R323" s="10">
        <f>Daily_Data[[#This Row],[Total_Sales]]/Daily_Data[[#This Row],[Rooms_Occupied]]</f>
        <v>1489</v>
      </c>
      <c r="S323" s="10">
        <f>Daily_Data[[#This Row],[Total_Sales]] / Daily_Data[[#This Row],[Max_rooms]]</f>
        <v>1063.5714285714287</v>
      </c>
    </row>
    <row r="324" spans="1:19" x14ac:dyDescent="0.25">
      <c r="A324" s="6">
        <v>45249</v>
      </c>
      <c r="B324" s="20">
        <f>DATE(YEAR(Daily_Data[[#This Row],[Date]]), MONTH(Daily_Data[[#This Row],[Date]]), 1)</f>
        <v>45231</v>
      </c>
      <c r="C324" s="20" t="str">
        <f>TEXT(Daily_Data[[#This Row],[Month_key]],"mmmm")</f>
        <v>November</v>
      </c>
      <c r="D324" s="20" t="str">
        <f>TEXT(Daily_Data[[#This Row],[Month_key]],"yyyy")</f>
        <v>2023</v>
      </c>
      <c r="E324" s="7">
        <v>11</v>
      </c>
      <c r="F324" s="7">
        <v>14</v>
      </c>
      <c r="G324" s="8">
        <f>Daily_Data[[#This Row],[Rooms_Occupied]]/F324</f>
        <v>0.7857142857142857</v>
      </c>
      <c r="H324" s="7">
        <v>1576</v>
      </c>
      <c r="I324" s="7">
        <f>Daily_Data[[#This Row],[Room_rate]]*Daily_Data[[#This Row],[Rooms_Occupied]]</f>
        <v>17336</v>
      </c>
      <c r="J324" s="10">
        <f>Daily_Data[[#This Row],[Total_Sales]] * 0.22</f>
        <v>3813.92</v>
      </c>
      <c r="K324" s="10">
        <f>INDEX(Expense_master[Monthly_Rent],MATCH(Daily_Data[[#This Row],[Month_key]],Expense_master[Month_Key],0)) / INDEX(Expense_master[Days_in_Month],MATCH(Daily_Data[[#This Row],[Month_key]],Expense_master[Month_Key],0))</f>
        <v>7000</v>
      </c>
      <c r="L324" s="10">
        <f>SUMIFS(Expense_master[Staff_Salary],Expense_master[Month_Key],Daily_Data[[#This Row],[Month_key]]) / SUMIFS(Expense_master[Days_in_Month],Expense_master[Month_Key],Daily_Data[[#This Row],[Month_key]])</f>
        <v>2333.3333333333335</v>
      </c>
      <c r="M324" s="10">
        <f>Daily_Data[[#This Row],[Rooms_Occupied]] * (SUMIFS(Expense_master[Housekeeping_Laundy],Expense_master[Month_Key],Daily_Data[[#This Row],[Month_key]]) / SUMIFS(Occupancy_table[Monthly_rooms_Occupied],Occupancy_table[Month_Key],Daily_Data[[#This Row],[Month_key]]))</f>
        <v>323.52941176470586</v>
      </c>
      <c r="N3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1713.1907843137255</v>
      </c>
      <c r="O324" s="10">
        <f>SUMIFS(Expense_master[Monthly_Maintenance],Expense_master[Month_Key],Daily_Data[[#This Row],[Month_key]]) / SUMIFS(Expense_master[Days_in_Month],Expense_master[Month_Key], Daily_Data[[#This Row],[Month_key]])</f>
        <v>666.66666666666663</v>
      </c>
      <c r="P324" s="10">
        <f xml:space="preserve"> Daily_Data[[#This Row],[OTA Commision]] + Daily_Data[[#This Row],[Daily_Rent]]+Daily_Data[[#This Row],[Daily_Staff]]+Daily_Data[[#This Row],[Daily_HK]]+Daily_Data[[#This Row],[Daily_Electricity]] + Daily_Data[[#This Row],[Daily Maintenance]]</f>
        <v>15850.640196078431</v>
      </c>
      <c r="Q324" s="10">
        <f>Daily_Data[[#This Row],[Total_Sales]]-Daily_Data[[#This Row],[Total_Daily_Expense]]</f>
        <v>1485.3598039215685</v>
      </c>
      <c r="R324" s="10">
        <f>Daily_Data[[#This Row],[Total_Sales]]/Daily_Data[[#This Row],[Rooms_Occupied]]</f>
        <v>1576</v>
      </c>
      <c r="S324" s="10">
        <f>Daily_Data[[#This Row],[Total_Sales]] / Daily_Data[[#This Row],[Max_rooms]]</f>
        <v>1238.2857142857142</v>
      </c>
    </row>
    <row r="325" spans="1:19" x14ac:dyDescent="0.25">
      <c r="A325" s="6">
        <v>45250</v>
      </c>
      <c r="B325" s="20">
        <f>DATE(YEAR(Daily_Data[[#This Row],[Date]]), MONTH(Daily_Data[[#This Row],[Date]]), 1)</f>
        <v>45231</v>
      </c>
      <c r="C325" s="20" t="str">
        <f>TEXT(Daily_Data[[#This Row],[Month_key]],"mmmm")</f>
        <v>November</v>
      </c>
      <c r="D325" s="20" t="str">
        <f>TEXT(Daily_Data[[#This Row],[Month_key]],"yyyy")</f>
        <v>2023</v>
      </c>
      <c r="E325" s="7">
        <v>14</v>
      </c>
      <c r="F325" s="7">
        <v>14</v>
      </c>
      <c r="G325" s="8">
        <f>Daily_Data[[#This Row],[Rooms_Occupied]]/F325</f>
        <v>1</v>
      </c>
      <c r="H325" s="7">
        <v>1649</v>
      </c>
      <c r="I325" s="7">
        <f>Daily_Data[[#This Row],[Room_rate]]*Daily_Data[[#This Row],[Rooms_Occupied]]</f>
        <v>23086</v>
      </c>
      <c r="J325" s="10">
        <f>Daily_Data[[#This Row],[Total_Sales]] * 0.22</f>
        <v>5078.92</v>
      </c>
      <c r="K325" s="10">
        <f>INDEX(Expense_master[Monthly_Rent],MATCH(Daily_Data[[#This Row],[Month_key]],Expense_master[Month_Key],0)) / INDEX(Expense_master[Days_in_Month],MATCH(Daily_Data[[#This Row],[Month_key]],Expense_master[Month_Key],0))</f>
        <v>7000</v>
      </c>
      <c r="L325" s="10">
        <f>SUMIFS(Expense_master[Staff_Salary],Expense_master[Month_Key],Daily_Data[[#This Row],[Month_key]]) / SUMIFS(Expense_master[Days_in_Month],Expense_master[Month_Key],Daily_Data[[#This Row],[Month_key]])</f>
        <v>2333.3333333333335</v>
      </c>
      <c r="M325" s="10">
        <f>Daily_Data[[#This Row],[Rooms_Occupied]] * (SUMIFS(Expense_master[Housekeeping_Laundy],Expense_master[Month_Key],Daily_Data[[#This Row],[Month_key]]) / SUMIFS(Occupancy_table[Monthly_rooms_Occupied],Occupancy_table[Month_Key],Daily_Data[[#This Row],[Month_key]]))</f>
        <v>411.76470588235293</v>
      </c>
      <c r="N3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1990.1737254901959</v>
      </c>
      <c r="O325" s="10">
        <f>SUMIFS(Expense_master[Monthly_Maintenance],Expense_master[Month_Key],Daily_Data[[#This Row],[Month_key]]) / SUMIFS(Expense_master[Days_in_Month],Expense_master[Month_Key], Daily_Data[[#This Row],[Month_key]])</f>
        <v>666.66666666666663</v>
      </c>
      <c r="P325" s="10">
        <f xml:space="preserve"> Daily_Data[[#This Row],[OTA Commision]] + Daily_Data[[#This Row],[Daily_Rent]]+Daily_Data[[#This Row],[Daily_Staff]]+Daily_Data[[#This Row],[Daily_HK]]+Daily_Data[[#This Row],[Daily_Electricity]] + Daily_Data[[#This Row],[Daily Maintenance]]</f>
        <v>17480.858431372551</v>
      </c>
      <c r="Q325" s="10">
        <f>Daily_Data[[#This Row],[Total_Sales]]-Daily_Data[[#This Row],[Total_Daily_Expense]]</f>
        <v>5605.1415686274486</v>
      </c>
      <c r="R325" s="10">
        <f>Daily_Data[[#This Row],[Total_Sales]]/Daily_Data[[#This Row],[Rooms_Occupied]]</f>
        <v>1649</v>
      </c>
      <c r="S325" s="10">
        <f>Daily_Data[[#This Row],[Total_Sales]] / Daily_Data[[#This Row],[Max_rooms]]</f>
        <v>1649</v>
      </c>
    </row>
    <row r="326" spans="1:19" x14ac:dyDescent="0.25">
      <c r="A326" s="6">
        <v>45251</v>
      </c>
      <c r="B326" s="20">
        <f>DATE(YEAR(Daily_Data[[#This Row],[Date]]), MONTH(Daily_Data[[#This Row],[Date]]), 1)</f>
        <v>45231</v>
      </c>
      <c r="C326" s="20" t="str">
        <f>TEXT(Daily_Data[[#This Row],[Month_key]],"mmmm")</f>
        <v>November</v>
      </c>
      <c r="D326" s="20" t="str">
        <f>TEXT(Daily_Data[[#This Row],[Month_key]],"yyyy")</f>
        <v>2023</v>
      </c>
      <c r="E326" s="7">
        <v>11</v>
      </c>
      <c r="F326" s="7">
        <v>14</v>
      </c>
      <c r="G326" s="8">
        <f>Daily_Data[[#This Row],[Rooms_Occupied]]/F326</f>
        <v>0.7857142857142857</v>
      </c>
      <c r="H326" s="7">
        <v>1072</v>
      </c>
      <c r="I326" s="7">
        <f>Daily_Data[[#This Row],[Room_rate]]*Daily_Data[[#This Row],[Rooms_Occupied]]</f>
        <v>11792</v>
      </c>
      <c r="J326" s="10">
        <f>Daily_Data[[#This Row],[Total_Sales]] * 0.22</f>
        <v>2594.2400000000002</v>
      </c>
      <c r="K326" s="10">
        <f>INDEX(Expense_master[Monthly_Rent],MATCH(Daily_Data[[#This Row],[Month_key]],Expense_master[Month_Key],0)) / INDEX(Expense_master[Days_in_Month],MATCH(Daily_Data[[#This Row],[Month_key]],Expense_master[Month_Key],0))</f>
        <v>7000</v>
      </c>
      <c r="L326" s="10">
        <f>SUMIFS(Expense_master[Staff_Salary],Expense_master[Month_Key],Daily_Data[[#This Row],[Month_key]]) / SUMIFS(Expense_master[Days_in_Month],Expense_master[Month_Key],Daily_Data[[#This Row],[Month_key]])</f>
        <v>2333.3333333333335</v>
      </c>
      <c r="M326" s="10">
        <f>Daily_Data[[#This Row],[Rooms_Occupied]] * (SUMIFS(Expense_master[Housekeeping_Laundy],Expense_master[Month_Key],Daily_Data[[#This Row],[Month_key]]) / SUMIFS(Occupancy_table[Monthly_rooms_Occupied],Occupancy_table[Month_Key],Daily_Data[[#This Row],[Month_key]]))</f>
        <v>323.52941176470586</v>
      </c>
      <c r="N3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1713.1907843137255</v>
      </c>
      <c r="O326" s="10">
        <f>SUMIFS(Expense_master[Monthly_Maintenance],Expense_master[Month_Key],Daily_Data[[#This Row],[Month_key]]) / SUMIFS(Expense_master[Days_in_Month],Expense_master[Month_Key], Daily_Data[[#This Row],[Month_key]])</f>
        <v>666.66666666666663</v>
      </c>
      <c r="P326" s="10">
        <f xml:space="preserve"> Daily_Data[[#This Row],[OTA Commision]] + Daily_Data[[#This Row],[Daily_Rent]]+Daily_Data[[#This Row],[Daily_Staff]]+Daily_Data[[#This Row],[Daily_HK]]+Daily_Data[[#This Row],[Daily_Electricity]] + Daily_Data[[#This Row],[Daily Maintenance]]</f>
        <v>14630.960196078431</v>
      </c>
      <c r="Q326" s="10">
        <f>Daily_Data[[#This Row],[Total_Sales]]-Daily_Data[[#This Row],[Total_Daily_Expense]]</f>
        <v>-2838.9601960784312</v>
      </c>
      <c r="R326" s="10">
        <f>Daily_Data[[#This Row],[Total_Sales]]/Daily_Data[[#This Row],[Rooms_Occupied]]</f>
        <v>1072</v>
      </c>
      <c r="S326" s="10">
        <f>Daily_Data[[#This Row],[Total_Sales]] / Daily_Data[[#This Row],[Max_rooms]]</f>
        <v>842.28571428571433</v>
      </c>
    </row>
    <row r="327" spans="1:19" x14ac:dyDescent="0.25">
      <c r="A327" s="6">
        <v>45252</v>
      </c>
      <c r="B327" s="20">
        <f>DATE(YEAR(Daily_Data[[#This Row],[Date]]), MONTH(Daily_Data[[#This Row],[Date]]), 1)</f>
        <v>45231</v>
      </c>
      <c r="C327" s="20" t="str">
        <f>TEXT(Daily_Data[[#This Row],[Month_key]],"mmmm")</f>
        <v>November</v>
      </c>
      <c r="D327" s="20" t="str">
        <f>TEXT(Daily_Data[[#This Row],[Month_key]],"yyyy")</f>
        <v>2023</v>
      </c>
      <c r="E327" s="7">
        <v>14</v>
      </c>
      <c r="F327" s="7">
        <v>14</v>
      </c>
      <c r="G327" s="8">
        <f>Daily_Data[[#This Row],[Rooms_Occupied]]/F327</f>
        <v>1</v>
      </c>
      <c r="H327" s="7">
        <v>1032</v>
      </c>
      <c r="I327" s="7">
        <f>Daily_Data[[#This Row],[Room_rate]]*Daily_Data[[#This Row],[Rooms_Occupied]]</f>
        <v>14448</v>
      </c>
      <c r="J327" s="10">
        <f>Daily_Data[[#This Row],[Total_Sales]] * 0.22</f>
        <v>3178.56</v>
      </c>
      <c r="K327" s="10">
        <f>INDEX(Expense_master[Monthly_Rent],MATCH(Daily_Data[[#This Row],[Month_key]],Expense_master[Month_Key],0)) / INDEX(Expense_master[Days_in_Month],MATCH(Daily_Data[[#This Row],[Month_key]],Expense_master[Month_Key],0))</f>
        <v>7000</v>
      </c>
      <c r="L327" s="10">
        <f>SUMIFS(Expense_master[Staff_Salary],Expense_master[Month_Key],Daily_Data[[#This Row],[Month_key]]) / SUMIFS(Expense_master[Days_in_Month],Expense_master[Month_Key],Daily_Data[[#This Row],[Month_key]])</f>
        <v>2333.3333333333335</v>
      </c>
      <c r="M327" s="10">
        <f>Daily_Data[[#This Row],[Rooms_Occupied]] * (SUMIFS(Expense_master[Housekeeping_Laundy],Expense_master[Month_Key],Daily_Data[[#This Row],[Month_key]]) / SUMIFS(Occupancy_table[Monthly_rooms_Occupied],Occupancy_table[Month_Key],Daily_Data[[#This Row],[Month_key]]))</f>
        <v>411.76470588235293</v>
      </c>
      <c r="N3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1990.1737254901959</v>
      </c>
      <c r="O327" s="10">
        <f>SUMIFS(Expense_master[Monthly_Maintenance],Expense_master[Month_Key],Daily_Data[[#This Row],[Month_key]]) / SUMIFS(Expense_master[Days_in_Month],Expense_master[Month_Key], Daily_Data[[#This Row],[Month_key]])</f>
        <v>666.66666666666663</v>
      </c>
      <c r="P327" s="10">
        <f xml:space="preserve"> Daily_Data[[#This Row],[OTA Commision]] + Daily_Data[[#This Row],[Daily_Rent]]+Daily_Data[[#This Row],[Daily_Staff]]+Daily_Data[[#This Row],[Daily_HK]]+Daily_Data[[#This Row],[Daily_Electricity]] + Daily_Data[[#This Row],[Daily Maintenance]]</f>
        <v>15580.498431372549</v>
      </c>
      <c r="Q327" s="10">
        <f>Daily_Data[[#This Row],[Total_Sales]]-Daily_Data[[#This Row],[Total_Daily_Expense]]</f>
        <v>-1132.498431372549</v>
      </c>
      <c r="R327" s="10">
        <f>Daily_Data[[#This Row],[Total_Sales]]/Daily_Data[[#This Row],[Rooms_Occupied]]</f>
        <v>1032</v>
      </c>
      <c r="S327" s="10">
        <f>Daily_Data[[#This Row],[Total_Sales]] / Daily_Data[[#This Row],[Max_rooms]]</f>
        <v>1032</v>
      </c>
    </row>
    <row r="328" spans="1:19" x14ac:dyDescent="0.25">
      <c r="A328" s="6">
        <v>45253</v>
      </c>
      <c r="B328" s="20">
        <f>DATE(YEAR(Daily_Data[[#This Row],[Date]]), MONTH(Daily_Data[[#This Row],[Date]]), 1)</f>
        <v>45231</v>
      </c>
      <c r="C328" s="20" t="str">
        <f>TEXT(Daily_Data[[#This Row],[Month_key]],"mmmm")</f>
        <v>November</v>
      </c>
      <c r="D328" s="20" t="str">
        <f>TEXT(Daily_Data[[#This Row],[Month_key]],"yyyy")</f>
        <v>2023</v>
      </c>
      <c r="E328" s="7">
        <v>10</v>
      </c>
      <c r="F328" s="7">
        <v>14</v>
      </c>
      <c r="G328" s="8">
        <f>Daily_Data[[#This Row],[Rooms_Occupied]]/F328</f>
        <v>0.7142857142857143</v>
      </c>
      <c r="H328" s="7">
        <v>1524</v>
      </c>
      <c r="I328" s="7">
        <f>Daily_Data[[#This Row],[Room_rate]]*Daily_Data[[#This Row],[Rooms_Occupied]]</f>
        <v>15240</v>
      </c>
      <c r="J328" s="10">
        <f>Daily_Data[[#This Row],[Total_Sales]] * 0.22</f>
        <v>3352.8</v>
      </c>
      <c r="K328" s="10">
        <f>INDEX(Expense_master[Monthly_Rent],MATCH(Daily_Data[[#This Row],[Month_key]],Expense_master[Month_Key],0)) / INDEX(Expense_master[Days_in_Month],MATCH(Daily_Data[[#This Row],[Month_key]],Expense_master[Month_Key],0))</f>
        <v>7000</v>
      </c>
      <c r="L328" s="10">
        <f>SUMIFS(Expense_master[Staff_Salary],Expense_master[Month_Key],Daily_Data[[#This Row],[Month_key]]) / SUMIFS(Expense_master[Days_in_Month],Expense_master[Month_Key],Daily_Data[[#This Row],[Month_key]])</f>
        <v>2333.3333333333335</v>
      </c>
      <c r="M328" s="10">
        <f>Daily_Data[[#This Row],[Rooms_Occupied]] * (SUMIFS(Expense_master[Housekeeping_Laundy],Expense_master[Month_Key],Daily_Data[[#This Row],[Month_key]]) / SUMIFS(Occupancy_table[Monthly_rooms_Occupied],Occupancy_table[Month_Key],Daily_Data[[#This Row],[Month_key]]))</f>
        <v>294.11764705882354</v>
      </c>
      <c r="N3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28" s="10">
        <f>SUMIFS(Expense_master[Monthly_Maintenance],Expense_master[Month_Key],Daily_Data[[#This Row],[Month_key]]) / SUMIFS(Expense_master[Days_in_Month],Expense_master[Month_Key], Daily_Data[[#This Row],[Month_key]])</f>
        <v>666.66666666666663</v>
      </c>
      <c r="P328" s="10">
        <f xml:space="preserve"> Daily_Data[[#This Row],[OTA Commision]] + Daily_Data[[#This Row],[Daily_Rent]]+Daily_Data[[#This Row],[Daily_Staff]]+Daily_Data[[#This Row],[Daily_HK]]+Daily_Data[[#This Row],[Daily_Electricity]] + Daily_Data[[#This Row],[Daily Maintenance]]</f>
        <v>15267.780784313725</v>
      </c>
      <c r="Q328" s="10">
        <f>Daily_Data[[#This Row],[Total_Sales]]-Daily_Data[[#This Row],[Total_Daily_Expense]]</f>
        <v>-27.780784313725235</v>
      </c>
      <c r="R328" s="10">
        <f>Daily_Data[[#This Row],[Total_Sales]]/Daily_Data[[#This Row],[Rooms_Occupied]]</f>
        <v>1524</v>
      </c>
      <c r="S328" s="10">
        <f>Daily_Data[[#This Row],[Total_Sales]] / Daily_Data[[#This Row],[Max_rooms]]</f>
        <v>1088.5714285714287</v>
      </c>
    </row>
    <row r="329" spans="1:19" x14ac:dyDescent="0.25">
      <c r="A329" s="6">
        <v>45254</v>
      </c>
      <c r="B329" s="20">
        <f>DATE(YEAR(Daily_Data[[#This Row],[Date]]), MONTH(Daily_Data[[#This Row],[Date]]), 1)</f>
        <v>45231</v>
      </c>
      <c r="C329" s="20" t="str">
        <f>TEXT(Daily_Data[[#This Row],[Month_key]],"mmmm")</f>
        <v>November</v>
      </c>
      <c r="D329" s="20" t="str">
        <f>TEXT(Daily_Data[[#This Row],[Month_key]],"yyyy")</f>
        <v>2023</v>
      </c>
      <c r="E329" s="7">
        <v>12</v>
      </c>
      <c r="F329" s="7">
        <v>14</v>
      </c>
      <c r="G329" s="8">
        <f>Daily_Data[[#This Row],[Rooms_Occupied]]/F329</f>
        <v>0.8571428571428571</v>
      </c>
      <c r="H329" s="7">
        <v>1942</v>
      </c>
      <c r="I329" s="7">
        <f>Daily_Data[[#This Row],[Room_rate]]*Daily_Data[[#This Row],[Rooms_Occupied]]</f>
        <v>23304</v>
      </c>
      <c r="J329" s="10">
        <f>Daily_Data[[#This Row],[Total_Sales]] * 0.22</f>
        <v>5126.88</v>
      </c>
      <c r="K329" s="10">
        <f>INDEX(Expense_master[Monthly_Rent],MATCH(Daily_Data[[#This Row],[Month_key]],Expense_master[Month_Key],0)) / INDEX(Expense_master[Days_in_Month],MATCH(Daily_Data[[#This Row],[Month_key]],Expense_master[Month_Key],0))</f>
        <v>7000</v>
      </c>
      <c r="L329" s="10">
        <f>SUMIFS(Expense_master[Staff_Salary],Expense_master[Month_Key],Daily_Data[[#This Row],[Month_key]]) / SUMIFS(Expense_master[Days_in_Month],Expense_master[Month_Key],Daily_Data[[#This Row],[Month_key]])</f>
        <v>2333.3333333333335</v>
      </c>
      <c r="M329" s="10">
        <f>Daily_Data[[#This Row],[Rooms_Occupied]] * (SUMIFS(Expense_master[Housekeeping_Laundy],Expense_master[Month_Key],Daily_Data[[#This Row],[Month_key]]) / SUMIFS(Occupancy_table[Monthly_rooms_Occupied],Occupancy_table[Month_Key],Daily_Data[[#This Row],[Month_key]]))</f>
        <v>352.94117647058823</v>
      </c>
      <c r="N3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1805.518431372549</v>
      </c>
      <c r="O329" s="10">
        <f>SUMIFS(Expense_master[Monthly_Maintenance],Expense_master[Month_Key],Daily_Data[[#This Row],[Month_key]]) / SUMIFS(Expense_master[Days_in_Month],Expense_master[Month_Key], Daily_Data[[#This Row],[Month_key]])</f>
        <v>666.66666666666663</v>
      </c>
      <c r="P329" s="10">
        <f xml:space="preserve"> Daily_Data[[#This Row],[OTA Commision]] + Daily_Data[[#This Row],[Daily_Rent]]+Daily_Data[[#This Row],[Daily_Staff]]+Daily_Data[[#This Row],[Daily_HK]]+Daily_Data[[#This Row],[Daily_Electricity]] + Daily_Data[[#This Row],[Daily Maintenance]]</f>
        <v>17285.33960784314</v>
      </c>
      <c r="Q329" s="10">
        <f>Daily_Data[[#This Row],[Total_Sales]]-Daily_Data[[#This Row],[Total_Daily_Expense]]</f>
        <v>6018.6603921568603</v>
      </c>
      <c r="R329" s="10">
        <f>Daily_Data[[#This Row],[Total_Sales]]/Daily_Data[[#This Row],[Rooms_Occupied]]</f>
        <v>1942</v>
      </c>
      <c r="S329" s="10">
        <f>Daily_Data[[#This Row],[Total_Sales]] / Daily_Data[[#This Row],[Max_rooms]]</f>
        <v>1664.5714285714287</v>
      </c>
    </row>
    <row r="330" spans="1:19" x14ac:dyDescent="0.25">
      <c r="A330" s="6">
        <v>45255</v>
      </c>
      <c r="B330" s="20">
        <f>DATE(YEAR(Daily_Data[[#This Row],[Date]]), MONTH(Daily_Data[[#This Row],[Date]]), 1)</f>
        <v>45231</v>
      </c>
      <c r="C330" s="20" t="str">
        <f>TEXT(Daily_Data[[#This Row],[Month_key]],"mmmm")</f>
        <v>November</v>
      </c>
      <c r="D330" s="20" t="str">
        <f>TEXT(Daily_Data[[#This Row],[Month_key]],"yyyy")</f>
        <v>2023</v>
      </c>
      <c r="E330" s="7">
        <v>13</v>
      </c>
      <c r="F330" s="7">
        <v>14</v>
      </c>
      <c r="G330" s="8">
        <f>Daily_Data[[#This Row],[Rooms_Occupied]]/F330</f>
        <v>0.9285714285714286</v>
      </c>
      <c r="H330" s="7">
        <v>1298</v>
      </c>
      <c r="I330" s="7">
        <f>Daily_Data[[#This Row],[Room_rate]]*Daily_Data[[#This Row],[Rooms_Occupied]]</f>
        <v>16874</v>
      </c>
      <c r="J330" s="10">
        <f>Daily_Data[[#This Row],[Total_Sales]] * 0.22</f>
        <v>3712.28</v>
      </c>
      <c r="K330" s="10">
        <f>INDEX(Expense_master[Monthly_Rent],MATCH(Daily_Data[[#This Row],[Month_key]],Expense_master[Month_Key],0)) / INDEX(Expense_master[Days_in_Month],MATCH(Daily_Data[[#This Row],[Month_key]],Expense_master[Month_Key],0))</f>
        <v>7000</v>
      </c>
      <c r="L330" s="10">
        <f>SUMIFS(Expense_master[Staff_Salary],Expense_master[Month_Key],Daily_Data[[#This Row],[Month_key]]) / SUMIFS(Expense_master[Days_in_Month],Expense_master[Month_Key],Daily_Data[[#This Row],[Month_key]])</f>
        <v>2333.3333333333335</v>
      </c>
      <c r="M330" s="10">
        <f>Daily_Data[[#This Row],[Rooms_Occupied]] * (SUMIFS(Expense_master[Housekeeping_Laundy],Expense_master[Month_Key],Daily_Data[[#This Row],[Month_key]]) / SUMIFS(Occupancy_table[Monthly_rooms_Occupied],Occupancy_table[Month_Key],Daily_Data[[#This Row],[Month_key]]))</f>
        <v>382.35294117647055</v>
      </c>
      <c r="N3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1897.8460784313725</v>
      </c>
      <c r="O330" s="10">
        <f>SUMIFS(Expense_master[Monthly_Maintenance],Expense_master[Month_Key],Daily_Data[[#This Row],[Month_key]]) / SUMIFS(Expense_master[Days_in_Month],Expense_master[Month_Key], Daily_Data[[#This Row],[Month_key]])</f>
        <v>666.66666666666663</v>
      </c>
      <c r="P330" s="10">
        <f xml:space="preserve"> Daily_Data[[#This Row],[OTA Commision]] + Daily_Data[[#This Row],[Daily_Rent]]+Daily_Data[[#This Row],[Daily_Staff]]+Daily_Data[[#This Row],[Daily_HK]]+Daily_Data[[#This Row],[Daily_Electricity]] + Daily_Data[[#This Row],[Daily Maintenance]]</f>
        <v>15992.479019607843</v>
      </c>
      <c r="Q330" s="10">
        <f>Daily_Data[[#This Row],[Total_Sales]]-Daily_Data[[#This Row],[Total_Daily_Expense]]</f>
        <v>881.52098039215707</v>
      </c>
      <c r="R330" s="10">
        <f>Daily_Data[[#This Row],[Total_Sales]]/Daily_Data[[#This Row],[Rooms_Occupied]]</f>
        <v>1298</v>
      </c>
      <c r="S330" s="10">
        <f>Daily_Data[[#This Row],[Total_Sales]] / Daily_Data[[#This Row],[Max_rooms]]</f>
        <v>1205.2857142857142</v>
      </c>
    </row>
    <row r="331" spans="1:19" x14ac:dyDescent="0.25">
      <c r="A331" s="6">
        <v>45256</v>
      </c>
      <c r="B331" s="20">
        <f>DATE(YEAR(Daily_Data[[#This Row],[Date]]), MONTH(Daily_Data[[#This Row],[Date]]), 1)</f>
        <v>45231</v>
      </c>
      <c r="C331" s="20" t="str">
        <f>TEXT(Daily_Data[[#This Row],[Month_key]],"mmmm")</f>
        <v>November</v>
      </c>
      <c r="D331" s="20" t="str">
        <f>TEXT(Daily_Data[[#This Row],[Month_key]],"yyyy")</f>
        <v>2023</v>
      </c>
      <c r="E331" s="7">
        <v>12</v>
      </c>
      <c r="F331" s="7">
        <v>14</v>
      </c>
      <c r="G331" s="8">
        <f>Daily_Data[[#This Row],[Rooms_Occupied]]/F331</f>
        <v>0.8571428571428571</v>
      </c>
      <c r="H331" s="7">
        <v>1790</v>
      </c>
      <c r="I331" s="7">
        <f>Daily_Data[[#This Row],[Room_rate]]*Daily_Data[[#This Row],[Rooms_Occupied]]</f>
        <v>21480</v>
      </c>
      <c r="J331" s="10">
        <f>Daily_Data[[#This Row],[Total_Sales]] * 0.22</f>
        <v>4725.6000000000004</v>
      </c>
      <c r="K331" s="10">
        <f>INDEX(Expense_master[Monthly_Rent],MATCH(Daily_Data[[#This Row],[Month_key]],Expense_master[Month_Key],0)) / INDEX(Expense_master[Days_in_Month],MATCH(Daily_Data[[#This Row],[Month_key]],Expense_master[Month_Key],0))</f>
        <v>7000</v>
      </c>
      <c r="L331" s="10">
        <f>SUMIFS(Expense_master[Staff_Salary],Expense_master[Month_Key],Daily_Data[[#This Row],[Month_key]]) / SUMIFS(Expense_master[Days_in_Month],Expense_master[Month_Key],Daily_Data[[#This Row],[Month_key]])</f>
        <v>2333.3333333333335</v>
      </c>
      <c r="M331" s="10">
        <f>Daily_Data[[#This Row],[Rooms_Occupied]] * (SUMIFS(Expense_master[Housekeeping_Laundy],Expense_master[Month_Key],Daily_Data[[#This Row],[Month_key]]) / SUMIFS(Occupancy_table[Monthly_rooms_Occupied],Occupancy_table[Month_Key],Daily_Data[[#This Row],[Month_key]]))</f>
        <v>352.94117647058823</v>
      </c>
      <c r="N3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1805.518431372549</v>
      </c>
      <c r="O331" s="10">
        <f>SUMIFS(Expense_master[Monthly_Maintenance],Expense_master[Month_Key],Daily_Data[[#This Row],[Month_key]]) / SUMIFS(Expense_master[Days_in_Month],Expense_master[Month_Key], Daily_Data[[#This Row],[Month_key]])</f>
        <v>666.66666666666663</v>
      </c>
      <c r="P331" s="10">
        <f xml:space="preserve"> Daily_Data[[#This Row],[OTA Commision]] + Daily_Data[[#This Row],[Daily_Rent]]+Daily_Data[[#This Row],[Daily_Staff]]+Daily_Data[[#This Row],[Daily_HK]]+Daily_Data[[#This Row],[Daily_Electricity]] + Daily_Data[[#This Row],[Daily Maintenance]]</f>
        <v>16884.059607843137</v>
      </c>
      <c r="Q331" s="10">
        <f>Daily_Data[[#This Row],[Total_Sales]]-Daily_Data[[#This Row],[Total_Daily_Expense]]</f>
        <v>4595.9403921568628</v>
      </c>
      <c r="R331" s="10">
        <f>Daily_Data[[#This Row],[Total_Sales]]/Daily_Data[[#This Row],[Rooms_Occupied]]</f>
        <v>1790</v>
      </c>
      <c r="S331" s="10">
        <f>Daily_Data[[#This Row],[Total_Sales]] / Daily_Data[[#This Row],[Max_rooms]]</f>
        <v>1534.2857142857142</v>
      </c>
    </row>
    <row r="332" spans="1:19" x14ac:dyDescent="0.25">
      <c r="A332" s="6">
        <v>45257</v>
      </c>
      <c r="B332" s="20">
        <f>DATE(YEAR(Daily_Data[[#This Row],[Date]]), MONTH(Daily_Data[[#This Row],[Date]]), 1)</f>
        <v>45231</v>
      </c>
      <c r="C332" s="20" t="str">
        <f>TEXT(Daily_Data[[#This Row],[Month_key]],"mmmm")</f>
        <v>November</v>
      </c>
      <c r="D332" s="20" t="str">
        <f>TEXT(Daily_Data[[#This Row],[Month_key]],"yyyy")</f>
        <v>2023</v>
      </c>
      <c r="E332" s="7">
        <v>13</v>
      </c>
      <c r="F332" s="7">
        <v>14</v>
      </c>
      <c r="G332" s="8">
        <f>Daily_Data[[#This Row],[Rooms_Occupied]]/F332</f>
        <v>0.9285714285714286</v>
      </c>
      <c r="H332" s="7">
        <v>1479</v>
      </c>
      <c r="I332" s="7">
        <f>Daily_Data[[#This Row],[Room_rate]]*Daily_Data[[#This Row],[Rooms_Occupied]]</f>
        <v>19227</v>
      </c>
      <c r="J332" s="10">
        <f>Daily_Data[[#This Row],[Total_Sales]] * 0.22</f>
        <v>4229.9399999999996</v>
      </c>
      <c r="K332" s="10">
        <f>INDEX(Expense_master[Monthly_Rent],MATCH(Daily_Data[[#This Row],[Month_key]],Expense_master[Month_Key],0)) / INDEX(Expense_master[Days_in_Month],MATCH(Daily_Data[[#This Row],[Month_key]],Expense_master[Month_Key],0))</f>
        <v>7000</v>
      </c>
      <c r="L332" s="10">
        <f>SUMIFS(Expense_master[Staff_Salary],Expense_master[Month_Key],Daily_Data[[#This Row],[Month_key]]) / SUMIFS(Expense_master[Days_in_Month],Expense_master[Month_Key],Daily_Data[[#This Row],[Month_key]])</f>
        <v>2333.3333333333335</v>
      </c>
      <c r="M332" s="10">
        <f>Daily_Data[[#This Row],[Rooms_Occupied]] * (SUMIFS(Expense_master[Housekeeping_Laundy],Expense_master[Month_Key],Daily_Data[[#This Row],[Month_key]]) / SUMIFS(Occupancy_table[Monthly_rooms_Occupied],Occupancy_table[Month_Key],Daily_Data[[#This Row],[Month_key]]))</f>
        <v>382.35294117647055</v>
      </c>
      <c r="N3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1897.8460784313725</v>
      </c>
      <c r="O332" s="10">
        <f>SUMIFS(Expense_master[Monthly_Maintenance],Expense_master[Month_Key],Daily_Data[[#This Row],[Month_key]]) / SUMIFS(Expense_master[Days_in_Month],Expense_master[Month_Key], Daily_Data[[#This Row],[Month_key]])</f>
        <v>666.66666666666663</v>
      </c>
      <c r="P332" s="10">
        <f xml:space="preserve"> Daily_Data[[#This Row],[OTA Commision]] + Daily_Data[[#This Row],[Daily_Rent]]+Daily_Data[[#This Row],[Daily_Staff]]+Daily_Data[[#This Row],[Daily_HK]]+Daily_Data[[#This Row],[Daily_Electricity]] + Daily_Data[[#This Row],[Daily Maintenance]]</f>
        <v>16510.139019607843</v>
      </c>
      <c r="Q332" s="10">
        <f>Daily_Data[[#This Row],[Total_Sales]]-Daily_Data[[#This Row],[Total_Daily_Expense]]</f>
        <v>2716.8609803921572</v>
      </c>
      <c r="R332" s="10">
        <f>Daily_Data[[#This Row],[Total_Sales]]/Daily_Data[[#This Row],[Rooms_Occupied]]</f>
        <v>1479</v>
      </c>
      <c r="S332" s="10">
        <f>Daily_Data[[#This Row],[Total_Sales]] / Daily_Data[[#This Row],[Max_rooms]]</f>
        <v>1373.3571428571429</v>
      </c>
    </row>
    <row r="333" spans="1:19" x14ac:dyDescent="0.25">
      <c r="A333" s="6">
        <v>45258</v>
      </c>
      <c r="B333" s="20">
        <f>DATE(YEAR(Daily_Data[[#This Row],[Date]]), MONTH(Daily_Data[[#This Row],[Date]]), 1)</f>
        <v>45231</v>
      </c>
      <c r="C333" s="20" t="str">
        <f>TEXT(Daily_Data[[#This Row],[Month_key]],"mmmm")</f>
        <v>November</v>
      </c>
      <c r="D333" s="20" t="str">
        <f>TEXT(Daily_Data[[#This Row],[Month_key]],"yyyy")</f>
        <v>2023</v>
      </c>
      <c r="E333" s="7">
        <v>8</v>
      </c>
      <c r="F333" s="7">
        <v>14</v>
      </c>
      <c r="G333" s="8">
        <f>Daily_Data[[#This Row],[Rooms_Occupied]]/F333</f>
        <v>0.5714285714285714</v>
      </c>
      <c r="H333" s="7">
        <v>1038</v>
      </c>
      <c r="I333" s="7">
        <f>Daily_Data[[#This Row],[Room_rate]]*Daily_Data[[#This Row],[Rooms_Occupied]]</f>
        <v>8304</v>
      </c>
      <c r="J333" s="10">
        <f>Daily_Data[[#This Row],[Total_Sales]] * 0.22</f>
        <v>1826.88</v>
      </c>
      <c r="K333" s="10">
        <f>INDEX(Expense_master[Monthly_Rent],MATCH(Daily_Data[[#This Row],[Month_key]],Expense_master[Month_Key],0)) / INDEX(Expense_master[Days_in_Month],MATCH(Daily_Data[[#This Row],[Month_key]],Expense_master[Month_Key],0))</f>
        <v>7000</v>
      </c>
      <c r="L333" s="10">
        <f>SUMIFS(Expense_master[Staff_Salary],Expense_master[Month_Key],Daily_Data[[#This Row],[Month_key]]) / SUMIFS(Expense_master[Days_in_Month],Expense_master[Month_Key],Daily_Data[[#This Row],[Month_key]])</f>
        <v>2333.3333333333335</v>
      </c>
      <c r="M333" s="10">
        <f>Daily_Data[[#This Row],[Rooms_Occupied]] * (SUMIFS(Expense_master[Housekeeping_Laundy],Expense_master[Month_Key],Daily_Data[[#This Row],[Month_key]]) / SUMIFS(Occupancy_table[Monthly_rooms_Occupied],Occupancy_table[Month_Key],Daily_Data[[#This Row],[Month_key]]))</f>
        <v>235.29411764705881</v>
      </c>
      <c r="N3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1436.2078431372549</v>
      </c>
      <c r="O333" s="10">
        <f>SUMIFS(Expense_master[Monthly_Maintenance],Expense_master[Month_Key],Daily_Data[[#This Row],[Month_key]]) / SUMIFS(Expense_master[Days_in_Month],Expense_master[Month_Key], Daily_Data[[#This Row],[Month_key]])</f>
        <v>666.66666666666663</v>
      </c>
      <c r="P333" s="10">
        <f xml:space="preserve"> Daily_Data[[#This Row],[OTA Commision]] + Daily_Data[[#This Row],[Daily_Rent]]+Daily_Data[[#This Row],[Daily_Staff]]+Daily_Data[[#This Row],[Daily_HK]]+Daily_Data[[#This Row],[Daily_Electricity]] + Daily_Data[[#This Row],[Daily Maintenance]]</f>
        <v>13498.381960784316</v>
      </c>
      <c r="Q333" s="10">
        <f>Daily_Data[[#This Row],[Total_Sales]]-Daily_Data[[#This Row],[Total_Daily_Expense]]</f>
        <v>-5194.3819607843161</v>
      </c>
      <c r="R333" s="10">
        <f>Daily_Data[[#This Row],[Total_Sales]]/Daily_Data[[#This Row],[Rooms_Occupied]]</f>
        <v>1038</v>
      </c>
      <c r="S333" s="10">
        <f>Daily_Data[[#This Row],[Total_Sales]] / Daily_Data[[#This Row],[Max_rooms]]</f>
        <v>593.14285714285711</v>
      </c>
    </row>
    <row r="334" spans="1:19" x14ac:dyDescent="0.25">
      <c r="A334" s="6">
        <v>45259</v>
      </c>
      <c r="B334" s="20">
        <f>DATE(YEAR(Daily_Data[[#This Row],[Date]]), MONTH(Daily_Data[[#This Row],[Date]]), 1)</f>
        <v>45231</v>
      </c>
      <c r="C334" s="20" t="str">
        <f>TEXT(Daily_Data[[#This Row],[Month_key]],"mmmm")</f>
        <v>November</v>
      </c>
      <c r="D334" s="20" t="str">
        <f>TEXT(Daily_Data[[#This Row],[Month_key]],"yyyy")</f>
        <v>2023</v>
      </c>
      <c r="E334" s="7">
        <v>14</v>
      </c>
      <c r="F334" s="7">
        <v>14</v>
      </c>
      <c r="G334" s="8">
        <f>Daily_Data[[#This Row],[Rooms_Occupied]]/F334</f>
        <v>1</v>
      </c>
      <c r="H334" s="7">
        <v>1654</v>
      </c>
      <c r="I334" s="7">
        <f>Daily_Data[[#This Row],[Room_rate]]*Daily_Data[[#This Row],[Rooms_Occupied]]</f>
        <v>23156</v>
      </c>
      <c r="J334" s="10">
        <f>Daily_Data[[#This Row],[Total_Sales]] * 0.22</f>
        <v>5094.32</v>
      </c>
      <c r="K334" s="10">
        <f>INDEX(Expense_master[Monthly_Rent],MATCH(Daily_Data[[#This Row],[Month_key]],Expense_master[Month_Key],0)) / INDEX(Expense_master[Days_in_Month],MATCH(Daily_Data[[#This Row],[Month_key]],Expense_master[Month_Key],0))</f>
        <v>7000</v>
      </c>
      <c r="L334" s="10">
        <f>SUMIFS(Expense_master[Staff_Salary],Expense_master[Month_Key],Daily_Data[[#This Row],[Month_key]]) / SUMIFS(Expense_master[Days_in_Month],Expense_master[Month_Key],Daily_Data[[#This Row],[Month_key]])</f>
        <v>2333.3333333333335</v>
      </c>
      <c r="M334" s="10">
        <f>Daily_Data[[#This Row],[Rooms_Occupied]] * (SUMIFS(Expense_master[Housekeeping_Laundy],Expense_master[Month_Key],Daily_Data[[#This Row],[Month_key]]) / SUMIFS(Occupancy_table[Monthly_rooms_Occupied],Occupancy_table[Month_Key],Daily_Data[[#This Row],[Month_key]]))</f>
        <v>411.76470588235293</v>
      </c>
      <c r="N3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1990.1737254901959</v>
      </c>
      <c r="O334" s="10">
        <f>SUMIFS(Expense_master[Monthly_Maintenance],Expense_master[Month_Key],Daily_Data[[#This Row],[Month_key]]) / SUMIFS(Expense_master[Days_in_Month],Expense_master[Month_Key], Daily_Data[[#This Row],[Month_key]])</f>
        <v>666.66666666666663</v>
      </c>
      <c r="P334" s="10">
        <f xml:space="preserve"> Daily_Data[[#This Row],[OTA Commision]] + Daily_Data[[#This Row],[Daily_Rent]]+Daily_Data[[#This Row],[Daily_Staff]]+Daily_Data[[#This Row],[Daily_HK]]+Daily_Data[[#This Row],[Daily_Electricity]] + Daily_Data[[#This Row],[Daily Maintenance]]</f>
        <v>17496.258431372549</v>
      </c>
      <c r="Q334" s="10">
        <f>Daily_Data[[#This Row],[Total_Sales]]-Daily_Data[[#This Row],[Total_Daily_Expense]]</f>
        <v>5659.7415686274508</v>
      </c>
      <c r="R334" s="10">
        <f>Daily_Data[[#This Row],[Total_Sales]]/Daily_Data[[#This Row],[Rooms_Occupied]]</f>
        <v>1654</v>
      </c>
      <c r="S334" s="10">
        <f>Daily_Data[[#This Row],[Total_Sales]] / Daily_Data[[#This Row],[Max_rooms]]</f>
        <v>1654</v>
      </c>
    </row>
    <row r="335" spans="1:19" x14ac:dyDescent="0.25">
      <c r="A335" s="6">
        <v>45260</v>
      </c>
      <c r="B335" s="20">
        <f>DATE(YEAR(Daily_Data[[#This Row],[Date]]), MONTH(Daily_Data[[#This Row],[Date]]), 1)</f>
        <v>45231</v>
      </c>
      <c r="C335" s="20" t="str">
        <f>TEXT(Daily_Data[[#This Row],[Month_key]],"mmmm")</f>
        <v>November</v>
      </c>
      <c r="D335" s="20" t="str">
        <f>TEXT(Daily_Data[[#This Row],[Month_key]],"yyyy")</f>
        <v>2023</v>
      </c>
      <c r="E335" s="7">
        <v>10</v>
      </c>
      <c r="F335" s="7">
        <v>14</v>
      </c>
      <c r="G335" s="8">
        <f>Daily_Data[[#This Row],[Rooms_Occupied]]/F335</f>
        <v>0.7142857142857143</v>
      </c>
      <c r="H335" s="7">
        <v>1759</v>
      </c>
      <c r="I335" s="7">
        <f>Daily_Data[[#This Row],[Room_rate]]*Daily_Data[[#This Row],[Rooms_Occupied]]</f>
        <v>17590</v>
      </c>
      <c r="J335" s="10">
        <f>Daily_Data[[#This Row],[Total_Sales]] * 0.22</f>
        <v>3869.8</v>
      </c>
      <c r="K335" s="10">
        <f>INDEX(Expense_master[Monthly_Rent],MATCH(Daily_Data[[#This Row],[Month_key]],Expense_master[Month_Key],0)) / INDEX(Expense_master[Days_in_Month],MATCH(Daily_Data[[#This Row],[Month_key]],Expense_master[Month_Key],0))</f>
        <v>7000</v>
      </c>
      <c r="L335" s="10">
        <f>SUMIFS(Expense_master[Staff_Salary],Expense_master[Month_Key],Daily_Data[[#This Row],[Month_key]]) / SUMIFS(Expense_master[Days_in_Month],Expense_master[Month_Key],Daily_Data[[#This Row],[Month_key]])</f>
        <v>2333.3333333333335</v>
      </c>
      <c r="M335" s="10">
        <f>Daily_Data[[#This Row],[Rooms_Occupied]] * (SUMIFS(Expense_master[Housekeeping_Laundy],Expense_master[Month_Key],Daily_Data[[#This Row],[Month_key]]) / SUMIFS(Occupancy_table[Monthly_rooms_Occupied],Occupancy_table[Month_Key],Daily_Data[[#This Row],[Month_key]]))</f>
        <v>294.11764705882354</v>
      </c>
      <c r="N3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1620.8631372549021</v>
      </c>
      <c r="O335" s="10">
        <f>SUMIFS(Expense_master[Monthly_Maintenance],Expense_master[Month_Key],Daily_Data[[#This Row],[Month_key]]) / SUMIFS(Expense_master[Days_in_Month],Expense_master[Month_Key], Daily_Data[[#This Row],[Month_key]])</f>
        <v>666.66666666666663</v>
      </c>
      <c r="P335" s="10">
        <f xml:space="preserve"> Daily_Data[[#This Row],[OTA Commision]] + Daily_Data[[#This Row],[Daily_Rent]]+Daily_Data[[#This Row],[Daily_Staff]]+Daily_Data[[#This Row],[Daily_HK]]+Daily_Data[[#This Row],[Daily_Electricity]] + Daily_Data[[#This Row],[Daily Maintenance]]</f>
        <v>15784.780784313725</v>
      </c>
      <c r="Q335" s="10">
        <f>Daily_Data[[#This Row],[Total_Sales]]-Daily_Data[[#This Row],[Total_Daily_Expense]]</f>
        <v>1805.2192156862748</v>
      </c>
      <c r="R335" s="10">
        <f>Daily_Data[[#This Row],[Total_Sales]]/Daily_Data[[#This Row],[Rooms_Occupied]]</f>
        <v>1759</v>
      </c>
      <c r="S335" s="10">
        <f>Daily_Data[[#This Row],[Total_Sales]] / Daily_Data[[#This Row],[Max_rooms]]</f>
        <v>1256.4285714285713</v>
      </c>
    </row>
    <row r="336" spans="1:19" x14ac:dyDescent="0.25">
      <c r="A336" s="6">
        <v>45261</v>
      </c>
      <c r="B336" s="20">
        <f>DATE(YEAR(Daily_Data[[#This Row],[Date]]), MONTH(Daily_Data[[#This Row],[Date]]), 1)</f>
        <v>45261</v>
      </c>
      <c r="C336" s="20" t="str">
        <f>TEXT(Daily_Data[[#This Row],[Month_key]],"mmmm")</f>
        <v>December</v>
      </c>
      <c r="D336" s="20" t="str">
        <f>TEXT(Daily_Data[[#This Row],[Month_key]],"yyyy")</f>
        <v>2023</v>
      </c>
      <c r="E336" s="7">
        <v>9</v>
      </c>
      <c r="F336" s="7">
        <v>14</v>
      </c>
      <c r="G336" s="8">
        <f>Daily_Data[[#This Row],[Rooms_Occupied]]/F336</f>
        <v>0.6428571428571429</v>
      </c>
      <c r="H336" s="7">
        <v>1720</v>
      </c>
      <c r="I336" s="7">
        <f>Daily_Data[[#This Row],[Room_rate]]*Daily_Data[[#This Row],[Rooms_Occupied]]</f>
        <v>15480</v>
      </c>
      <c r="J336" s="10">
        <f>Daily_Data[[#This Row],[Total_Sales]] * 0.22</f>
        <v>3405.6</v>
      </c>
      <c r="K336" s="10">
        <f>INDEX(Expense_master[Monthly_Rent],MATCH(Daily_Data[[#This Row],[Month_key]],Expense_master[Month_Key],0)) / INDEX(Expense_master[Days_in_Month],MATCH(Daily_Data[[#This Row],[Month_key]],Expense_master[Month_Key],0))</f>
        <v>6774.1935483870966</v>
      </c>
      <c r="L336" s="10">
        <f>SUMIFS(Expense_master[Staff_Salary],Expense_master[Month_Key],Daily_Data[[#This Row],[Month_key]]) / SUMIFS(Expense_master[Days_in_Month],Expense_master[Month_Key],Daily_Data[[#This Row],[Month_key]])</f>
        <v>2258.0645161290322</v>
      </c>
      <c r="M336" s="10">
        <f>Daily_Data[[#This Row],[Rooms_Occupied]] * (SUMIFS(Expense_master[Housekeeping_Laundy],Expense_master[Month_Key],Daily_Data[[#This Row],[Month_key]]) / SUMIFS(Occupancy_table[Monthly_rooms_Occupied],Occupancy_table[Month_Key],Daily_Data[[#This Row],[Month_key]]))</f>
        <v>270.27027027027026</v>
      </c>
      <c r="N3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1454.1958151700087</v>
      </c>
      <c r="O336" s="10">
        <f>SUMIFS(Expense_master[Monthly_Maintenance],Expense_master[Month_Key],Daily_Data[[#This Row],[Month_key]]) / SUMIFS(Expense_master[Days_in_Month],Expense_master[Month_Key], Daily_Data[[#This Row],[Month_key]])</f>
        <v>645.16129032258061</v>
      </c>
      <c r="P336" s="10">
        <f xml:space="preserve"> Daily_Data[[#This Row],[OTA Commision]] + Daily_Data[[#This Row],[Daily_Rent]]+Daily_Data[[#This Row],[Daily_Staff]]+Daily_Data[[#This Row],[Daily_HK]]+Daily_Data[[#This Row],[Daily_Electricity]] + Daily_Data[[#This Row],[Daily Maintenance]]</f>
        <v>14807.48544027899</v>
      </c>
      <c r="Q336" s="10">
        <f>Daily_Data[[#This Row],[Total_Sales]]-Daily_Data[[#This Row],[Total_Daily_Expense]]</f>
        <v>672.5145597210103</v>
      </c>
      <c r="R336" s="10">
        <f>Daily_Data[[#This Row],[Total_Sales]]/Daily_Data[[#This Row],[Rooms_Occupied]]</f>
        <v>1720</v>
      </c>
      <c r="S336" s="10">
        <f>Daily_Data[[#This Row],[Total_Sales]] / Daily_Data[[#This Row],[Max_rooms]]</f>
        <v>1105.7142857142858</v>
      </c>
    </row>
    <row r="337" spans="1:19" x14ac:dyDescent="0.25">
      <c r="A337" s="6">
        <v>45262</v>
      </c>
      <c r="B337" s="20">
        <f>DATE(YEAR(Daily_Data[[#This Row],[Date]]), MONTH(Daily_Data[[#This Row],[Date]]), 1)</f>
        <v>45261</v>
      </c>
      <c r="C337" s="20" t="str">
        <f>TEXT(Daily_Data[[#This Row],[Month_key]],"mmmm")</f>
        <v>December</v>
      </c>
      <c r="D337" s="20" t="str">
        <f>TEXT(Daily_Data[[#This Row],[Month_key]],"yyyy")</f>
        <v>2023</v>
      </c>
      <c r="E337" s="7">
        <v>14</v>
      </c>
      <c r="F337" s="7">
        <v>14</v>
      </c>
      <c r="G337" s="8">
        <f>Daily_Data[[#This Row],[Rooms_Occupied]]/F337</f>
        <v>1</v>
      </c>
      <c r="H337" s="7">
        <v>1056</v>
      </c>
      <c r="I337" s="7">
        <f>Daily_Data[[#This Row],[Room_rate]]*Daily_Data[[#This Row],[Rooms_Occupied]]</f>
        <v>14784</v>
      </c>
      <c r="J337" s="10">
        <f>Daily_Data[[#This Row],[Total_Sales]] * 0.22</f>
        <v>3252.48</v>
      </c>
      <c r="K337" s="10">
        <f>INDEX(Expense_master[Monthly_Rent],MATCH(Daily_Data[[#This Row],[Month_key]],Expense_master[Month_Key],0)) / INDEX(Expense_master[Days_in_Month],MATCH(Daily_Data[[#This Row],[Month_key]],Expense_master[Month_Key],0))</f>
        <v>6774.1935483870966</v>
      </c>
      <c r="L337" s="10">
        <f>SUMIFS(Expense_master[Staff_Salary],Expense_master[Month_Key],Daily_Data[[#This Row],[Month_key]]) / SUMIFS(Expense_master[Days_in_Month],Expense_master[Month_Key],Daily_Data[[#This Row],[Month_key]])</f>
        <v>2258.0645161290322</v>
      </c>
      <c r="M337" s="10">
        <f>Daily_Data[[#This Row],[Rooms_Occupied]] * (SUMIFS(Expense_master[Housekeeping_Laundy],Expense_master[Month_Key],Daily_Data[[#This Row],[Month_key]]) / SUMIFS(Occupancy_table[Monthly_rooms_Occupied],Occupancy_table[Month_Key],Daily_Data[[#This Row],[Month_key]]))</f>
        <v>420.42042042042044</v>
      </c>
      <c r="N3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1904.0967160709097</v>
      </c>
      <c r="O337" s="10">
        <f>SUMIFS(Expense_master[Monthly_Maintenance],Expense_master[Month_Key],Daily_Data[[#This Row],[Month_key]]) / SUMIFS(Expense_master[Days_in_Month],Expense_master[Month_Key], Daily_Data[[#This Row],[Month_key]])</f>
        <v>645.16129032258061</v>
      </c>
      <c r="P337" s="10">
        <f xml:space="preserve"> Daily_Data[[#This Row],[OTA Commision]] + Daily_Data[[#This Row],[Daily_Rent]]+Daily_Data[[#This Row],[Daily_Staff]]+Daily_Data[[#This Row],[Daily_HK]]+Daily_Data[[#This Row],[Daily_Electricity]] + Daily_Data[[#This Row],[Daily Maintenance]]</f>
        <v>15254.416491330039</v>
      </c>
      <c r="Q337" s="10">
        <f>Daily_Data[[#This Row],[Total_Sales]]-Daily_Data[[#This Row],[Total_Daily_Expense]]</f>
        <v>-470.41649133003921</v>
      </c>
      <c r="R337" s="10">
        <f>Daily_Data[[#This Row],[Total_Sales]]/Daily_Data[[#This Row],[Rooms_Occupied]]</f>
        <v>1056</v>
      </c>
      <c r="S337" s="10">
        <f>Daily_Data[[#This Row],[Total_Sales]] / Daily_Data[[#This Row],[Max_rooms]]</f>
        <v>1056</v>
      </c>
    </row>
    <row r="338" spans="1:19" x14ac:dyDescent="0.25">
      <c r="A338" s="6">
        <v>45263</v>
      </c>
      <c r="B338" s="20">
        <f>DATE(YEAR(Daily_Data[[#This Row],[Date]]), MONTH(Daily_Data[[#This Row],[Date]]), 1)</f>
        <v>45261</v>
      </c>
      <c r="C338" s="20" t="str">
        <f>TEXT(Daily_Data[[#This Row],[Month_key]],"mmmm")</f>
        <v>December</v>
      </c>
      <c r="D338" s="20" t="str">
        <f>TEXT(Daily_Data[[#This Row],[Month_key]],"yyyy")</f>
        <v>2023</v>
      </c>
      <c r="E338" s="7">
        <v>9</v>
      </c>
      <c r="F338" s="7">
        <v>14</v>
      </c>
      <c r="G338" s="8">
        <f>Daily_Data[[#This Row],[Rooms_Occupied]]/F338</f>
        <v>0.6428571428571429</v>
      </c>
      <c r="H338" s="7">
        <v>1853</v>
      </c>
      <c r="I338" s="7">
        <f>Daily_Data[[#This Row],[Room_rate]]*Daily_Data[[#This Row],[Rooms_Occupied]]</f>
        <v>16677</v>
      </c>
      <c r="J338" s="10">
        <f>Daily_Data[[#This Row],[Total_Sales]] * 0.22</f>
        <v>3668.94</v>
      </c>
      <c r="K338" s="10">
        <f>INDEX(Expense_master[Monthly_Rent],MATCH(Daily_Data[[#This Row],[Month_key]],Expense_master[Month_Key],0)) / INDEX(Expense_master[Days_in_Month],MATCH(Daily_Data[[#This Row],[Month_key]],Expense_master[Month_Key],0))</f>
        <v>6774.1935483870966</v>
      </c>
      <c r="L338" s="10">
        <f>SUMIFS(Expense_master[Staff_Salary],Expense_master[Month_Key],Daily_Data[[#This Row],[Month_key]]) / SUMIFS(Expense_master[Days_in_Month],Expense_master[Month_Key],Daily_Data[[#This Row],[Month_key]])</f>
        <v>2258.0645161290322</v>
      </c>
      <c r="M338" s="10">
        <f>Daily_Data[[#This Row],[Rooms_Occupied]] * (SUMIFS(Expense_master[Housekeeping_Laundy],Expense_master[Month_Key],Daily_Data[[#This Row],[Month_key]]) / SUMIFS(Occupancy_table[Monthly_rooms_Occupied],Occupancy_table[Month_Key],Daily_Data[[#This Row],[Month_key]]))</f>
        <v>270.27027027027026</v>
      </c>
      <c r="N3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1454.1958151700087</v>
      </c>
      <c r="O338" s="10">
        <f>SUMIFS(Expense_master[Monthly_Maintenance],Expense_master[Month_Key],Daily_Data[[#This Row],[Month_key]]) / SUMIFS(Expense_master[Days_in_Month],Expense_master[Month_Key], Daily_Data[[#This Row],[Month_key]])</f>
        <v>645.16129032258061</v>
      </c>
      <c r="P338" s="10">
        <f xml:space="preserve"> Daily_Data[[#This Row],[OTA Commision]] + Daily_Data[[#This Row],[Daily_Rent]]+Daily_Data[[#This Row],[Daily_Staff]]+Daily_Data[[#This Row],[Daily_HK]]+Daily_Data[[#This Row],[Daily_Electricity]] + Daily_Data[[#This Row],[Daily Maintenance]]</f>
        <v>15070.82544027899</v>
      </c>
      <c r="Q338" s="10">
        <f>Daily_Data[[#This Row],[Total_Sales]]-Daily_Data[[#This Row],[Total_Daily_Expense]]</f>
        <v>1606.1745597210102</v>
      </c>
      <c r="R338" s="10">
        <f>Daily_Data[[#This Row],[Total_Sales]]/Daily_Data[[#This Row],[Rooms_Occupied]]</f>
        <v>1853</v>
      </c>
      <c r="S338" s="10">
        <f>Daily_Data[[#This Row],[Total_Sales]] / Daily_Data[[#This Row],[Max_rooms]]</f>
        <v>1191.2142857142858</v>
      </c>
    </row>
    <row r="339" spans="1:19" x14ac:dyDescent="0.25">
      <c r="A339" s="6">
        <v>45264</v>
      </c>
      <c r="B339" s="20">
        <f>DATE(YEAR(Daily_Data[[#This Row],[Date]]), MONTH(Daily_Data[[#This Row],[Date]]), 1)</f>
        <v>45261</v>
      </c>
      <c r="C339" s="20" t="str">
        <f>TEXT(Daily_Data[[#This Row],[Month_key]],"mmmm")</f>
        <v>December</v>
      </c>
      <c r="D339" s="20" t="str">
        <f>TEXT(Daily_Data[[#This Row],[Month_key]],"yyyy")</f>
        <v>2023</v>
      </c>
      <c r="E339" s="7">
        <v>13</v>
      </c>
      <c r="F339" s="7">
        <v>14</v>
      </c>
      <c r="G339" s="8">
        <f>Daily_Data[[#This Row],[Rooms_Occupied]]/F339</f>
        <v>0.9285714285714286</v>
      </c>
      <c r="H339" s="7">
        <v>1324</v>
      </c>
      <c r="I339" s="7">
        <f>Daily_Data[[#This Row],[Room_rate]]*Daily_Data[[#This Row],[Rooms_Occupied]]</f>
        <v>17212</v>
      </c>
      <c r="J339" s="10">
        <f>Daily_Data[[#This Row],[Total_Sales]] * 0.22</f>
        <v>3786.64</v>
      </c>
      <c r="K339" s="10">
        <f>INDEX(Expense_master[Monthly_Rent],MATCH(Daily_Data[[#This Row],[Month_key]],Expense_master[Month_Key],0)) / INDEX(Expense_master[Days_in_Month],MATCH(Daily_Data[[#This Row],[Month_key]],Expense_master[Month_Key],0))</f>
        <v>6774.1935483870966</v>
      </c>
      <c r="L339" s="10">
        <f>SUMIFS(Expense_master[Staff_Salary],Expense_master[Month_Key],Daily_Data[[#This Row],[Month_key]]) / SUMIFS(Expense_master[Days_in_Month],Expense_master[Month_Key],Daily_Data[[#This Row],[Month_key]])</f>
        <v>2258.0645161290322</v>
      </c>
      <c r="M339" s="10">
        <f>Daily_Data[[#This Row],[Rooms_Occupied]] * (SUMIFS(Expense_master[Housekeeping_Laundy],Expense_master[Month_Key],Daily_Data[[#This Row],[Month_key]]) / SUMIFS(Occupancy_table[Monthly_rooms_Occupied],Occupancy_table[Month_Key],Daily_Data[[#This Row],[Month_key]]))</f>
        <v>390.39039039039039</v>
      </c>
      <c r="N3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1814.1165358907294</v>
      </c>
      <c r="O339" s="10">
        <f>SUMIFS(Expense_master[Monthly_Maintenance],Expense_master[Month_Key],Daily_Data[[#This Row],[Month_key]]) / SUMIFS(Expense_master[Days_in_Month],Expense_master[Month_Key], Daily_Data[[#This Row],[Month_key]])</f>
        <v>645.16129032258061</v>
      </c>
      <c r="P339" s="10">
        <f xml:space="preserve"> Daily_Data[[#This Row],[OTA Commision]] + Daily_Data[[#This Row],[Daily_Rent]]+Daily_Data[[#This Row],[Daily_Staff]]+Daily_Data[[#This Row],[Daily_HK]]+Daily_Data[[#This Row],[Daily_Electricity]] + Daily_Data[[#This Row],[Daily Maintenance]]</f>
        <v>15668.566281119829</v>
      </c>
      <c r="Q339" s="10">
        <f>Daily_Data[[#This Row],[Total_Sales]]-Daily_Data[[#This Row],[Total_Daily_Expense]]</f>
        <v>1543.433718880171</v>
      </c>
      <c r="R339" s="10">
        <f>Daily_Data[[#This Row],[Total_Sales]]/Daily_Data[[#This Row],[Rooms_Occupied]]</f>
        <v>1324</v>
      </c>
      <c r="S339" s="10">
        <f>Daily_Data[[#This Row],[Total_Sales]] / Daily_Data[[#This Row],[Max_rooms]]</f>
        <v>1229.4285714285713</v>
      </c>
    </row>
    <row r="340" spans="1:19" x14ac:dyDescent="0.25">
      <c r="A340" s="6">
        <v>45265</v>
      </c>
      <c r="B340" s="20">
        <f>DATE(YEAR(Daily_Data[[#This Row],[Date]]), MONTH(Daily_Data[[#This Row],[Date]]), 1)</f>
        <v>45261</v>
      </c>
      <c r="C340" s="20" t="str">
        <f>TEXT(Daily_Data[[#This Row],[Month_key]],"mmmm")</f>
        <v>December</v>
      </c>
      <c r="D340" s="20" t="str">
        <f>TEXT(Daily_Data[[#This Row],[Month_key]],"yyyy")</f>
        <v>2023</v>
      </c>
      <c r="E340" s="7">
        <v>12</v>
      </c>
      <c r="F340" s="7">
        <v>14</v>
      </c>
      <c r="G340" s="8">
        <f>Daily_Data[[#This Row],[Rooms_Occupied]]/F340</f>
        <v>0.8571428571428571</v>
      </c>
      <c r="H340" s="7">
        <v>1419</v>
      </c>
      <c r="I340" s="7">
        <f>Daily_Data[[#This Row],[Room_rate]]*Daily_Data[[#This Row],[Rooms_Occupied]]</f>
        <v>17028</v>
      </c>
      <c r="J340" s="10">
        <f>Daily_Data[[#This Row],[Total_Sales]] * 0.22</f>
        <v>3746.16</v>
      </c>
      <c r="K340" s="10">
        <f>INDEX(Expense_master[Monthly_Rent],MATCH(Daily_Data[[#This Row],[Month_key]],Expense_master[Month_Key],0)) / INDEX(Expense_master[Days_in_Month],MATCH(Daily_Data[[#This Row],[Month_key]],Expense_master[Month_Key],0))</f>
        <v>6774.1935483870966</v>
      </c>
      <c r="L340" s="10">
        <f>SUMIFS(Expense_master[Staff_Salary],Expense_master[Month_Key],Daily_Data[[#This Row],[Month_key]]) / SUMIFS(Expense_master[Days_in_Month],Expense_master[Month_Key],Daily_Data[[#This Row],[Month_key]])</f>
        <v>2258.0645161290322</v>
      </c>
      <c r="M340" s="10">
        <f>Daily_Data[[#This Row],[Rooms_Occupied]] * (SUMIFS(Expense_master[Housekeeping_Laundy],Expense_master[Month_Key],Daily_Data[[#This Row],[Month_key]]) / SUMIFS(Occupancy_table[Monthly_rooms_Occupied],Occupancy_table[Month_Key],Daily_Data[[#This Row],[Month_key]]))</f>
        <v>360.36036036036035</v>
      </c>
      <c r="N3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1724.1363557105492</v>
      </c>
      <c r="O340" s="10">
        <f>SUMIFS(Expense_master[Monthly_Maintenance],Expense_master[Month_Key],Daily_Data[[#This Row],[Month_key]]) / SUMIFS(Expense_master[Days_in_Month],Expense_master[Month_Key], Daily_Data[[#This Row],[Month_key]])</f>
        <v>645.16129032258061</v>
      </c>
      <c r="P340" s="10">
        <f xml:space="preserve"> Daily_Data[[#This Row],[OTA Commision]] + Daily_Data[[#This Row],[Daily_Rent]]+Daily_Data[[#This Row],[Daily_Staff]]+Daily_Data[[#This Row],[Daily_HK]]+Daily_Data[[#This Row],[Daily_Electricity]] + Daily_Data[[#This Row],[Daily Maintenance]]</f>
        <v>15508.076070909619</v>
      </c>
      <c r="Q340" s="10">
        <f>Daily_Data[[#This Row],[Total_Sales]]-Daily_Data[[#This Row],[Total_Daily_Expense]]</f>
        <v>1519.9239290903806</v>
      </c>
      <c r="R340" s="10">
        <f>Daily_Data[[#This Row],[Total_Sales]]/Daily_Data[[#This Row],[Rooms_Occupied]]</f>
        <v>1419</v>
      </c>
      <c r="S340" s="10">
        <f>Daily_Data[[#This Row],[Total_Sales]] / Daily_Data[[#This Row],[Max_rooms]]</f>
        <v>1216.2857142857142</v>
      </c>
    </row>
    <row r="341" spans="1:19" x14ac:dyDescent="0.25">
      <c r="A341" s="6">
        <v>45266</v>
      </c>
      <c r="B341" s="20">
        <f>DATE(YEAR(Daily_Data[[#This Row],[Date]]), MONTH(Daily_Data[[#This Row],[Date]]), 1)</f>
        <v>45261</v>
      </c>
      <c r="C341" s="20" t="str">
        <f>TEXT(Daily_Data[[#This Row],[Month_key]],"mmmm")</f>
        <v>December</v>
      </c>
      <c r="D341" s="20" t="str">
        <f>TEXT(Daily_Data[[#This Row],[Month_key]],"yyyy")</f>
        <v>2023</v>
      </c>
      <c r="E341" s="7">
        <v>8</v>
      </c>
      <c r="F341" s="7">
        <v>14</v>
      </c>
      <c r="G341" s="8">
        <f>Daily_Data[[#This Row],[Rooms_Occupied]]/F341</f>
        <v>0.5714285714285714</v>
      </c>
      <c r="H341" s="7">
        <v>1209</v>
      </c>
      <c r="I341" s="7">
        <f>Daily_Data[[#This Row],[Room_rate]]*Daily_Data[[#This Row],[Rooms_Occupied]]</f>
        <v>9672</v>
      </c>
      <c r="J341" s="10">
        <f>Daily_Data[[#This Row],[Total_Sales]] * 0.22</f>
        <v>2127.84</v>
      </c>
      <c r="K341" s="10">
        <f>INDEX(Expense_master[Monthly_Rent],MATCH(Daily_Data[[#This Row],[Month_key]],Expense_master[Month_Key],0)) / INDEX(Expense_master[Days_in_Month],MATCH(Daily_Data[[#This Row],[Month_key]],Expense_master[Month_Key],0))</f>
        <v>6774.1935483870966</v>
      </c>
      <c r="L341" s="10">
        <f>SUMIFS(Expense_master[Staff_Salary],Expense_master[Month_Key],Daily_Data[[#This Row],[Month_key]]) / SUMIFS(Expense_master[Days_in_Month],Expense_master[Month_Key],Daily_Data[[#This Row],[Month_key]])</f>
        <v>2258.0645161290322</v>
      </c>
      <c r="M341" s="10">
        <f>Daily_Data[[#This Row],[Rooms_Occupied]] * (SUMIFS(Expense_master[Housekeeping_Laundy],Expense_master[Month_Key],Daily_Data[[#This Row],[Month_key]]) / SUMIFS(Occupancy_table[Monthly_rooms_Occupied],Occupancy_table[Month_Key],Daily_Data[[#This Row],[Month_key]]))</f>
        <v>240.24024024024024</v>
      </c>
      <c r="N3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41" s="10">
        <f>SUMIFS(Expense_master[Monthly_Maintenance],Expense_master[Month_Key],Daily_Data[[#This Row],[Month_key]]) / SUMIFS(Expense_master[Days_in_Month],Expense_master[Month_Key], Daily_Data[[#This Row],[Month_key]])</f>
        <v>645.16129032258061</v>
      </c>
      <c r="P341" s="10">
        <f xml:space="preserve"> Daily_Data[[#This Row],[OTA Commision]] + Daily_Data[[#This Row],[Daily_Rent]]+Daily_Data[[#This Row],[Daily_Staff]]+Daily_Data[[#This Row],[Daily_HK]]+Daily_Data[[#This Row],[Daily_Electricity]] + Daily_Data[[#This Row],[Daily Maintenance]]</f>
        <v>13409.715230068779</v>
      </c>
      <c r="Q341" s="10">
        <f>Daily_Data[[#This Row],[Total_Sales]]-Daily_Data[[#This Row],[Total_Daily_Expense]]</f>
        <v>-3737.7152300687794</v>
      </c>
      <c r="R341" s="10">
        <f>Daily_Data[[#This Row],[Total_Sales]]/Daily_Data[[#This Row],[Rooms_Occupied]]</f>
        <v>1209</v>
      </c>
      <c r="S341" s="10">
        <f>Daily_Data[[#This Row],[Total_Sales]] / Daily_Data[[#This Row],[Max_rooms]]</f>
        <v>690.85714285714289</v>
      </c>
    </row>
    <row r="342" spans="1:19" x14ac:dyDescent="0.25">
      <c r="A342" s="6">
        <v>45267</v>
      </c>
      <c r="B342" s="20">
        <f>DATE(YEAR(Daily_Data[[#This Row],[Date]]), MONTH(Daily_Data[[#This Row],[Date]]), 1)</f>
        <v>45261</v>
      </c>
      <c r="C342" s="20" t="str">
        <f>TEXT(Daily_Data[[#This Row],[Month_key]],"mmmm")</f>
        <v>December</v>
      </c>
      <c r="D342" s="20" t="str">
        <f>TEXT(Daily_Data[[#This Row],[Month_key]],"yyyy")</f>
        <v>2023</v>
      </c>
      <c r="E342" s="7">
        <v>8</v>
      </c>
      <c r="F342" s="7">
        <v>14</v>
      </c>
      <c r="G342" s="8">
        <f>Daily_Data[[#This Row],[Rooms_Occupied]]/F342</f>
        <v>0.5714285714285714</v>
      </c>
      <c r="H342" s="7">
        <v>1622</v>
      </c>
      <c r="I342" s="7">
        <f>Daily_Data[[#This Row],[Room_rate]]*Daily_Data[[#This Row],[Rooms_Occupied]]</f>
        <v>12976</v>
      </c>
      <c r="J342" s="10">
        <f>Daily_Data[[#This Row],[Total_Sales]] * 0.22</f>
        <v>2854.72</v>
      </c>
      <c r="K342" s="10">
        <f>INDEX(Expense_master[Monthly_Rent],MATCH(Daily_Data[[#This Row],[Month_key]],Expense_master[Month_Key],0)) / INDEX(Expense_master[Days_in_Month],MATCH(Daily_Data[[#This Row],[Month_key]],Expense_master[Month_Key],0))</f>
        <v>6774.1935483870966</v>
      </c>
      <c r="L342" s="10">
        <f>SUMIFS(Expense_master[Staff_Salary],Expense_master[Month_Key],Daily_Data[[#This Row],[Month_key]]) / SUMIFS(Expense_master[Days_in_Month],Expense_master[Month_Key],Daily_Data[[#This Row],[Month_key]])</f>
        <v>2258.0645161290322</v>
      </c>
      <c r="M342" s="10">
        <f>Daily_Data[[#This Row],[Rooms_Occupied]] * (SUMIFS(Expense_master[Housekeeping_Laundy],Expense_master[Month_Key],Daily_Data[[#This Row],[Month_key]]) / SUMIFS(Occupancy_table[Monthly_rooms_Occupied],Occupancy_table[Month_Key],Daily_Data[[#This Row],[Month_key]]))</f>
        <v>240.24024024024024</v>
      </c>
      <c r="N3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42" s="10">
        <f>SUMIFS(Expense_master[Monthly_Maintenance],Expense_master[Month_Key],Daily_Data[[#This Row],[Month_key]]) / SUMIFS(Expense_master[Days_in_Month],Expense_master[Month_Key], Daily_Data[[#This Row],[Month_key]])</f>
        <v>645.16129032258061</v>
      </c>
      <c r="P342" s="10">
        <f xml:space="preserve"> Daily_Data[[#This Row],[OTA Commision]] + Daily_Data[[#This Row],[Daily_Rent]]+Daily_Data[[#This Row],[Daily_Staff]]+Daily_Data[[#This Row],[Daily_HK]]+Daily_Data[[#This Row],[Daily_Electricity]] + Daily_Data[[#This Row],[Daily Maintenance]]</f>
        <v>14136.595230068779</v>
      </c>
      <c r="Q342" s="10">
        <f>Daily_Data[[#This Row],[Total_Sales]]-Daily_Data[[#This Row],[Total_Daily_Expense]]</f>
        <v>-1160.5952300687786</v>
      </c>
      <c r="R342" s="10">
        <f>Daily_Data[[#This Row],[Total_Sales]]/Daily_Data[[#This Row],[Rooms_Occupied]]</f>
        <v>1622</v>
      </c>
      <c r="S342" s="10">
        <f>Daily_Data[[#This Row],[Total_Sales]] / Daily_Data[[#This Row],[Max_rooms]]</f>
        <v>926.85714285714289</v>
      </c>
    </row>
    <row r="343" spans="1:19" x14ac:dyDescent="0.25">
      <c r="A343" s="6">
        <v>45268</v>
      </c>
      <c r="B343" s="20">
        <f>DATE(YEAR(Daily_Data[[#This Row],[Date]]), MONTH(Daily_Data[[#This Row],[Date]]), 1)</f>
        <v>45261</v>
      </c>
      <c r="C343" s="20" t="str">
        <f>TEXT(Daily_Data[[#This Row],[Month_key]],"mmmm")</f>
        <v>December</v>
      </c>
      <c r="D343" s="20" t="str">
        <f>TEXT(Daily_Data[[#This Row],[Month_key]],"yyyy")</f>
        <v>2023</v>
      </c>
      <c r="E343" s="7">
        <v>10</v>
      </c>
      <c r="F343" s="7">
        <v>14</v>
      </c>
      <c r="G343" s="8">
        <f>Daily_Data[[#This Row],[Rooms_Occupied]]/F343</f>
        <v>0.7142857142857143</v>
      </c>
      <c r="H343" s="7">
        <v>1359</v>
      </c>
      <c r="I343" s="7">
        <f>Daily_Data[[#This Row],[Room_rate]]*Daily_Data[[#This Row],[Rooms_Occupied]]</f>
        <v>13590</v>
      </c>
      <c r="J343" s="10">
        <f>Daily_Data[[#This Row],[Total_Sales]] * 0.22</f>
        <v>2989.8</v>
      </c>
      <c r="K343" s="10">
        <f>INDEX(Expense_master[Monthly_Rent],MATCH(Daily_Data[[#This Row],[Month_key]],Expense_master[Month_Key],0)) / INDEX(Expense_master[Days_in_Month],MATCH(Daily_Data[[#This Row],[Month_key]],Expense_master[Month_Key],0))</f>
        <v>6774.1935483870966</v>
      </c>
      <c r="L343" s="10">
        <f>SUMIFS(Expense_master[Staff_Salary],Expense_master[Month_Key],Daily_Data[[#This Row],[Month_key]]) / SUMIFS(Expense_master[Days_in_Month],Expense_master[Month_Key],Daily_Data[[#This Row],[Month_key]])</f>
        <v>2258.0645161290322</v>
      </c>
      <c r="M343" s="10">
        <f>Daily_Data[[#This Row],[Rooms_Occupied]] * (SUMIFS(Expense_master[Housekeeping_Laundy],Expense_master[Month_Key],Daily_Data[[#This Row],[Month_key]]) / SUMIFS(Occupancy_table[Monthly_rooms_Occupied],Occupancy_table[Month_Key],Daily_Data[[#This Row],[Month_key]]))</f>
        <v>300.30030030030031</v>
      </c>
      <c r="N3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1544.1759953501889</v>
      </c>
      <c r="O343" s="10">
        <f>SUMIFS(Expense_master[Monthly_Maintenance],Expense_master[Month_Key],Daily_Data[[#This Row],[Month_key]]) / SUMIFS(Expense_master[Days_in_Month],Expense_master[Month_Key], Daily_Data[[#This Row],[Month_key]])</f>
        <v>645.16129032258061</v>
      </c>
      <c r="P343" s="10">
        <f xml:space="preserve"> Daily_Data[[#This Row],[OTA Commision]] + Daily_Data[[#This Row],[Daily_Rent]]+Daily_Data[[#This Row],[Daily_Staff]]+Daily_Data[[#This Row],[Daily_HK]]+Daily_Data[[#This Row],[Daily_Electricity]] + Daily_Data[[#This Row],[Daily Maintenance]]</f>
        <v>14511.6956504892</v>
      </c>
      <c r="Q343" s="10">
        <f>Daily_Data[[#This Row],[Total_Sales]]-Daily_Data[[#This Row],[Total_Daily_Expense]]</f>
        <v>-921.69565048920049</v>
      </c>
      <c r="R343" s="10">
        <f>Daily_Data[[#This Row],[Total_Sales]]/Daily_Data[[#This Row],[Rooms_Occupied]]</f>
        <v>1359</v>
      </c>
      <c r="S343" s="10">
        <f>Daily_Data[[#This Row],[Total_Sales]] / Daily_Data[[#This Row],[Max_rooms]]</f>
        <v>970.71428571428567</v>
      </c>
    </row>
    <row r="344" spans="1:19" x14ac:dyDescent="0.25">
      <c r="A344" s="6">
        <v>45269</v>
      </c>
      <c r="B344" s="20">
        <f>DATE(YEAR(Daily_Data[[#This Row],[Date]]), MONTH(Daily_Data[[#This Row],[Date]]), 1)</f>
        <v>45261</v>
      </c>
      <c r="C344" s="20" t="str">
        <f>TEXT(Daily_Data[[#This Row],[Month_key]],"mmmm")</f>
        <v>December</v>
      </c>
      <c r="D344" s="20" t="str">
        <f>TEXT(Daily_Data[[#This Row],[Month_key]],"yyyy")</f>
        <v>2023</v>
      </c>
      <c r="E344" s="7">
        <v>13</v>
      </c>
      <c r="F344" s="7">
        <v>14</v>
      </c>
      <c r="G344" s="8">
        <f>Daily_Data[[#This Row],[Rooms_Occupied]]/F344</f>
        <v>0.9285714285714286</v>
      </c>
      <c r="H344" s="7">
        <v>1693</v>
      </c>
      <c r="I344" s="7">
        <f>Daily_Data[[#This Row],[Room_rate]]*Daily_Data[[#This Row],[Rooms_Occupied]]</f>
        <v>22009</v>
      </c>
      <c r="J344" s="10">
        <f>Daily_Data[[#This Row],[Total_Sales]] * 0.22</f>
        <v>4841.9800000000005</v>
      </c>
      <c r="K344" s="10">
        <f>INDEX(Expense_master[Monthly_Rent],MATCH(Daily_Data[[#This Row],[Month_key]],Expense_master[Month_Key],0)) / INDEX(Expense_master[Days_in_Month],MATCH(Daily_Data[[#This Row],[Month_key]],Expense_master[Month_Key],0))</f>
        <v>6774.1935483870966</v>
      </c>
      <c r="L344" s="10">
        <f>SUMIFS(Expense_master[Staff_Salary],Expense_master[Month_Key],Daily_Data[[#This Row],[Month_key]]) / SUMIFS(Expense_master[Days_in_Month],Expense_master[Month_Key],Daily_Data[[#This Row],[Month_key]])</f>
        <v>2258.0645161290322</v>
      </c>
      <c r="M344" s="10">
        <f>Daily_Data[[#This Row],[Rooms_Occupied]] * (SUMIFS(Expense_master[Housekeeping_Laundy],Expense_master[Month_Key],Daily_Data[[#This Row],[Month_key]]) / SUMIFS(Occupancy_table[Monthly_rooms_Occupied],Occupancy_table[Month_Key],Daily_Data[[#This Row],[Month_key]]))</f>
        <v>390.39039039039039</v>
      </c>
      <c r="N3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1814.1165358907294</v>
      </c>
      <c r="O344" s="10">
        <f>SUMIFS(Expense_master[Monthly_Maintenance],Expense_master[Month_Key],Daily_Data[[#This Row],[Month_key]]) / SUMIFS(Expense_master[Days_in_Month],Expense_master[Month_Key], Daily_Data[[#This Row],[Month_key]])</f>
        <v>645.16129032258061</v>
      </c>
      <c r="P344" s="10">
        <f xml:space="preserve"> Daily_Data[[#This Row],[OTA Commision]] + Daily_Data[[#This Row],[Daily_Rent]]+Daily_Data[[#This Row],[Daily_Staff]]+Daily_Data[[#This Row],[Daily_HK]]+Daily_Data[[#This Row],[Daily_Electricity]] + Daily_Data[[#This Row],[Daily Maintenance]]</f>
        <v>16723.906281119831</v>
      </c>
      <c r="Q344" s="10">
        <f>Daily_Data[[#This Row],[Total_Sales]]-Daily_Data[[#This Row],[Total_Daily_Expense]]</f>
        <v>5285.093718880169</v>
      </c>
      <c r="R344" s="10">
        <f>Daily_Data[[#This Row],[Total_Sales]]/Daily_Data[[#This Row],[Rooms_Occupied]]</f>
        <v>1693</v>
      </c>
      <c r="S344" s="10">
        <f>Daily_Data[[#This Row],[Total_Sales]] / Daily_Data[[#This Row],[Max_rooms]]</f>
        <v>1572.0714285714287</v>
      </c>
    </row>
    <row r="345" spans="1:19" x14ac:dyDescent="0.25">
      <c r="A345" s="6">
        <v>45270</v>
      </c>
      <c r="B345" s="20">
        <f>DATE(YEAR(Daily_Data[[#This Row],[Date]]), MONTH(Daily_Data[[#This Row],[Date]]), 1)</f>
        <v>45261</v>
      </c>
      <c r="C345" s="20" t="str">
        <f>TEXT(Daily_Data[[#This Row],[Month_key]],"mmmm")</f>
        <v>December</v>
      </c>
      <c r="D345" s="20" t="str">
        <f>TEXT(Daily_Data[[#This Row],[Month_key]],"yyyy")</f>
        <v>2023</v>
      </c>
      <c r="E345" s="7">
        <v>9</v>
      </c>
      <c r="F345" s="7">
        <v>14</v>
      </c>
      <c r="G345" s="8">
        <f>Daily_Data[[#This Row],[Rooms_Occupied]]/F345</f>
        <v>0.6428571428571429</v>
      </c>
      <c r="H345" s="7">
        <v>1142</v>
      </c>
      <c r="I345" s="7">
        <f>Daily_Data[[#This Row],[Room_rate]]*Daily_Data[[#This Row],[Rooms_Occupied]]</f>
        <v>10278</v>
      </c>
      <c r="J345" s="10">
        <f>Daily_Data[[#This Row],[Total_Sales]] * 0.22</f>
        <v>2261.16</v>
      </c>
      <c r="K345" s="10">
        <f>INDEX(Expense_master[Monthly_Rent],MATCH(Daily_Data[[#This Row],[Month_key]],Expense_master[Month_Key],0)) / INDEX(Expense_master[Days_in_Month],MATCH(Daily_Data[[#This Row],[Month_key]],Expense_master[Month_Key],0))</f>
        <v>6774.1935483870966</v>
      </c>
      <c r="L345" s="10">
        <f>SUMIFS(Expense_master[Staff_Salary],Expense_master[Month_Key],Daily_Data[[#This Row],[Month_key]]) / SUMIFS(Expense_master[Days_in_Month],Expense_master[Month_Key],Daily_Data[[#This Row],[Month_key]])</f>
        <v>2258.0645161290322</v>
      </c>
      <c r="M345" s="10">
        <f>Daily_Data[[#This Row],[Rooms_Occupied]] * (SUMIFS(Expense_master[Housekeeping_Laundy],Expense_master[Month_Key],Daily_Data[[#This Row],[Month_key]]) / SUMIFS(Occupancy_table[Monthly_rooms_Occupied],Occupancy_table[Month_Key],Daily_Data[[#This Row],[Month_key]]))</f>
        <v>270.27027027027026</v>
      </c>
      <c r="N3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1454.1958151700087</v>
      </c>
      <c r="O345" s="10">
        <f>SUMIFS(Expense_master[Monthly_Maintenance],Expense_master[Month_Key],Daily_Data[[#This Row],[Month_key]]) / SUMIFS(Expense_master[Days_in_Month],Expense_master[Month_Key], Daily_Data[[#This Row],[Month_key]])</f>
        <v>645.16129032258061</v>
      </c>
      <c r="P345" s="10">
        <f xml:space="preserve"> Daily_Data[[#This Row],[OTA Commision]] + Daily_Data[[#This Row],[Daily_Rent]]+Daily_Data[[#This Row],[Daily_Staff]]+Daily_Data[[#This Row],[Daily_HK]]+Daily_Data[[#This Row],[Daily_Electricity]] + Daily_Data[[#This Row],[Daily Maintenance]]</f>
        <v>13663.045440278989</v>
      </c>
      <c r="Q345" s="10">
        <f>Daily_Data[[#This Row],[Total_Sales]]-Daily_Data[[#This Row],[Total_Daily_Expense]]</f>
        <v>-3385.0454402789892</v>
      </c>
      <c r="R345" s="10">
        <f>Daily_Data[[#This Row],[Total_Sales]]/Daily_Data[[#This Row],[Rooms_Occupied]]</f>
        <v>1142</v>
      </c>
      <c r="S345" s="10">
        <f>Daily_Data[[#This Row],[Total_Sales]] / Daily_Data[[#This Row],[Max_rooms]]</f>
        <v>734.14285714285711</v>
      </c>
    </row>
    <row r="346" spans="1:19" x14ac:dyDescent="0.25">
      <c r="A346" s="6">
        <v>45271</v>
      </c>
      <c r="B346" s="20">
        <f>DATE(YEAR(Daily_Data[[#This Row],[Date]]), MONTH(Daily_Data[[#This Row],[Date]]), 1)</f>
        <v>45261</v>
      </c>
      <c r="C346" s="20" t="str">
        <f>TEXT(Daily_Data[[#This Row],[Month_key]],"mmmm")</f>
        <v>December</v>
      </c>
      <c r="D346" s="20" t="str">
        <f>TEXT(Daily_Data[[#This Row],[Month_key]],"yyyy")</f>
        <v>2023</v>
      </c>
      <c r="E346" s="7">
        <v>10</v>
      </c>
      <c r="F346" s="7">
        <v>14</v>
      </c>
      <c r="G346" s="8">
        <f>Daily_Data[[#This Row],[Rooms_Occupied]]/F346</f>
        <v>0.7142857142857143</v>
      </c>
      <c r="H346" s="7">
        <v>1445</v>
      </c>
      <c r="I346" s="7">
        <f>Daily_Data[[#This Row],[Room_rate]]*Daily_Data[[#This Row],[Rooms_Occupied]]</f>
        <v>14450</v>
      </c>
      <c r="J346" s="10">
        <f>Daily_Data[[#This Row],[Total_Sales]] * 0.22</f>
        <v>3179</v>
      </c>
      <c r="K346" s="10">
        <f>INDEX(Expense_master[Monthly_Rent],MATCH(Daily_Data[[#This Row],[Month_key]],Expense_master[Month_Key],0)) / INDEX(Expense_master[Days_in_Month],MATCH(Daily_Data[[#This Row],[Month_key]],Expense_master[Month_Key],0))</f>
        <v>6774.1935483870966</v>
      </c>
      <c r="L346" s="10">
        <f>SUMIFS(Expense_master[Staff_Salary],Expense_master[Month_Key],Daily_Data[[#This Row],[Month_key]]) / SUMIFS(Expense_master[Days_in_Month],Expense_master[Month_Key],Daily_Data[[#This Row],[Month_key]])</f>
        <v>2258.0645161290322</v>
      </c>
      <c r="M346" s="10">
        <f>Daily_Data[[#This Row],[Rooms_Occupied]] * (SUMIFS(Expense_master[Housekeeping_Laundy],Expense_master[Month_Key],Daily_Data[[#This Row],[Month_key]]) / SUMIFS(Occupancy_table[Monthly_rooms_Occupied],Occupancy_table[Month_Key],Daily_Data[[#This Row],[Month_key]]))</f>
        <v>300.30030030030031</v>
      </c>
      <c r="N3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1544.1759953501889</v>
      </c>
      <c r="O346" s="10">
        <f>SUMIFS(Expense_master[Monthly_Maintenance],Expense_master[Month_Key],Daily_Data[[#This Row],[Month_key]]) / SUMIFS(Expense_master[Days_in_Month],Expense_master[Month_Key], Daily_Data[[#This Row],[Month_key]])</f>
        <v>645.16129032258061</v>
      </c>
      <c r="P346" s="10">
        <f xml:space="preserve"> Daily_Data[[#This Row],[OTA Commision]] + Daily_Data[[#This Row],[Daily_Rent]]+Daily_Data[[#This Row],[Daily_Staff]]+Daily_Data[[#This Row],[Daily_HK]]+Daily_Data[[#This Row],[Daily_Electricity]] + Daily_Data[[#This Row],[Daily Maintenance]]</f>
        <v>14700.895650489199</v>
      </c>
      <c r="Q346" s="10">
        <f>Daily_Data[[#This Row],[Total_Sales]]-Daily_Data[[#This Row],[Total_Daily_Expense]]</f>
        <v>-250.8956504891994</v>
      </c>
      <c r="R346" s="10">
        <f>Daily_Data[[#This Row],[Total_Sales]]/Daily_Data[[#This Row],[Rooms_Occupied]]</f>
        <v>1445</v>
      </c>
      <c r="S346" s="10">
        <f>Daily_Data[[#This Row],[Total_Sales]] / Daily_Data[[#This Row],[Max_rooms]]</f>
        <v>1032.1428571428571</v>
      </c>
    </row>
    <row r="347" spans="1:19" x14ac:dyDescent="0.25">
      <c r="A347" s="6">
        <v>45272</v>
      </c>
      <c r="B347" s="20">
        <f>DATE(YEAR(Daily_Data[[#This Row],[Date]]), MONTH(Daily_Data[[#This Row],[Date]]), 1)</f>
        <v>45261</v>
      </c>
      <c r="C347" s="20" t="str">
        <f>TEXT(Daily_Data[[#This Row],[Month_key]],"mmmm")</f>
        <v>December</v>
      </c>
      <c r="D347" s="20" t="str">
        <f>TEXT(Daily_Data[[#This Row],[Month_key]],"yyyy")</f>
        <v>2023</v>
      </c>
      <c r="E347" s="7">
        <v>13</v>
      </c>
      <c r="F347" s="7">
        <v>14</v>
      </c>
      <c r="G347" s="8">
        <f>Daily_Data[[#This Row],[Rooms_Occupied]]/F347</f>
        <v>0.9285714285714286</v>
      </c>
      <c r="H347" s="7">
        <v>1416</v>
      </c>
      <c r="I347" s="7">
        <f>Daily_Data[[#This Row],[Room_rate]]*Daily_Data[[#This Row],[Rooms_Occupied]]</f>
        <v>18408</v>
      </c>
      <c r="J347" s="10">
        <f>Daily_Data[[#This Row],[Total_Sales]] * 0.22</f>
        <v>4049.76</v>
      </c>
      <c r="K347" s="10">
        <f>INDEX(Expense_master[Monthly_Rent],MATCH(Daily_Data[[#This Row],[Month_key]],Expense_master[Month_Key],0)) / INDEX(Expense_master[Days_in_Month],MATCH(Daily_Data[[#This Row],[Month_key]],Expense_master[Month_Key],0))</f>
        <v>6774.1935483870966</v>
      </c>
      <c r="L347" s="10">
        <f>SUMIFS(Expense_master[Staff_Salary],Expense_master[Month_Key],Daily_Data[[#This Row],[Month_key]]) / SUMIFS(Expense_master[Days_in_Month],Expense_master[Month_Key],Daily_Data[[#This Row],[Month_key]])</f>
        <v>2258.0645161290322</v>
      </c>
      <c r="M347" s="10">
        <f>Daily_Data[[#This Row],[Rooms_Occupied]] * (SUMIFS(Expense_master[Housekeeping_Laundy],Expense_master[Month_Key],Daily_Data[[#This Row],[Month_key]]) / SUMIFS(Occupancy_table[Monthly_rooms_Occupied],Occupancy_table[Month_Key],Daily_Data[[#This Row],[Month_key]]))</f>
        <v>390.39039039039039</v>
      </c>
      <c r="N3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1814.1165358907294</v>
      </c>
      <c r="O347" s="10">
        <f>SUMIFS(Expense_master[Monthly_Maintenance],Expense_master[Month_Key],Daily_Data[[#This Row],[Month_key]]) / SUMIFS(Expense_master[Days_in_Month],Expense_master[Month_Key], Daily_Data[[#This Row],[Month_key]])</f>
        <v>645.16129032258061</v>
      </c>
      <c r="P347" s="10">
        <f xml:space="preserve"> Daily_Data[[#This Row],[OTA Commision]] + Daily_Data[[#This Row],[Daily_Rent]]+Daily_Data[[#This Row],[Daily_Staff]]+Daily_Data[[#This Row],[Daily_HK]]+Daily_Data[[#This Row],[Daily_Electricity]] + Daily_Data[[#This Row],[Daily Maintenance]]</f>
        <v>15931.68628111983</v>
      </c>
      <c r="Q347" s="10">
        <f>Daily_Data[[#This Row],[Total_Sales]]-Daily_Data[[#This Row],[Total_Daily_Expense]]</f>
        <v>2476.3137188801702</v>
      </c>
      <c r="R347" s="10">
        <f>Daily_Data[[#This Row],[Total_Sales]]/Daily_Data[[#This Row],[Rooms_Occupied]]</f>
        <v>1416</v>
      </c>
      <c r="S347" s="10">
        <f>Daily_Data[[#This Row],[Total_Sales]] / Daily_Data[[#This Row],[Max_rooms]]</f>
        <v>1314.8571428571429</v>
      </c>
    </row>
    <row r="348" spans="1:19" x14ac:dyDescent="0.25">
      <c r="A348" s="6">
        <v>45273</v>
      </c>
      <c r="B348" s="20">
        <f>DATE(YEAR(Daily_Data[[#This Row],[Date]]), MONTH(Daily_Data[[#This Row],[Date]]), 1)</f>
        <v>45261</v>
      </c>
      <c r="C348" s="20" t="str">
        <f>TEXT(Daily_Data[[#This Row],[Month_key]],"mmmm")</f>
        <v>December</v>
      </c>
      <c r="D348" s="20" t="str">
        <f>TEXT(Daily_Data[[#This Row],[Month_key]],"yyyy")</f>
        <v>2023</v>
      </c>
      <c r="E348" s="7">
        <v>8</v>
      </c>
      <c r="F348" s="7">
        <v>14</v>
      </c>
      <c r="G348" s="8">
        <f>Daily_Data[[#This Row],[Rooms_Occupied]]/F348</f>
        <v>0.5714285714285714</v>
      </c>
      <c r="H348" s="7">
        <v>1424</v>
      </c>
      <c r="I348" s="7">
        <f>Daily_Data[[#This Row],[Room_rate]]*Daily_Data[[#This Row],[Rooms_Occupied]]</f>
        <v>11392</v>
      </c>
      <c r="J348" s="10">
        <f>Daily_Data[[#This Row],[Total_Sales]] * 0.22</f>
        <v>2506.2400000000002</v>
      </c>
      <c r="K348" s="10">
        <f>INDEX(Expense_master[Monthly_Rent],MATCH(Daily_Data[[#This Row],[Month_key]],Expense_master[Month_Key],0)) / INDEX(Expense_master[Days_in_Month],MATCH(Daily_Data[[#This Row],[Month_key]],Expense_master[Month_Key],0))</f>
        <v>6774.1935483870966</v>
      </c>
      <c r="L348" s="10">
        <f>SUMIFS(Expense_master[Staff_Salary],Expense_master[Month_Key],Daily_Data[[#This Row],[Month_key]]) / SUMIFS(Expense_master[Days_in_Month],Expense_master[Month_Key],Daily_Data[[#This Row],[Month_key]])</f>
        <v>2258.0645161290322</v>
      </c>
      <c r="M348" s="10">
        <f>Daily_Data[[#This Row],[Rooms_Occupied]] * (SUMIFS(Expense_master[Housekeeping_Laundy],Expense_master[Month_Key],Daily_Data[[#This Row],[Month_key]]) / SUMIFS(Occupancy_table[Monthly_rooms_Occupied],Occupancy_table[Month_Key],Daily_Data[[#This Row],[Month_key]]))</f>
        <v>240.24024024024024</v>
      </c>
      <c r="N3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48" s="10">
        <f>SUMIFS(Expense_master[Monthly_Maintenance],Expense_master[Month_Key],Daily_Data[[#This Row],[Month_key]]) / SUMIFS(Expense_master[Days_in_Month],Expense_master[Month_Key], Daily_Data[[#This Row],[Month_key]])</f>
        <v>645.16129032258061</v>
      </c>
      <c r="P348" s="10">
        <f xml:space="preserve"> Daily_Data[[#This Row],[OTA Commision]] + Daily_Data[[#This Row],[Daily_Rent]]+Daily_Data[[#This Row],[Daily_Staff]]+Daily_Data[[#This Row],[Daily_HK]]+Daily_Data[[#This Row],[Daily_Electricity]] + Daily_Data[[#This Row],[Daily Maintenance]]</f>
        <v>13788.115230068779</v>
      </c>
      <c r="Q348" s="10">
        <f>Daily_Data[[#This Row],[Total_Sales]]-Daily_Data[[#This Row],[Total_Daily_Expense]]</f>
        <v>-2396.1152300687791</v>
      </c>
      <c r="R348" s="10">
        <f>Daily_Data[[#This Row],[Total_Sales]]/Daily_Data[[#This Row],[Rooms_Occupied]]</f>
        <v>1424</v>
      </c>
      <c r="S348" s="10">
        <f>Daily_Data[[#This Row],[Total_Sales]] / Daily_Data[[#This Row],[Max_rooms]]</f>
        <v>813.71428571428567</v>
      </c>
    </row>
    <row r="349" spans="1:19" x14ac:dyDescent="0.25">
      <c r="A349" s="6">
        <v>45274</v>
      </c>
      <c r="B349" s="20">
        <f>DATE(YEAR(Daily_Data[[#This Row],[Date]]), MONTH(Daily_Data[[#This Row],[Date]]), 1)</f>
        <v>45261</v>
      </c>
      <c r="C349" s="20" t="str">
        <f>TEXT(Daily_Data[[#This Row],[Month_key]],"mmmm")</f>
        <v>December</v>
      </c>
      <c r="D349" s="20" t="str">
        <f>TEXT(Daily_Data[[#This Row],[Month_key]],"yyyy")</f>
        <v>2023</v>
      </c>
      <c r="E349" s="7">
        <v>14</v>
      </c>
      <c r="F349" s="7">
        <v>14</v>
      </c>
      <c r="G349" s="8">
        <f>Daily_Data[[#This Row],[Rooms_Occupied]]/F349</f>
        <v>1</v>
      </c>
      <c r="H349" s="7">
        <v>1086</v>
      </c>
      <c r="I349" s="7">
        <f>Daily_Data[[#This Row],[Room_rate]]*Daily_Data[[#This Row],[Rooms_Occupied]]</f>
        <v>15204</v>
      </c>
      <c r="J349" s="10">
        <f>Daily_Data[[#This Row],[Total_Sales]] * 0.22</f>
        <v>3344.88</v>
      </c>
      <c r="K349" s="10">
        <f>INDEX(Expense_master[Monthly_Rent],MATCH(Daily_Data[[#This Row],[Month_key]],Expense_master[Month_Key],0)) / INDEX(Expense_master[Days_in_Month],MATCH(Daily_Data[[#This Row],[Month_key]],Expense_master[Month_Key],0))</f>
        <v>6774.1935483870966</v>
      </c>
      <c r="L349" s="10">
        <f>SUMIFS(Expense_master[Staff_Salary],Expense_master[Month_Key],Daily_Data[[#This Row],[Month_key]]) / SUMIFS(Expense_master[Days_in_Month],Expense_master[Month_Key],Daily_Data[[#This Row],[Month_key]])</f>
        <v>2258.0645161290322</v>
      </c>
      <c r="M349" s="10">
        <f>Daily_Data[[#This Row],[Rooms_Occupied]] * (SUMIFS(Expense_master[Housekeeping_Laundy],Expense_master[Month_Key],Daily_Data[[#This Row],[Month_key]]) / SUMIFS(Occupancy_table[Monthly_rooms_Occupied],Occupancy_table[Month_Key],Daily_Data[[#This Row],[Month_key]]))</f>
        <v>420.42042042042044</v>
      </c>
      <c r="N3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1904.0967160709097</v>
      </c>
      <c r="O349" s="10">
        <f>SUMIFS(Expense_master[Monthly_Maintenance],Expense_master[Month_Key],Daily_Data[[#This Row],[Month_key]]) / SUMIFS(Expense_master[Days_in_Month],Expense_master[Month_Key], Daily_Data[[#This Row],[Month_key]])</f>
        <v>645.16129032258061</v>
      </c>
      <c r="P349" s="10">
        <f xml:space="preserve"> Daily_Data[[#This Row],[OTA Commision]] + Daily_Data[[#This Row],[Daily_Rent]]+Daily_Data[[#This Row],[Daily_Staff]]+Daily_Data[[#This Row],[Daily_HK]]+Daily_Data[[#This Row],[Daily_Electricity]] + Daily_Data[[#This Row],[Daily Maintenance]]</f>
        <v>15346.816491330039</v>
      </c>
      <c r="Q349" s="10">
        <f>Daily_Data[[#This Row],[Total_Sales]]-Daily_Data[[#This Row],[Total_Daily_Expense]]</f>
        <v>-142.81649133003884</v>
      </c>
      <c r="R349" s="10">
        <f>Daily_Data[[#This Row],[Total_Sales]]/Daily_Data[[#This Row],[Rooms_Occupied]]</f>
        <v>1086</v>
      </c>
      <c r="S349" s="10">
        <f>Daily_Data[[#This Row],[Total_Sales]] / Daily_Data[[#This Row],[Max_rooms]]</f>
        <v>1086</v>
      </c>
    </row>
    <row r="350" spans="1:19" x14ac:dyDescent="0.25">
      <c r="A350" s="6">
        <v>45275</v>
      </c>
      <c r="B350" s="20">
        <f>DATE(YEAR(Daily_Data[[#This Row],[Date]]), MONTH(Daily_Data[[#This Row],[Date]]), 1)</f>
        <v>45261</v>
      </c>
      <c r="C350" s="20" t="str">
        <f>TEXT(Daily_Data[[#This Row],[Month_key]],"mmmm")</f>
        <v>December</v>
      </c>
      <c r="D350" s="20" t="str">
        <f>TEXT(Daily_Data[[#This Row],[Month_key]],"yyyy")</f>
        <v>2023</v>
      </c>
      <c r="E350" s="7">
        <v>10</v>
      </c>
      <c r="F350" s="7">
        <v>14</v>
      </c>
      <c r="G350" s="8">
        <f>Daily_Data[[#This Row],[Rooms_Occupied]]/F350</f>
        <v>0.7142857142857143</v>
      </c>
      <c r="H350" s="7">
        <v>1560</v>
      </c>
      <c r="I350" s="7">
        <f>Daily_Data[[#This Row],[Room_rate]]*Daily_Data[[#This Row],[Rooms_Occupied]]</f>
        <v>15600</v>
      </c>
      <c r="J350" s="10">
        <f>Daily_Data[[#This Row],[Total_Sales]] * 0.22</f>
        <v>3432</v>
      </c>
      <c r="K350" s="10">
        <f>INDEX(Expense_master[Monthly_Rent],MATCH(Daily_Data[[#This Row],[Month_key]],Expense_master[Month_Key],0)) / INDEX(Expense_master[Days_in_Month],MATCH(Daily_Data[[#This Row],[Month_key]],Expense_master[Month_Key],0))</f>
        <v>6774.1935483870966</v>
      </c>
      <c r="L350" s="10">
        <f>SUMIFS(Expense_master[Staff_Salary],Expense_master[Month_Key],Daily_Data[[#This Row],[Month_key]]) / SUMIFS(Expense_master[Days_in_Month],Expense_master[Month_Key],Daily_Data[[#This Row],[Month_key]])</f>
        <v>2258.0645161290322</v>
      </c>
      <c r="M350" s="10">
        <f>Daily_Data[[#This Row],[Rooms_Occupied]] * (SUMIFS(Expense_master[Housekeeping_Laundy],Expense_master[Month_Key],Daily_Data[[#This Row],[Month_key]]) / SUMIFS(Occupancy_table[Monthly_rooms_Occupied],Occupancy_table[Month_Key],Daily_Data[[#This Row],[Month_key]]))</f>
        <v>300.30030030030031</v>
      </c>
      <c r="N3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1544.1759953501889</v>
      </c>
      <c r="O350" s="10">
        <f>SUMIFS(Expense_master[Monthly_Maintenance],Expense_master[Month_Key],Daily_Data[[#This Row],[Month_key]]) / SUMIFS(Expense_master[Days_in_Month],Expense_master[Month_Key], Daily_Data[[#This Row],[Month_key]])</f>
        <v>645.16129032258061</v>
      </c>
      <c r="P350" s="10">
        <f xml:space="preserve"> Daily_Data[[#This Row],[OTA Commision]] + Daily_Data[[#This Row],[Daily_Rent]]+Daily_Data[[#This Row],[Daily_Staff]]+Daily_Data[[#This Row],[Daily_HK]]+Daily_Data[[#This Row],[Daily_Electricity]] + Daily_Data[[#This Row],[Daily Maintenance]]</f>
        <v>14953.895650489199</v>
      </c>
      <c r="Q350" s="10">
        <f>Daily_Data[[#This Row],[Total_Sales]]-Daily_Data[[#This Row],[Total_Daily_Expense]]</f>
        <v>646.1043495108006</v>
      </c>
      <c r="R350" s="10">
        <f>Daily_Data[[#This Row],[Total_Sales]]/Daily_Data[[#This Row],[Rooms_Occupied]]</f>
        <v>1560</v>
      </c>
      <c r="S350" s="10">
        <f>Daily_Data[[#This Row],[Total_Sales]] / Daily_Data[[#This Row],[Max_rooms]]</f>
        <v>1114.2857142857142</v>
      </c>
    </row>
    <row r="351" spans="1:19" x14ac:dyDescent="0.25">
      <c r="A351" s="6">
        <v>45276</v>
      </c>
      <c r="B351" s="20">
        <f>DATE(YEAR(Daily_Data[[#This Row],[Date]]), MONTH(Daily_Data[[#This Row],[Date]]), 1)</f>
        <v>45261</v>
      </c>
      <c r="C351" s="20" t="str">
        <f>TEXT(Daily_Data[[#This Row],[Month_key]],"mmmm")</f>
        <v>December</v>
      </c>
      <c r="D351" s="20" t="str">
        <f>TEXT(Daily_Data[[#This Row],[Month_key]],"yyyy")</f>
        <v>2023</v>
      </c>
      <c r="E351" s="7">
        <v>9</v>
      </c>
      <c r="F351" s="7">
        <v>14</v>
      </c>
      <c r="G351" s="8">
        <f>Daily_Data[[#This Row],[Rooms_Occupied]]/F351</f>
        <v>0.6428571428571429</v>
      </c>
      <c r="H351" s="7">
        <v>1597</v>
      </c>
      <c r="I351" s="7">
        <f>Daily_Data[[#This Row],[Room_rate]]*Daily_Data[[#This Row],[Rooms_Occupied]]</f>
        <v>14373</v>
      </c>
      <c r="J351" s="10">
        <f>Daily_Data[[#This Row],[Total_Sales]] * 0.22</f>
        <v>3162.06</v>
      </c>
      <c r="K351" s="10">
        <f>INDEX(Expense_master[Monthly_Rent],MATCH(Daily_Data[[#This Row],[Month_key]],Expense_master[Month_Key],0)) / INDEX(Expense_master[Days_in_Month],MATCH(Daily_Data[[#This Row],[Month_key]],Expense_master[Month_Key],0))</f>
        <v>6774.1935483870966</v>
      </c>
      <c r="L351" s="10">
        <f>SUMIFS(Expense_master[Staff_Salary],Expense_master[Month_Key],Daily_Data[[#This Row],[Month_key]]) / SUMIFS(Expense_master[Days_in_Month],Expense_master[Month_Key],Daily_Data[[#This Row],[Month_key]])</f>
        <v>2258.0645161290322</v>
      </c>
      <c r="M351" s="10">
        <f>Daily_Data[[#This Row],[Rooms_Occupied]] * (SUMIFS(Expense_master[Housekeeping_Laundy],Expense_master[Month_Key],Daily_Data[[#This Row],[Month_key]]) / SUMIFS(Occupancy_table[Monthly_rooms_Occupied],Occupancy_table[Month_Key],Daily_Data[[#This Row],[Month_key]]))</f>
        <v>270.27027027027026</v>
      </c>
      <c r="N3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1454.1958151700087</v>
      </c>
      <c r="O351" s="10">
        <f>SUMIFS(Expense_master[Monthly_Maintenance],Expense_master[Month_Key],Daily_Data[[#This Row],[Month_key]]) / SUMIFS(Expense_master[Days_in_Month],Expense_master[Month_Key], Daily_Data[[#This Row],[Month_key]])</f>
        <v>645.16129032258061</v>
      </c>
      <c r="P351" s="10">
        <f xml:space="preserve"> Daily_Data[[#This Row],[OTA Commision]] + Daily_Data[[#This Row],[Daily_Rent]]+Daily_Data[[#This Row],[Daily_Staff]]+Daily_Data[[#This Row],[Daily_HK]]+Daily_Data[[#This Row],[Daily_Electricity]] + Daily_Data[[#This Row],[Daily Maintenance]]</f>
        <v>14563.945440278989</v>
      </c>
      <c r="Q351" s="10">
        <f>Daily_Data[[#This Row],[Total_Sales]]-Daily_Data[[#This Row],[Total_Daily_Expense]]</f>
        <v>-190.94544027898883</v>
      </c>
      <c r="R351" s="10">
        <f>Daily_Data[[#This Row],[Total_Sales]]/Daily_Data[[#This Row],[Rooms_Occupied]]</f>
        <v>1597</v>
      </c>
      <c r="S351" s="10">
        <f>Daily_Data[[#This Row],[Total_Sales]] / Daily_Data[[#This Row],[Max_rooms]]</f>
        <v>1026.6428571428571</v>
      </c>
    </row>
    <row r="352" spans="1:19" x14ac:dyDescent="0.25">
      <c r="A352" s="6">
        <v>45277</v>
      </c>
      <c r="B352" s="20">
        <f>DATE(YEAR(Daily_Data[[#This Row],[Date]]), MONTH(Daily_Data[[#This Row],[Date]]), 1)</f>
        <v>45261</v>
      </c>
      <c r="C352" s="20" t="str">
        <f>TEXT(Daily_Data[[#This Row],[Month_key]],"mmmm")</f>
        <v>December</v>
      </c>
      <c r="D352" s="20" t="str">
        <f>TEXT(Daily_Data[[#This Row],[Month_key]],"yyyy")</f>
        <v>2023</v>
      </c>
      <c r="E352" s="7">
        <v>14</v>
      </c>
      <c r="F352" s="7">
        <v>14</v>
      </c>
      <c r="G352" s="8">
        <f>Daily_Data[[#This Row],[Rooms_Occupied]]/F352</f>
        <v>1</v>
      </c>
      <c r="H352" s="7">
        <v>1267</v>
      </c>
      <c r="I352" s="7">
        <f>Daily_Data[[#This Row],[Room_rate]]*Daily_Data[[#This Row],[Rooms_Occupied]]</f>
        <v>17738</v>
      </c>
      <c r="J352" s="10">
        <f>Daily_Data[[#This Row],[Total_Sales]] * 0.22</f>
        <v>3902.36</v>
      </c>
      <c r="K352" s="10">
        <f>INDEX(Expense_master[Monthly_Rent],MATCH(Daily_Data[[#This Row],[Month_key]],Expense_master[Month_Key],0)) / INDEX(Expense_master[Days_in_Month],MATCH(Daily_Data[[#This Row],[Month_key]],Expense_master[Month_Key],0))</f>
        <v>6774.1935483870966</v>
      </c>
      <c r="L352" s="10">
        <f>SUMIFS(Expense_master[Staff_Salary],Expense_master[Month_Key],Daily_Data[[#This Row],[Month_key]]) / SUMIFS(Expense_master[Days_in_Month],Expense_master[Month_Key],Daily_Data[[#This Row],[Month_key]])</f>
        <v>2258.0645161290322</v>
      </c>
      <c r="M352" s="10">
        <f>Daily_Data[[#This Row],[Rooms_Occupied]] * (SUMIFS(Expense_master[Housekeeping_Laundy],Expense_master[Month_Key],Daily_Data[[#This Row],[Month_key]]) / SUMIFS(Occupancy_table[Monthly_rooms_Occupied],Occupancy_table[Month_Key],Daily_Data[[#This Row],[Month_key]]))</f>
        <v>420.42042042042044</v>
      </c>
      <c r="N3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1904.0967160709097</v>
      </c>
      <c r="O352" s="10">
        <f>SUMIFS(Expense_master[Monthly_Maintenance],Expense_master[Month_Key],Daily_Data[[#This Row],[Month_key]]) / SUMIFS(Expense_master[Days_in_Month],Expense_master[Month_Key], Daily_Data[[#This Row],[Month_key]])</f>
        <v>645.16129032258061</v>
      </c>
      <c r="P352" s="10">
        <f xml:space="preserve"> Daily_Data[[#This Row],[OTA Commision]] + Daily_Data[[#This Row],[Daily_Rent]]+Daily_Data[[#This Row],[Daily_Staff]]+Daily_Data[[#This Row],[Daily_HK]]+Daily_Data[[#This Row],[Daily_Electricity]] + Daily_Data[[#This Row],[Daily Maintenance]]</f>
        <v>15904.29649133004</v>
      </c>
      <c r="Q352" s="10">
        <f>Daily_Data[[#This Row],[Total_Sales]]-Daily_Data[[#This Row],[Total_Daily_Expense]]</f>
        <v>1833.7035086699598</v>
      </c>
      <c r="R352" s="10">
        <f>Daily_Data[[#This Row],[Total_Sales]]/Daily_Data[[#This Row],[Rooms_Occupied]]</f>
        <v>1267</v>
      </c>
      <c r="S352" s="10">
        <f>Daily_Data[[#This Row],[Total_Sales]] / Daily_Data[[#This Row],[Max_rooms]]</f>
        <v>1267</v>
      </c>
    </row>
    <row r="353" spans="1:19" x14ac:dyDescent="0.25">
      <c r="A353" s="6">
        <v>45278</v>
      </c>
      <c r="B353" s="20">
        <f>DATE(YEAR(Daily_Data[[#This Row],[Date]]), MONTH(Daily_Data[[#This Row],[Date]]), 1)</f>
        <v>45261</v>
      </c>
      <c r="C353" s="20" t="str">
        <f>TEXT(Daily_Data[[#This Row],[Month_key]],"mmmm")</f>
        <v>December</v>
      </c>
      <c r="D353" s="20" t="str">
        <f>TEXT(Daily_Data[[#This Row],[Month_key]],"yyyy")</f>
        <v>2023</v>
      </c>
      <c r="E353" s="7">
        <v>10</v>
      </c>
      <c r="F353" s="7">
        <v>14</v>
      </c>
      <c r="G353" s="8">
        <f>Daily_Data[[#This Row],[Rooms_Occupied]]/F353</f>
        <v>0.7142857142857143</v>
      </c>
      <c r="H353" s="7">
        <v>1510</v>
      </c>
      <c r="I353" s="7">
        <f>Daily_Data[[#This Row],[Room_rate]]*Daily_Data[[#This Row],[Rooms_Occupied]]</f>
        <v>15100</v>
      </c>
      <c r="J353" s="10">
        <f>Daily_Data[[#This Row],[Total_Sales]] * 0.22</f>
        <v>3322</v>
      </c>
      <c r="K353" s="10">
        <f>INDEX(Expense_master[Monthly_Rent],MATCH(Daily_Data[[#This Row],[Month_key]],Expense_master[Month_Key],0)) / INDEX(Expense_master[Days_in_Month],MATCH(Daily_Data[[#This Row],[Month_key]],Expense_master[Month_Key],0))</f>
        <v>6774.1935483870966</v>
      </c>
      <c r="L353" s="10">
        <f>SUMIFS(Expense_master[Staff_Salary],Expense_master[Month_Key],Daily_Data[[#This Row],[Month_key]]) / SUMIFS(Expense_master[Days_in_Month],Expense_master[Month_Key],Daily_Data[[#This Row],[Month_key]])</f>
        <v>2258.0645161290322</v>
      </c>
      <c r="M353" s="10">
        <f>Daily_Data[[#This Row],[Rooms_Occupied]] * (SUMIFS(Expense_master[Housekeeping_Laundy],Expense_master[Month_Key],Daily_Data[[#This Row],[Month_key]]) / SUMIFS(Occupancy_table[Monthly_rooms_Occupied],Occupancy_table[Month_Key],Daily_Data[[#This Row],[Month_key]]))</f>
        <v>300.30030030030031</v>
      </c>
      <c r="N3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1544.1759953501889</v>
      </c>
      <c r="O353" s="10">
        <f>SUMIFS(Expense_master[Monthly_Maintenance],Expense_master[Month_Key],Daily_Data[[#This Row],[Month_key]]) / SUMIFS(Expense_master[Days_in_Month],Expense_master[Month_Key], Daily_Data[[#This Row],[Month_key]])</f>
        <v>645.16129032258061</v>
      </c>
      <c r="P353" s="10">
        <f xml:space="preserve"> Daily_Data[[#This Row],[OTA Commision]] + Daily_Data[[#This Row],[Daily_Rent]]+Daily_Data[[#This Row],[Daily_Staff]]+Daily_Data[[#This Row],[Daily_HK]]+Daily_Data[[#This Row],[Daily_Electricity]] + Daily_Data[[#This Row],[Daily Maintenance]]</f>
        <v>14843.895650489199</v>
      </c>
      <c r="Q353" s="10">
        <f>Daily_Data[[#This Row],[Total_Sales]]-Daily_Data[[#This Row],[Total_Daily_Expense]]</f>
        <v>256.1043495108006</v>
      </c>
      <c r="R353" s="10">
        <f>Daily_Data[[#This Row],[Total_Sales]]/Daily_Data[[#This Row],[Rooms_Occupied]]</f>
        <v>1510</v>
      </c>
      <c r="S353" s="10">
        <f>Daily_Data[[#This Row],[Total_Sales]] / Daily_Data[[#This Row],[Max_rooms]]</f>
        <v>1078.5714285714287</v>
      </c>
    </row>
    <row r="354" spans="1:19" x14ac:dyDescent="0.25">
      <c r="A354" s="6">
        <v>45279</v>
      </c>
      <c r="B354" s="20">
        <f>DATE(YEAR(Daily_Data[[#This Row],[Date]]), MONTH(Daily_Data[[#This Row],[Date]]), 1)</f>
        <v>45261</v>
      </c>
      <c r="C354" s="20" t="str">
        <f>TEXT(Daily_Data[[#This Row],[Month_key]],"mmmm")</f>
        <v>December</v>
      </c>
      <c r="D354" s="20" t="str">
        <f>TEXT(Daily_Data[[#This Row],[Month_key]],"yyyy")</f>
        <v>2023</v>
      </c>
      <c r="E354" s="7">
        <v>12</v>
      </c>
      <c r="F354" s="7">
        <v>14</v>
      </c>
      <c r="G354" s="8">
        <f>Daily_Data[[#This Row],[Rooms_Occupied]]/F354</f>
        <v>0.8571428571428571</v>
      </c>
      <c r="H354" s="7">
        <v>1226</v>
      </c>
      <c r="I354" s="7">
        <f>Daily_Data[[#This Row],[Room_rate]]*Daily_Data[[#This Row],[Rooms_Occupied]]</f>
        <v>14712</v>
      </c>
      <c r="J354" s="10">
        <f>Daily_Data[[#This Row],[Total_Sales]] * 0.22</f>
        <v>3236.64</v>
      </c>
      <c r="K354" s="10">
        <f>INDEX(Expense_master[Monthly_Rent],MATCH(Daily_Data[[#This Row],[Month_key]],Expense_master[Month_Key],0)) / INDEX(Expense_master[Days_in_Month],MATCH(Daily_Data[[#This Row],[Month_key]],Expense_master[Month_Key],0))</f>
        <v>6774.1935483870966</v>
      </c>
      <c r="L354" s="10">
        <f>SUMIFS(Expense_master[Staff_Salary],Expense_master[Month_Key],Daily_Data[[#This Row],[Month_key]]) / SUMIFS(Expense_master[Days_in_Month],Expense_master[Month_Key],Daily_Data[[#This Row],[Month_key]])</f>
        <v>2258.0645161290322</v>
      </c>
      <c r="M354" s="10">
        <f>Daily_Data[[#This Row],[Rooms_Occupied]] * (SUMIFS(Expense_master[Housekeeping_Laundy],Expense_master[Month_Key],Daily_Data[[#This Row],[Month_key]]) / SUMIFS(Occupancy_table[Monthly_rooms_Occupied],Occupancy_table[Month_Key],Daily_Data[[#This Row],[Month_key]]))</f>
        <v>360.36036036036035</v>
      </c>
      <c r="N3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1724.1363557105492</v>
      </c>
      <c r="O354" s="10">
        <f>SUMIFS(Expense_master[Monthly_Maintenance],Expense_master[Month_Key],Daily_Data[[#This Row],[Month_key]]) / SUMIFS(Expense_master[Days_in_Month],Expense_master[Month_Key], Daily_Data[[#This Row],[Month_key]])</f>
        <v>645.16129032258061</v>
      </c>
      <c r="P354" s="10">
        <f xml:space="preserve"> Daily_Data[[#This Row],[OTA Commision]] + Daily_Data[[#This Row],[Daily_Rent]]+Daily_Data[[#This Row],[Daily_Staff]]+Daily_Data[[#This Row],[Daily_HK]]+Daily_Data[[#This Row],[Daily_Electricity]] + Daily_Data[[#This Row],[Daily Maintenance]]</f>
        <v>14998.556070909619</v>
      </c>
      <c r="Q354" s="10">
        <f>Daily_Data[[#This Row],[Total_Sales]]-Daily_Data[[#This Row],[Total_Daily_Expense]]</f>
        <v>-286.55607090961894</v>
      </c>
      <c r="R354" s="10">
        <f>Daily_Data[[#This Row],[Total_Sales]]/Daily_Data[[#This Row],[Rooms_Occupied]]</f>
        <v>1226</v>
      </c>
      <c r="S354" s="10">
        <f>Daily_Data[[#This Row],[Total_Sales]] / Daily_Data[[#This Row],[Max_rooms]]</f>
        <v>1050.8571428571429</v>
      </c>
    </row>
    <row r="355" spans="1:19" x14ac:dyDescent="0.25">
      <c r="A355" s="6">
        <v>45280</v>
      </c>
      <c r="B355" s="20">
        <f>DATE(YEAR(Daily_Data[[#This Row],[Date]]), MONTH(Daily_Data[[#This Row],[Date]]), 1)</f>
        <v>45261</v>
      </c>
      <c r="C355" s="20" t="str">
        <f>TEXT(Daily_Data[[#This Row],[Month_key]],"mmmm")</f>
        <v>December</v>
      </c>
      <c r="D355" s="20" t="str">
        <f>TEXT(Daily_Data[[#This Row],[Month_key]],"yyyy")</f>
        <v>2023</v>
      </c>
      <c r="E355" s="7">
        <v>12</v>
      </c>
      <c r="F355" s="7">
        <v>14</v>
      </c>
      <c r="G355" s="8">
        <f>Daily_Data[[#This Row],[Rooms_Occupied]]/F355</f>
        <v>0.8571428571428571</v>
      </c>
      <c r="H355" s="7">
        <v>1311</v>
      </c>
      <c r="I355" s="7">
        <f>Daily_Data[[#This Row],[Room_rate]]*Daily_Data[[#This Row],[Rooms_Occupied]]</f>
        <v>15732</v>
      </c>
      <c r="J355" s="10">
        <f>Daily_Data[[#This Row],[Total_Sales]] * 0.22</f>
        <v>3461.04</v>
      </c>
      <c r="K355" s="10">
        <f>INDEX(Expense_master[Monthly_Rent],MATCH(Daily_Data[[#This Row],[Month_key]],Expense_master[Month_Key],0)) / INDEX(Expense_master[Days_in_Month],MATCH(Daily_Data[[#This Row],[Month_key]],Expense_master[Month_Key],0))</f>
        <v>6774.1935483870966</v>
      </c>
      <c r="L355" s="10">
        <f>SUMIFS(Expense_master[Staff_Salary],Expense_master[Month_Key],Daily_Data[[#This Row],[Month_key]]) / SUMIFS(Expense_master[Days_in_Month],Expense_master[Month_Key],Daily_Data[[#This Row],[Month_key]])</f>
        <v>2258.0645161290322</v>
      </c>
      <c r="M355" s="10">
        <f>Daily_Data[[#This Row],[Rooms_Occupied]] * (SUMIFS(Expense_master[Housekeeping_Laundy],Expense_master[Month_Key],Daily_Data[[#This Row],[Month_key]]) / SUMIFS(Occupancy_table[Monthly_rooms_Occupied],Occupancy_table[Month_Key],Daily_Data[[#This Row],[Month_key]]))</f>
        <v>360.36036036036035</v>
      </c>
      <c r="N3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1724.1363557105492</v>
      </c>
      <c r="O355" s="10">
        <f>SUMIFS(Expense_master[Monthly_Maintenance],Expense_master[Month_Key],Daily_Data[[#This Row],[Month_key]]) / SUMIFS(Expense_master[Days_in_Month],Expense_master[Month_Key], Daily_Data[[#This Row],[Month_key]])</f>
        <v>645.16129032258061</v>
      </c>
      <c r="P355" s="10">
        <f xml:space="preserve"> Daily_Data[[#This Row],[OTA Commision]] + Daily_Data[[#This Row],[Daily_Rent]]+Daily_Data[[#This Row],[Daily_Staff]]+Daily_Data[[#This Row],[Daily_HK]]+Daily_Data[[#This Row],[Daily_Electricity]] + Daily_Data[[#This Row],[Daily Maintenance]]</f>
        <v>15222.956070909619</v>
      </c>
      <c r="Q355" s="10">
        <f>Daily_Data[[#This Row],[Total_Sales]]-Daily_Data[[#This Row],[Total_Daily_Expense]]</f>
        <v>509.04392909038143</v>
      </c>
      <c r="R355" s="10">
        <f>Daily_Data[[#This Row],[Total_Sales]]/Daily_Data[[#This Row],[Rooms_Occupied]]</f>
        <v>1311</v>
      </c>
      <c r="S355" s="10">
        <f>Daily_Data[[#This Row],[Total_Sales]] / Daily_Data[[#This Row],[Max_rooms]]</f>
        <v>1123.7142857142858</v>
      </c>
    </row>
    <row r="356" spans="1:19" x14ac:dyDescent="0.25">
      <c r="A356" s="6">
        <v>45281</v>
      </c>
      <c r="B356" s="20">
        <f>DATE(YEAR(Daily_Data[[#This Row],[Date]]), MONTH(Daily_Data[[#This Row],[Date]]), 1)</f>
        <v>45261</v>
      </c>
      <c r="C356" s="20" t="str">
        <f>TEXT(Daily_Data[[#This Row],[Month_key]],"mmmm")</f>
        <v>December</v>
      </c>
      <c r="D356" s="20" t="str">
        <f>TEXT(Daily_Data[[#This Row],[Month_key]],"yyyy")</f>
        <v>2023</v>
      </c>
      <c r="E356" s="7">
        <v>12</v>
      </c>
      <c r="F356" s="7">
        <v>14</v>
      </c>
      <c r="G356" s="8">
        <f>Daily_Data[[#This Row],[Rooms_Occupied]]/F356</f>
        <v>0.8571428571428571</v>
      </c>
      <c r="H356" s="7">
        <v>1860</v>
      </c>
      <c r="I356" s="7">
        <f>Daily_Data[[#This Row],[Room_rate]]*Daily_Data[[#This Row],[Rooms_Occupied]]</f>
        <v>22320</v>
      </c>
      <c r="J356" s="10">
        <f>Daily_Data[[#This Row],[Total_Sales]] * 0.22</f>
        <v>4910.3999999999996</v>
      </c>
      <c r="K356" s="10">
        <f>INDEX(Expense_master[Monthly_Rent],MATCH(Daily_Data[[#This Row],[Month_key]],Expense_master[Month_Key],0)) / INDEX(Expense_master[Days_in_Month],MATCH(Daily_Data[[#This Row],[Month_key]],Expense_master[Month_Key],0))</f>
        <v>6774.1935483870966</v>
      </c>
      <c r="L356" s="10">
        <f>SUMIFS(Expense_master[Staff_Salary],Expense_master[Month_Key],Daily_Data[[#This Row],[Month_key]]) / SUMIFS(Expense_master[Days_in_Month],Expense_master[Month_Key],Daily_Data[[#This Row],[Month_key]])</f>
        <v>2258.0645161290322</v>
      </c>
      <c r="M356" s="10">
        <f>Daily_Data[[#This Row],[Rooms_Occupied]] * (SUMIFS(Expense_master[Housekeeping_Laundy],Expense_master[Month_Key],Daily_Data[[#This Row],[Month_key]]) / SUMIFS(Occupancy_table[Monthly_rooms_Occupied],Occupancy_table[Month_Key],Daily_Data[[#This Row],[Month_key]]))</f>
        <v>360.36036036036035</v>
      </c>
      <c r="N3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1724.1363557105492</v>
      </c>
      <c r="O356" s="10">
        <f>SUMIFS(Expense_master[Monthly_Maintenance],Expense_master[Month_Key],Daily_Data[[#This Row],[Month_key]]) / SUMIFS(Expense_master[Days_in_Month],Expense_master[Month_Key], Daily_Data[[#This Row],[Month_key]])</f>
        <v>645.16129032258061</v>
      </c>
      <c r="P356" s="10">
        <f xml:space="preserve"> Daily_Data[[#This Row],[OTA Commision]] + Daily_Data[[#This Row],[Daily_Rent]]+Daily_Data[[#This Row],[Daily_Staff]]+Daily_Data[[#This Row],[Daily_HK]]+Daily_Data[[#This Row],[Daily_Electricity]] + Daily_Data[[#This Row],[Daily Maintenance]]</f>
        <v>16672.316070909619</v>
      </c>
      <c r="Q356" s="10">
        <f>Daily_Data[[#This Row],[Total_Sales]]-Daily_Data[[#This Row],[Total_Daily_Expense]]</f>
        <v>5647.6839290903808</v>
      </c>
      <c r="R356" s="10">
        <f>Daily_Data[[#This Row],[Total_Sales]]/Daily_Data[[#This Row],[Rooms_Occupied]]</f>
        <v>1860</v>
      </c>
      <c r="S356" s="10">
        <f>Daily_Data[[#This Row],[Total_Sales]] / Daily_Data[[#This Row],[Max_rooms]]</f>
        <v>1594.2857142857142</v>
      </c>
    </row>
    <row r="357" spans="1:19" x14ac:dyDescent="0.25">
      <c r="A357" s="6">
        <v>45282</v>
      </c>
      <c r="B357" s="20">
        <f>DATE(YEAR(Daily_Data[[#This Row],[Date]]), MONTH(Daily_Data[[#This Row],[Date]]), 1)</f>
        <v>45261</v>
      </c>
      <c r="C357" s="20" t="str">
        <f>TEXT(Daily_Data[[#This Row],[Month_key]],"mmmm")</f>
        <v>December</v>
      </c>
      <c r="D357" s="20" t="str">
        <f>TEXT(Daily_Data[[#This Row],[Month_key]],"yyyy")</f>
        <v>2023</v>
      </c>
      <c r="E357" s="7">
        <v>9</v>
      </c>
      <c r="F357" s="7">
        <v>14</v>
      </c>
      <c r="G357" s="8">
        <f>Daily_Data[[#This Row],[Rooms_Occupied]]/F357</f>
        <v>0.6428571428571429</v>
      </c>
      <c r="H357" s="7">
        <v>1397</v>
      </c>
      <c r="I357" s="7">
        <f>Daily_Data[[#This Row],[Room_rate]]*Daily_Data[[#This Row],[Rooms_Occupied]]</f>
        <v>12573</v>
      </c>
      <c r="J357" s="10">
        <f>Daily_Data[[#This Row],[Total_Sales]] * 0.22</f>
        <v>2766.06</v>
      </c>
      <c r="K357" s="10">
        <f>INDEX(Expense_master[Monthly_Rent],MATCH(Daily_Data[[#This Row],[Month_key]],Expense_master[Month_Key],0)) / INDEX(Expense_master[Days_in_Month],MATCH(Daily_Data[[#This Row],[Month_key]],Expense_master[Month_Key],0))</f>
        <v>6774.1935483870966</v>
      </c>
      <c r="L357" s="10">
        <f>SUMIFS(Expense_master[Staff_Salary],Expense_master[Month_Key],Daily_Data[[#This Row],[Month_key]]) / SUMIFS(Expense_master[Days_in_Month],Expense_master[Month_Key],Daily_Data[[#This Row],[Month_key]])</f>
        <v>2258.0645161290322</v>
      </c>
      <c r="M357" s="10">
        <f>Daily_Data[[#This Row],[Rooms_Occupied]] * (SUMIFS(Expense_master[Housekeeping_Laundy],Expense_master[Month_Key],Daily_Data[[#This Row],[Month_key]]) / SUMIFS(Occupancy_table[Monthly_rooms_Occupied],Occupancy_table[Month_Key],Daily_Data[[#This Row],[Month_key]]))</f>
        <v>270.27027027027026</v>
      </c>
      <c r="N3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1454.1958151700087</v>
      </c>
      <c r="O357" s="10">
        <f>SUMIFS(Expense_master[Monthly_Maintenance],Expense_master[Month_Key],Daily_Data[[#This Row],[Month_key]]) / SUMIFS(Expense_master[Days_in_Month],Expense_master[Month_Key], Daily_Data[[#This Row],[Month_key]])</f>
        <v>645.16129032258061</v>
      </c>
      <c r="P357" s="10">
        <f xml:space="preserve"> Daily_Data[[#This Row],[OTA Commision]] + Daily_Data[[#This Row],[Daily_Rent]]+Daily_Data[[#This Row],[Daily_Staff]]+Daily_Data[[#This Row],[Daily_HK]]+Daily_Data[[#This Row],[Daily_Electricity]] + Daily_Data[[#This Row],[Daily Maintenance]]</f>
        <v>14167.945440278989</v>
      </c>
      <c r="Q357" s="10">
        <f>Daily_Data[[#This Row],[Total_Sales]]-Daily_Data[[#This Row],[Total_Daily_Expense]]</f>
        <v>-1594.9454402789888</v>
      </c>
      <c r="R357" s="10">
        <f>Daily_Data[[#This Row],[Total_Sales]]/Daily_Data[[#This Row],[Rooms_Occupied]]</f>
        <v>1397</v>
      </c>
      <c r="S357" s="10">
        <f>Daily_Data[[#This Row],[Total_Sales]] / Daily_Data[[#This Row],[Max_rooms]]</f>
        <v>898.07142857142856</v>
      </c>
    </row>
    <row r="358" spans="1:19" x14ac:dyDescent="0.25">
      <c r="A358" s="6">
        <v>45283</v>
      </c>
      <c r="B358" s="20">
        <f>DATE(YEAR(Daily_Data[[#This Row],[Date]]), MONTH(Daily_Data[[#This Row],[Date]]), 1)</f>
        <v>45261</v>
      </c>
      <c r="C358" s="20" t="str">
        <f>TEXT(Daily_Data[[#This Row],[Month_key]],"mmmm")</f>
        <v>December</v>
      </c>
      <c r="D358" s="20" t="str">
        <f>TEXT(Daily_Data[[#This Row],[Month_key]],"yyyy")</f>
        <v>2023</v>
      </c>
      <c r="E358" s="7">
        <v>14</v>
      </c>
      <c r="F358" s="7">
        <v>14</v>
      </c>
      <c r="G358" s="8">
        <f>Daily_Data[[#This Row],[Rooms_Occupied]]/F358</f>
        <v>1</v>
      </c>
      <c r="H358" s="7">
        <v>1511</v>
      </c>
      <c r="I358" s="7">
        <f>Daily_Data[[#This Row],[Room_rate]]*Daily_Data[[#This Row],[Rooms_Occupied]]</f>
        <v>21154</v>
      </c>
      <c r="J358" s="10">
        <f>Daily_Data[[#This Row],[Total_Sales]] * 0.22</f>
        <v>4653.88</v>
      </c>
      <c r="K358" s="10">
        <f>INDEX(Expense_master[Monthly_Rent],MATCH(Daily_Data[[#This Row],[Month_key]],Expense_master[Month_Key],0)) / INDEX(Expense_master[Days_in_Month],MATCH(Daily_Data[[#This Row],[Month_key]],Expense_master[Month_Key],0))</f>
        <v>6774.1935483870966</v>
      </c>
      <c r="L358" s="10">
        <f>SUMIFS(Expense_master[Staff_Salary],Expense_master[Month_Key],Daily_Data[[#This Row],[Month_key]]) / SUMIFS(Expense_master[Days_in_Month],Expense_master[Month_Key],Daily_Data[[#This Row],[Month_key]])</f>
        <v>2258.0645161290322</v>
      </c>
      <c r="M358" s="10">
        <f>Daily_Data[[#This Row],[Rooms_Occupied]] * (SUMIFS(Expense_master[Housekeeping_Laundy],Expense_master[Month_Key],Daily_Data[[#This Row],[Month_key]]) / SUMIFS(Occupancy_table[Monthly_rooms_Occupied],Occupancy_table[Month_Key],Daily_Data[[#This Row],[Month_key]]))</f>
        <v>420.42042042042044</v>
      </c>
      <c r="N3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1904.0967160709097</v>
      </c>
      <c r="O358" s="10">
        <f>SUMIFS(Expense_master[Monthly_Maintenance],Expense_master[Month_Key],Daily_Data[[#This Row],[Month_key]]) / SUMIFS(Expense_master[Days_in_Month],Expense_master[Month_Key], Daily_Data[[#This Row],[Month_key]])</f>
        <v>645.16129032258061</v>
      </c>
      <c r="P358" s="10">
        <f xml:space="preserve"> Daily_Data[[#This Row],[OTA Commision]] + Daily_Data[[#This Row],[Daily_Rent]]+Daily_Data[[#This Row],[Daily_Staff]]+Daily_Data[[#This Row],[Daily_HK]]+Daily_Data[[#This Row],[Daily_Electricity]] + Daily_Data[[#This Row],[Daily Maintenance]]</f>
        <v>16655.816491330039</v>
      </c>
      <c r="Q358" s="10">
        <f>Daily_Data[[#This Row],[Total_Sales]]-Daily_Data[[#This Row],[Total_Daily_Expense]]</f>
        <v>4498.1835086699612</v>
      </c>
      <c r="R358" s="10">
        <f>Daily_Data[[#This Row],[Total_Sales]]/Daily_Data[[#This Row],[Rooms_Occupied]]</f>
        <v>1511</v>
      </c>
      <c r="S358" s="10">
        <f>Daily_Data[[#This Row],[Total_Sales]] / Daily_Data[[#This Row],[Max_rooms]]</f>
        <v>1511</v>
      </c>
    </row>
    <row r="359" spans="1:19" x14ac:dyDescent="0.25">
      <c r="A359" s="6">
        <v>45284</v>
      </c>
      <c r="B359" s="20">
        <f>DATE(YEAR(Daily_Data[[#This Row],[Date]]), MONTH(Daily_Data[[#This Row],[Date]]), 1)</f>
        <v>45261</v>
      </c>
      <c r="C359" s="20" t="str">
        <f>TEXT(Daily_Data[[#This Row],[Month_key]],"mmmm")</f>
        <v>December</v>
      </c>
      <c r="D359" s="20" t="str">
        <f>TEXT(Daily_Data[[#This Row],[Month_key]],"yyyy")</f>
        <v>2023</v>
      </c>
      <c r="E359" s="7">
        <v>8</v>
      </c>
      <c r="F359" s="7">
        <v>14</v>
      </c>
      <c r="G359" s="8">
        <f>Daily_Data[[#This Row],[Rooms_Occupied]]/F359</f>
        <v>0.5714285714285714</v>
      </c>
      <c r="H359" s="7">
        <v>1908</v>
      </c>
      <c r="I359" s="7">
        <f>Daily_Data[[#This Row],[Room_rate]]*Daily_Data[[#This Row],[Rooms_Occupied]]</f>
        <v>15264</v>
      </c>
      <c r="J359" s="10">
        <f>Daily_Data[[#This Row],[Total_Sales]] * 0.22</f>
        <v>3358.08</v>
      </c>
      <c r="K359" s="10">
        <f>INDEX(Expense_master[Monthly_Rent],MATCH(Daily_Data[[#This Row],[Month_key]],Expense_master[Month_Key],0)) / INDEX(Expense_master[Days_in_Month],MATCH(Daily_Data[[#This Row],[Month_key]],Expense_master[Month_Key],0))</f>
        <v>6774.1935483870966</v>
      </c>
      <c r="L359" s="10">
        <f>SUMIFS(Expense_master[Staff_Salary],Expense_master[Month_Key],Daily_Data[[#This Row],[Month_key]]) / SUMIFS(Expense_master[Days_in_Month],Expense_master[Month_Key],Daily_Data[[#This Row],[Month_key]])</f>
        <v>2258.0645161290322</v>
      </c>
      <c r="M359" s="10">
        <f>Daily_Data[[#This Row],[Rooms_Occupied]] * (SUMIFS(Expense_master[Housekeeping_Laundy],Expense_master[Month_Key],Daily_Data[[#This Row],[Month_key]]) / SUMIFS(Occupancy_table[Monthly_rooms_Occupied],Occupancy_table[Month_Key],Daily_Data[[#This Row],[Month_key]]))</f>
        <v>240.24024024024024</v>
      </c>
      <c r="N3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59" s="10">
        <f>SUMIFS(Expense_master[Monthly_Maintenance],Expense_master[Month_Key],Daily_Data[[#This Row],[Month_key]]) / SUMIFS(Expense_master[Days_in_Month],Expense_master[Month_Key], Daily_Data[[#This Row],[Month_key]])</f>
        <v>645.16129032258061</v>
      </c>
      <c r="P359" s="10">
        <f xml:space="preserve"> Daily_Data[[#This Row],[OTA Commision]] + Daily_Data[[#This Row],[Daily_Rent]]+Daily_Data[[#This Row],[Daily_Staff]]+Daily_Data[[#This Row],[Daily_HK]]+Daily_Data[[#This Row],[Daily_Electricity]] + Daily_Data[[#This Row],[Daily Maintenance]]</f>
        <v>14639.955230068779</v>
      </c>
      <c r="Q359" s="10">
        <f>Daily_Data[[#This Row],[Total_Sales]]-Daily_Data[[#This Row],[Total_Daily_Expense]]</f>
        <v>624.0447699312208</v>
      </c>
      <c r="R359" s="10">
        <f>Daily_Data[[#This Row],[Total_Sales]]/Daily_Data[[#This Row],[Rooms_Occupied]]</f>
        <v>1908</v>
      </c>
      <c r="S359" s="10">
        <f>Daily_Data[[#This Row],[Total_Sales]] / Daily_Data[[#This Row],[Max_rooms]]</f>
        <v>1090.2857142857142</v>
      </c>
    </row>
    <row r="360" spans="1:19" x14ac:dyDescent="0.25">
      <c r="A360" s="6">
        <v>45285</v>
      </c>
      <c r="B360" s="20">
        <f>DATE(YEAR(Daily_Data[[#This Row],[Date]]), MONTH(Daily_Data[[#This Row],[Date]]), 1)</f>
        <v>45261</v>
      </c>
      <c r="C360" s="20" t="str">
        <f>TEXT(Daily_Data[[#This Row],[Month_key]],"mmmm")</f>
        <v>December</v>
      </c>
      <c r="D360" s="20" t="str">
        <f>TEXT(Daily_Data[[#This Row],[Month_key]],"yyyy")</f>
        <v>2023</v>
      </c>
      <c r="E360" s="7">
        <v>13</v>
      </c>
      <c r="F360" s="7">
        <v>14</v>
      </c>
      <c r="G360" s="8">
        <f>Daily_Data[[#This Row],[Rooms_Occupied]]/F360</f>
        <v>0.9285714285714286</v>
      </c>
      <c r="H360" s="7">
        <v>1893</v>
      </c>
      <c r="I360" s="7">
        <f>Daily_Data[[#This Row],[Room_rate]]*Daily_Data[[#This Row],[Rooms_Occupied]]</f>
        <v>24609</v>
      </c>
      <c r="J360" s="10">
        <f>Daily_Data[[#This Row],[Total_Sales]] * 0.22</f>
        <v>5413.9800000000005</v>
      </c>
      <c r="K360" s="10">
        <f>INDEX(Expense_master[Monthly_Rent],MATCH(Daily_Data[[#This Row],[Month_key]],Expense_master[Month_Key],0)) / INDEX(Expense_master[Days_in_Month],MATCH(Daily_Data[[#This Row],[Month_key]],Expense_master[Month_Key],0))</f>
        <v>6774.1935483870966</v>
      </c>
      <c r="L360" s="10">
        <f>SUMIFS(Expense_master[Staff_Salary],Expense_master[Month_Key],Daily_Data[[#This Row],[Month_key]]) / SUMIFS(Expense_master[Days_in_Month],Expense_master[Month_Key],Daily_Data[[#This Row],[Month_key]])</f>
        <v>2258.0645161290322</v>
      </c>
      <c r="M360" s="10">
        <f>Daily_Data[[#This Row],[Rooms_Occupied]] * (SUMIFS(Expense_master[Housekeeping_Laundy],Expense_master[Month_Key],Daily_Data[[#This Row],[Month_key]]) / SUMIFS(Occupancy_table[Monthly_rooms_Occupied],Occupancy_table[Month_Key],Daily_Data[[#This Row],[Month_key]]))</f>
        <v>390.39039039039039</v>
      </c>
      <c r="N3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1814.1165358907294</v>
      </c>
      <c r="O360" s="10">
        <f>SUMIFS(Expense_master[Monthly_Maintenance],Expense_master[Month_Key],Daily_Data[[#This Row],[Month_key]]) / SUMIFS(Expense_master[Days_in_Month],Expense_master[Month_Key], Daily_Data[[#This Row],[Month_key]])</f>
        <v>645.16129032258061</v>
      </c>
      <c r="P360" s="10">
        <f xml:space="preserve"> Daily_Data[[#This Row],[OTA Commision]] + Daily_Data[[#This Row],[Daily_Rent]]+Daily_Data[[#This Row],[Daily_Staff]]+Daily_Data[[#This Row],[Daily_HK]]+Daily_Data[[#This Row],[Daily_Electricity]] + Daily_Data[[#This Row],[Daily Maintenance]]</f>
        <v>17295.906281119831</v>
      </c>
      <c r="Q360" s="10">
        <f>Daily_Data[[#This Row],[Total_Sales]]-Daily_Data[[#This Row],[Total_Daily_Expense]]</f>
        <v>7313.093718880169</v>
      </c>
      <c r="R360" s="10">
        <f>Daily_Data[[#This Row],[Total_Sales]]/Daily_Data[[#This Row],[Rooms_Occupied]]</f>
        <v>1893</v>
      </c>
      <c r="S360" s="10">
        <f>Daily_Data[[#This Row],[Total_Sales]] / Daily_Data[[#This Row],[Max_rooms]]</f>
        <v>1757.7857142857142</v>
      </c>
    </row>
    <row r="361" spans="1:19" x14ac:dyDescent="0.25">
      <c r="A361" s="6">
        <v>45286</v>
      </c>
      <c r="B361" s="20">
        <f>DATE(YEAR(Daily_Data[[#This Row],[Date]]), MONTH(Daily_Data[[#This Row],[Date]]), 1)</f>
        <v>45261</v>
      </c>
      <c r="C361" s="20" t="str">
        <f>TEXT(Daily_Data[[#This Row],[Month_key]],"mmmm")</f>
        <v>December</v>
      </c>
      <c r="D361" s="20" t="str">
        <f>TEXT(Daily_Data[[#This Row],[Month_key]],"yyyy")</f>
        <v>2023</v>
      </c>
      <c r="E361" s="7">
        <v>8</v>
      </c>
      <c r="F361" s="7">
        <v>14</v>
      </c>
      <c r="G361" s="8">
        <f>Daily_Data[[#This Row],[Rooms_Occupied]]/F361</f>
        <v>0.5714285714285714</v>
      </c>
      <c r="H361" s="7">
        <v>1569</v>
      </c>
      <c r="I361" s="7">
        <f>Daily_Data[[#This Row],[Room_rate]]*Daily_Data[[#This Row],[Rooms_Occupied]]</f>
        <v>12552</v>
      </c>
      <c r="J361" s="10">
        <f>Daily_Data[[#This Row],[Total_Sales]] * 0.22</f>
        <v>2761.44</v>
      </c>
      <c r="K361" s="10">
        <f>INDEX(Expense_master[Monthly_Rent],MATCH(Daily_Data[[#This Row],[Month_key]],Expense_master[Month_Key],0)) / INDEX(Expense_master[Days_in_Month],MATCH(Daily_Data[[#This Row],[Month_key]],Expense_master[Month_Key],0))</f>
        <v>6774.1935483870966</v>
      </c>
      <c r="L361" s="10">
        <f>SUMIFS(Expense_master[Staff_Salary],Expense_master[Month_Key],Daily_Data[[#This Row],[Month_key]]) / SUMIFS(Expense_master[Days_in_Month],Expense_master[Month_Key],Daily_Data[[#This Row],[Month_key]])</f>
        <v>2258.0645161290322</v>
      </c>
      <c r="M361" s="10">
        <f>Daily_Data[[#This Row],[Rooms_Occupied]] * (SUMIFS(Expense_master[Housekeeping_Laundy],Expense_master[Month_Key],Daily_Data[[#This Row],[Month_key]]) / SUMIFS(Occupancy_table[Monthly_rooms_Occupied],Occupancy_table[Month_Key],Daily_Data[[#This Row],[Month_key]]))</f>
        <v>240.24024024024024</v>
      </c>
      <c r="N3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61" s="10">
        <f>SUMIFS(Expense_master[Monthly_Maintenance],Expense_master[Month_Key],Daily_Data[[#This Row],[Month_key]]) / SUMIFS(Expense_master[Days_in_Month],Expense_master[Month_Key], Daily_Data[[#This Row],[Month_key]])</f>
        <v>645.16129032258061</v>
      </c>
      <c r="P361" s="10">
        <f xml:space="preserve"> Daily_Data[[#This Row],[OTA Commision]] + Daily_Data[[#This Row],[Daily_Rent]]+Daily_Data[[#This Row],[Daily_Staff]]+Daily_Data[[#This Row],[Daily_HK]]+Daily_Data[[#This Row],[Daily_Electricity]] + Daily_Data[[#This Row],[Daily Maintenance]]</f>
        <v>14043.31523006878</v>
      </c>
      <c r="Q361" s="10">
        <f>Daily_Data[[#This Row],[Total_Sales]]-Daily_Data[[#This Row],[Total_Daily_Expense]]</f>
        <v>-1491.3152300687798</v>
      </c>
      <c r="R361" s="10">
        <f>Daily_Data[[#This Row],[Total_Sales]]/Daily_Data[[#This Row],[Rooms_Occupied]]</f>
        <v>1569</v>
      </c>
      <c r="S361" s="10">
        <f>Daily_Data[[#This Row],[Total_Sales]] / Daily_Data[[#This Row],[Max_rooms]]</f>
        <v>896.57142857142856</v>
      </c>
    </row>
    <row r="362" spans="1:19" x14ac:dyDescent="0.25">
      <c r="A362" s="6">
        <v>45287</v>
      </c>
      <c r="B362" s="20">
        <f>DATE(YEAR(Daily_Data[[#This Row],[Date]]), MONTH(Daily_Data[[#This Row],[Date]]), 1)</f>
        <v>45261</v>
      </c>
      <c r="C362" s="20" t="str">
        <f>TEXT(Daily_Data[[#This Row],[Month_key]],"mmmm")</f>
        <v>December</v>
      </c>
      <c r="D362" s="20" t="str">
        <f>TEXT(Daily_Data[[#This Row],[Month_key]],"yyyy")</f>
        <v>2023</v>
      </c>
      <c r="E362" s="7">
        <v>8</v>
      </c>
      <c r="F362" s="7">
        <v>14</v>
      </c>
      <c r="G362" s="8">
        <f>Daily_Data[[#This Row],[Rooms_Occupied]]/F362</f>
        <v>0.5714285714285714</v>
      </c>
      <c r="H362" s="7">
        <v>1489</v>
      </c>
      <c r="I362" s="7">
        <f>Daily_Data[[#This Row],[Room_rate]]*Daily_Data[[#This Row],[Rooms_Occupied]]</f>
        <v>11912</v>
      </c>
      <c r="J362" s="10">
        <f>Daily_Data[[#This Row],[Total_Sales]] * 0.22</f>
        <v>2620.64</v>
      </c>
      <c r="K362" s="10">
        <f>INDEX(Expense_master[Monthly_Rent],MATCH(Daily_Data[[#This Row],[Month_key]],Expense_master[Month_Key],0)) / INDEX(Expense_master[Days_in_Month],MATCH(Daily_Data[[#This Row],[Month_key]],Expense_master[Month_Key],0))</f>
        <v>6774.1935483870966</v>
      </c>
      <c r="L362" s="10">
        <f>SUMIFS(Expense_master[Staff_Salary],Expense_master[Month_Key],Daily_Data[[#This Row],[Month_key]]) / SUMIFS(Expense_master[Days_in_Month],Expense_master[Month_Key],Daily_Data[[#This Row],[Month_key]])</f>
        <v>2258.0645161290322</v>
      </c>
      <c r="M362" s="10">
        <f>Daily_Data[[#This Row],[Rooms_Occupied]] * (SUMIFS(Expense_master[Housekeeping_Laundy],Expense_master[Month_Key],Daily_Data[[#This Row],[Month_key]]) / SUMIFS(Occupancy_table[Monthly_rooms_Occupied],Occupancy_table[Month_Key],Daily_Data[[#This Row],[Month_key]]))</f>
        <v>240.24024024024024</v>
      </c>
      <c r="N3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62" s="10">
        <f>SUMIFS(Expense_master[Monthly_Maintenance],Expense_master[Month_Key],Daily_Data[[#This Row],[Month_key]]) / SUMIFS(Expense_master[Days_in_Month],Expense_master[Month_Key], Daily_Data[[#This Row],[Month_key]])</f>
        <v>645.16129032258061</v>
      </c>
      <c r="P362" s="10">
        <f xml:space="preserve"> Daily_Data[[#This Row],[OTA Commision]] + Daily_Data[[#This Row],[Daily_Rent]]+Daily_Data[[#This Row],[Daily_Staff]]+Daily_Data[[#This Row],[Daily_HK]]+Daily_Data[[#This Row],[Daily_Electricity]] + Daily_Data[[#This Row],[Daily Maintenance]]</f>
        <v>13902.515230068779</v>
      </c>
      <c r="Q362" s="10">
        <f>Daily_Data[[#This Row],[Total_Sales]]-Daily_Data[[#This Row],[Total_Daily_Expense]]</f>
        <v>-1990.5152300687787</v>
      </c>
      <c r="R362" s="10">
        <f>Daily_Data[[#This Row],[Total_Sales]]/Daily_Data[[#This Row],[Rooms_Occupied]]</f>
        <v>1489</v>
      </c>
      <c r="S362" s="10">
        <f>Daily_Data[[#This Row],[Total_Sales]] / Daily_Data[[#This Row],[Max_rooms]]</f>
        <v>850.85714285714289</v>
      </c>
    </row>
    <row r="363" spans="1:19" x14ac:dyDescent="0.25">
      <c r="A363" s="6">
        <v>45288</v>
      </c>
      <c r="B363" s="20">
        <f>DATE(YEAR(Daily_Data[[#This Row],[Date]]), MONTH(Daily_Data[[#This Row],[Date]]), 1)</f>
        <v>45261</v>
      </c>
      <c r="C363" s="20" t="str">
        <f>TEXT(Daily_Data[[#This Row],[Month_key]],"mmmm")</f>
        <v>December</v>
      </c>
      <c r="D363" s="20" t="str">
        <f>TEXT(Daily_Data[[#This Row],[Month_key]],"yyyy")</f>
        <v>2023</v>
      </c>
      <c r="E363" s="7">
        <v>12</v>
      </c>
      <c r="F363" s="7">
        <v>14</v>
      </c>
      <c r="G363" s="8">
        <f>Daily_Data[[#This Row],[Rooms_Occupied]]/F363</f>
        <v>0.8571428571428571</v>
      </c>
      <c r="H363" s="7">
        <v>1711</v>
      </c>
      <c r="I363" s="7">
        <f>Daily_Data[[#This Row],[Room_rate]]*Daily_Data[[#This Row],[Rooms_Occupied]]</f>
        <v>20532</v>
      </c>
      <c r="J363" s="10">
        <f>Daily_Data[[#This Row],[Total_Sales]] * 0.22</f>
        <v>4517.04</v>
      </c>
      <c r="K363" s="10">
        <f>INDEX(Expense_master[Monthly_Rent],MATCH(Daily_Data[[#This Row],[Month_key]],Expense_master[Month_Key],0)) / INDEX(Expense_master[Days_in_Month],MATCH(Daily_Data[[#This Row],[Month_key]],Expense_master[Month_Key],0))</f>
        <v>6774.1935483870966</v>
      </c>
      <c r="L363" s="10">
        <f>SUMIFS(Expense_master[Staff_Salary],Expense_master[Month_Key],Daily_Data[[#This Row],[Month_key]]) / SUMIFS(Expense_master[Days_in_Month],Expense_master[Month_Key],Daily_Data[[#This Row],[Month_key]])</f>
        <v>2258.0645161290322</v>
      </c>
      <c r="M363" s="10">
        <f>Daily_Data[[#This Row],[Rooms_Occupied]] * (SUMIFS(Expense_master[Housekeeping_Laundy],Expense_master[Month_Key],Daily_Data[[#This Row],[Month_key]]) / SUMIFS(Occupancy_table[Monthly_rooms_Occupied],Occupancy_table[Month_Key],Daily_Data[[#This Row],[Month_key]]))</f>
        <v>360.36036036036035</v>
      </c>
      <c r="N3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1724.1363557105492</v>
      </c>
      <c r="O363" s="10">
        <f>SUMIFS(Expense_master[Monthly_Maintenance],Expense_master[Month_Key],Daily_Data[[#This Row],[Month_key]]) / SUMIFS(Expense_master[Days_in_Month],Expense_master[Month_Key], Daily_Data[[#This Row],[Month_key]])</f>
        <v>645.16129032258061</v>
      </c>
      <c r="P363" s="10">
        <f xml:space="preserve"> Daily_Data[[#This Row],[OTA Commision]] + Daily_Data[[#This Row],[Daily_Rent]]+Daily_Data[[#This Row],[Daily_Staff]]+Daily_Data[[#This Row],[Daily_HK]]+Daily_Data[[#This Row],[Daily_Electricity]] + Daily_Data[[#This Row],[Daily Maintenance]]</f>
        <v>16278.956070909619</v>
      </c>
      <c r="Q363" s="10">
        <f>Daily_Data[[#This Row],[Total_Sales]]-Daily_Data[[#This Row],[Total_Daily_Expense]]</f>
        <v>4253.0439290903814</v>
      </c>
      <c r="R363" s="10">
        <f>Daily_Data[[#This Row],[Total_Sales]]/Daily_Data[[#This Row],[Rooms_Occupied]]</f>
        <v>1711</v>
      </c>
      <c r="S363" s="10">
        <f>Daily_Data[[#This Row],[Total_Sales]] / Daily_Data[[#This Row],[Max_rooms]]</f>
        <v>1466.5714285714287</v>
      </c>
    </row>
    <row r="364" spans="1:19" x14ac:dyDescent="0.25">
      <c r="A364" s="6">
        <v>45289</v>
      </c>
      <c r="B364" s="20">
        <f>DATE(YEAR(Daily_Data[[#This Row],[Date]]), MONTH(Daily_Data[[#This Row],[Date]]), 1)</f>
        <v>45261</v>
      </c>
      <c r="C364" s="20" t="str">
        <f>TEXT(Daily_Data[[#This Row],[Month_key]],"mmmm")</f>
        <v>December</v>
      </c>
      <c r="D364" s="20" t="str">
        <f>TEXT(Daily_Data[[#This Row],[Month_key]],"yyyy")</f>
        <v>2023</v>
      </c>
      <c r="E364" s="7">
        <v>14</v>
      </c>
      <c r="F364" s="7">
        <v>14</v>
      </c>
      <c r="G364" s="8">
        <f>Daily_Data[[#This Row],[Rooms_Occupied]]/F364</f>
        <v>1</v>
      </c>
      <c r="H364" s="7">
        <v>1605</v>
      </c>
      <c r="I364" s="7">
        <f>Daily_Data[[#This Row],[Room_rate]]*Daily_Data[[#This Row],[Rooms_Occupied]]</f>
        <v>22470</v>
      </c>
      <c r="J364" s="10">
        <f>Daily_Data[[#This Row],[Total_Sales]] * 0.22</f>
        <v>4943.3999999999996</v>
      </c>
      <c r="K364" s="10">
        <f>INDEX(Expense_master[Monthly_Rent],MATCH(Daily_Data[[#This Row],[Month_key]],Expense_master[Month_Key],0)) / INDEX(Expense_master[Days_in_Month],MATCH(Daily_Data[[#This Row],[Month_key]],Expense_master[Month_Key],0))</f>
        <v>6774.1935483870966</v>
      </c>
      <c r="L364" s="10">
        <f>SUMIFS(Expense_master[Staff_Salary],Expense_master[Month_Key],Daily_Data[[#This Row],[Month_key]]) / SUMIFS(Expense_master[Days_in_Month],Expense_master[Month_Key],Daily_Data[[#This Row],[Month_key]])</f>
        <v>2258.0645161290322</v>
      </c>
      <c r="M364" s="10">
        <f>Daily_Data[[#This Row],[Rooms_Occupied]] * (SUMIFS(Expense_master[Housekeeping_Laundy],Expense_master[Month_Key],Daily_Data[[#This Row],[Month_key]]) / SUMIFS(Occupancy_table[Monthly_rooms_Occupied],Occupancy_table[Month_Key],Daily_Data[[#This Row],[Month_key]]))</f>
        <v>420.42042042042044</v>
      </c>
      <c r="N3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1904.0967160709097</v>
      </c>
      <c r="O364" s="10">
        <f>SUMIFS(Expense_master[Monthly_Maintenance],Expense_master[Month_Key],Daily_Data[[#This Row],[Month_key]]) / SUMIFS(Expense_master[Days_in_Month],Expense_master[Month_Key], Daily_Data[[#This Row],[Month_key]])</f>
        <v>645.16129032258061</v>
      </c>
      <c r="P364" s="10">
        <f xml:space="preserve"> Daily_Data[[#This Row],[OTA Commision]] + Daily_Data[[#This Row],[Daily_Rent]]+Daily_Data[[#This Row],[Daily_Staff]]+Daily_Data[[#This Row],[Daily_HK]]+Daily_Data[[#This Row],[Daily_Electricity]] + Daily_Data[[#This Row],[Daily Maintenance]]</f>
        <v>16945.336491330039</v>
      </c>
      <c r="Q364" s="10">
        <f>Daily_Data[[#This Row],[Total_Sales]]-Daily_Data[[#This Row],[Total_Daily_Expense]]</f>
        <v>5524.6635086699607</v>
      </c>
      <c r="R364" s="10">
        <f>Daily_Data[[#This Row],[Total_Sales]]/Daily_Data[[#This Row],[Rooms_Occupied]]</f>
        <v>1605</v>
      </c>
      <c r="S364" s="10">
        <f>Daily_Data[[#This Row],[Total_Sales]] / Daily_Data[[#This Row],[Max_rooms]]</f>
        <v>1605</v>
      </c>
    </row>
    <row r="365" spans="1:19" x14ac:dyDescent="0.25">
      <c r="A365" s="6">
        <v>45290</v>
      </c>
      <c r="B365" s="20">
        <f>DATE(YEAR(Daily_Data[[#This Row],[Date]]), MONTH(Daily_Data[[#This Row],[Date]]), 1)</f>
        <v>45261</v>
      </c>
      <c r="C365" s="20" t="str">
        <f>TEXT(Daily_Data[[#This Row],[Month_key]],"mmmm")</f>
        <v>December</v>
      </c>
      <c r="D365" s="20" t="str">
        <f>TEXT(Daily_Data[[#This Row],[Month_key]],"yyyy")</f>
        <v>2023</v>
      </c>
      <c r="E365" s="7">
        <v>10</v>
      </c>
      <c r="F365" s="7">
        <v>14</v>
      </c>
      <c r="G365" s="8">
        <f>Daily_Data[[#This Row],[Rooms_Occupied]]/F365</f>
        <v>0.7142857142857143</v>
      </c>
      <c r="H365" s="7">
        <v>1799</v>
      </c>
      <c r="I365" s="7">
        <f>Daily_Data[[#This Row],[Room_rate]]*Daily_Data[[#This Row],[Rooms_Occupied]]</f>
        <v>17990</v>
      </c>
      <c r="J365" s="10">
        <f>Daily_Data[[#This Row],[Total_Sales]] * 0.22</f>
        <v>3957.8</v>
      </c>
      <c r="K365" s="10">
        <f>INDEX(Expense_master[Monthly_Rent],MATCH(Daily_Data[[#This Row],[Month_key]],Expense_master[Month_Key],0)) / INDEX(Expense_master[Days_in_Month],MATCH(Daily_Data[[#This Row],[Month_key]],Expense_master[Month_Key],0))</f>
        <v>6774.1935483870966</v>
      </c>
      <c r="L365" s="10">
        <f>SUMIFS(Expense_master[Staff_Salary],Expense_master[Month_Key],Daily_Data[[#This Row],[Month_key]]) / SUMIFS(Expense_master[Days_in_Month],Expense_master[Month_Key],Daily_Data[[#This Row],[Month_key]])</f>
        <v>2258.0645161290322</v>
      </c>
      <c r="M365" s="10">
        <f>Daily_Data[[#This Row],[Rooms_Occupied]] * (SUMIFS(Expense_master[Housekeeping_Laundy],Expense_master[Month_Key],Daily_Data[[#This Row],[Month_key]]) / SUMIFS(Occupancy_table[Monthly_rooms_Occupied],Occupancy_table[Month_Key],Daily_Data[[#This Row],[Month_key]]))</f>
        <v>300.30030030030031</v>
      </c>
      <c r="N3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1544.1759953501889</v>
      </c>
      <c r="O365" s="10">
        <f>SUMIFS(Expense_master[Monthly_Maintenance],Expense_master[Month_Key],Daily_Data[[#This Row],[Month_key]]) / SUMIFS(Expense_master[Days_in_Month],Expense_master[Month_Key], Daily_Data[[#This Row],[Month_key]])</f>
        <v>645.16129032258061</v>
      </c>
      <c r="P365" s="10">
        <f xml:space="preserve"> Daily_Data[[#This Row],[OTA Commision]] + Daily_Data[[#This Row],[Daily_Rent]]+Daily_Data[[#This Row],[Daily_Staff]]+Daily_Data[[#This Row],[Daily_HK]]+Daily_Data[[#This Row],[Daily_Electricity]] + Daily_Data[[#This Row],[Daily Maintenance]]</f>
        <v>15479.6956504892</v>
      </c>
      <c r="Q365" s="10">
        <f>Daily_Data[[#This Row],[Total_Sales]]-Daily_Data[[#This Row],[Total_Daily_Expense]]</f>
        <v>2510.3043495107995</v>
      </c>
      <c r="R365" s="10">
        <f>Daily_Data[[#This Row],[Total_Sales]]/Daily_Data[[#This Row],[Rooms_Occupied]]</f>
        <v>1799</v>
      </c>
      <c r="S365" s="10">
        <f>Daily_Data[[#This Row],[Total_Sales]] / Daily_Data[[#This Row],[Max_rooms]]</f>
        <v>1285</v>
      </c>
    </row>
    <row r="366" spans="1:19" x14ac:dyDescent="0.25">
      <c r="A366" s="6">
        <v>45291</v>
      </c>
      <c r="B366" s="20">
        <f>DATE(YEAR(Daily_Data[[#This Row],[Date]]), MONTH(Daily_Data[[#This Row],[Date]]), 1)</f>
        <v>45261</v>
      </c>
      <c r="C366" s="20" t="str">
        <f>TEXT(Daily_Data[[#This Row],[Month_key]],"mmmm")</f>
        <v>December</v>
      </c>
      <c r="D366" s="20" t="str">
        <f>TEXT(Daily_Data[[#This Row],[Month_key]],"yyyy")</f>
        <v>2023</v>
      </c>
      <c r="E366" s="7">
        <v>8</v>
      </c>
      <c r="F366" s="7">
        <v>14</v>
      </c>
      <c r="G366" s="8">
        <f>Daily_Data[[#This Row],[Rooms_Occupied]]/F366</f>
        <v>0.5714285714285714</v>
      </c>
      <c r="H366" s="7">
        <v>1686</v>
      </c>
      <c r="I366" s="7">
        <f>Daily_Data[[#This Row],[Room_rate]]*Daily_Data[[#This Row],[Rooms_Occupied]]</f>
        <v>13488</v>
      </c>
      <c r="J366" s="10">
        <f>Daily_Data[[#This Row],[Total_Sales]] * 0.22</f>
        <v>2967.36</v>
      </c>
      <c r="K366" s="10">
        <f>INDEX(Expense_master[Monthly_Rent],MATCH(Daily_Data[[#This Row],[Month_key]],Expense_master[Month_Key],0)) / INDEX(Expense_master[Days_in_Month],MATCH(Daily_Data[[#This Row],[Month_key]],Expense_master[Month_Key],0))</f>
        <v>6774.1935483870966</v>
      </c>
      <c r="L366" s="10">
        <f>SUMIFS(Expense_master[Staff_Salary],Expense_master[Month_Key],Daily_Data[[#This Row],[Month_key]]) / SUMIFS(Expense_master[Days_in_Month],Expense_master[Month_Key],Daily_Data[[#This Row],[Month_key]])</f>
        <v>2258.0645161290322</v>
      </c>
      <c r="M366" s="10">
        <f>Daily_Data[[#This Row],[Rooms_Occupied]] * (SUMIFS(Expense_master[Housekeeping_Laundy],Expense_master[Month_Key],Daily_Data[[#This Row],[Month_key]]) / SUMIFS(Occupancy_table[Monthly_rooms_Occupied],Occupancy_table[Month_Key],Daily_Data[[#This Row],[Month_key]]))</f>
        <v>240.24024024024024</v>
      </c>
      <c r="N3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1364.2156349898287</v>
      </c>
      <c r="O366" s="10">
        <f>SUMIFS(Expense_master[Monthly_Maintenance],Expense_master[Month_Key],Daily_Data[[#This Row],[Month_key]]) / SUMIFS(Expense_master[Days_in_Month],Expense_master[Month_Key], Daily_Data[[#This Row],[Month_key]])</f>
        <v>645.16129032258061</v>
      </c>
      <c r="P366" s="10">
        <f xml:space="preserve"> Daily_Data[[#This Row],[OTA Commision]] + Daily_Data[[#This Row],[Daily_Rent]]+Daily_Data[[#This Row],[Daily_Staff]]+Daily_Data[[#This Row],[Daily_HK]]+Daily_Data[[#This Row],[Daily_Electricity]] + Daily_Data[[#This Row],[Daily Maintenance]]</f>
        <v>14249.23523006878</v>
      </c>
      <c r="Q366" s="10">
        <f>Daily_Data[[#This Row],[Total_Sales]]-Daily_Data[[#This Row],[Total_Daily_Expense]]</f>
        <v>-761.23523006877986</v>
      </c>
      <c r="R366" s="10">
        <f>Daily_Data[[#This Row],[Total_Sales]]/Daily_Data[[#This Row],[Rooms_Occupied]]</f>
        <v>1686</v>
      </c>
      <c r="S366" s="10">
        <f>Daily_Data[[#This Row],[Total_Sales]] / Daily_Data[[#This Row],[Max_rooms]]</f>
        <v>963.42857142857144</v>
      </c>
    </row>
    <row r="367" spans="1:19" x14ac:dyDescent="0.25">
      <c r="A367" s="6">
        <v>45292</v>
      </c>
      <c r="B367" s="20">
        <f>DATE(YEAR(Daily_Data[[#This Row],[Date]]), MONTH(Daily_Data[[#This Row],[Date]]), 1)</f>
        <v>45292</v>
      </c>
      <c r="C367" s="20" t="str">
        <f>TEXT(Daily_Data[[#This Row],[Month_key]],"mmmm")</f>
        <v>January</v>
      </c>
      <c r="D367" s="20" t="str">
        <f>TEXT(Daily_Data[[#This Row],[Month_key]],"yyyy")</f>
        <v>2024</v>
      </c>
      <c r="E367" s="7">
        <v>14</v>
      </c>
      <c r="F367" s="7">
        <v>14</v>
      </c>
      <c r="G367" s="8">
        <f>Daily_Data[[#This Row],[Rooms_Occupied]]/F367</f>
        <v>1</v>
      </c>
      <c r="H367" s="7">
        <v>1661</v>
      </c>
      <c r="I367" s="7">
        <f>Daily_Data[[#This Row],[Room_rate]]*Daily_Data[[#This Row],[Rooms_Occupied]]</f>
        <v>23254</v>
      </c>
      <c r="J367" s="10">
        <f>Daily_Data[[#This Row],[Total_Sales]] * 0.22</f>
        <v>5115.88</v>
      </c>
      <c r="K367" s="10">
        <f>INDEX(Expense_master[Monthly_Rent],MATCH(Daily_Data[[#This Row],[Month_key]],Expense_master[Month_Key],0)) / INDEX(Expense_master[Days_in_Month],MATCH(Daily_Data[[#This Row],[Month_key]],Expense_master[Month_Key],0))</f>
        <v>6774.1935483870966</v>
      </c>
      <c r="L367" s="10">
        <f>SUMIFS(Expense_master[Staff_Salary],Expense_master[Month_Key],Daily_Data[[#This Row],[Month_key]]) / SUMIFS(Expense_master[Days_in_Month],Expense_master[Month_Key],Daily_Data[[#This Row],[Month_key]])</f>
        <v>2258.0645161290322</v>
      </c>
      <c r="M367" s="10">
        <f>Daily_Data[[#This Row],[Rooms_Occupied]] * (SUMIFS(Expense_master[Housekeeping_Laundy],Expense_master[Month_Key],Daily_Data[[#This Row],[Month_key]]) / SUMIFS(Occupancy_table[Monthly_rooms_Occupied],Occupancy_table[Month_Key],Daily_Data[[#This Row],[Month_key]]))</f>
        <v>438.87147335423197</v>
      </c>
      <c r="N3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2129.7037111942564</v>
      </c>
      <c r="O367" s="10">
        <f>SUMIFS(Expense_master[Monthly_Maintenance],Expense_master[Month_Key],Daily_Data[[#This Row],[Month_key]]) / SUMIFS(Expense_master[Days_in_Month],Expense_master[Month_Key], Daily_Data[[#This Row],[Month_key]])</f>
        <v>645.16129032258061</v>
      </c>
      <c r="P367" s="10">
        <f xml:space="preserve"> Daily_Data[[#This Row],[OTA Commision]] + Daily_Data[[#This Row],[Daily_Rent]]+Daily_Data[[#This Row],[Daily_Staff]]+Daily_Data[[#This Row],[Daily_HK]]+Daily_Data[[#This Row],[Daily_Electricity]] + Daily_Data[[#This Row],[Daily Maintenance]]</f>
        <v>17361.874539387194</v>
      </c>
      <c r="Q367" s="10">
        <f>Daily_Data[[#This Row],[Total_Sales]]-Daily_Data[[#This Row],[Total_Daily_Expense]]</f>
        <v>5892.1254606128059</v>
      </c>
      <c r="R367" s="10">
        <f>Daily_Data[[#This Row],[Total_Sales]]/Daily_Data[[#This Row],[Rooms_Occupied]]</f>
        <v>1661</v>
      </c>
      <c r="S367" s="10">
        <f>Daily_Data[[#This Row],[Total_Sales]] / Daily_Data[[#This Row],[Max_rooms]]</f>
        <v>1661</v>
      </c>
    </row>
    <row r="368" spans="1:19" x14ac:dyDescent="0.25">
      <c r="A368" s="6">
        <v>45293</v>
      </c>
      <c r="B368" s="20">
        <f>DATE(YEAR(Daily_Data[[#This Row],[Date]]), MONTH(Daily_Data[[#This Row],[Date]]), 1)</f>
        <v>45292</v>
      </c>
      <c r="C368" s="20" t="str">
        <f>TEXT(Daily_Data[[#This Row],[Month_key]],"mmmm")</f>
        <v>January</v>
      </c>
      <c r="D368" s="20" t="str">
        <f>TEXT(Daily_Data[[#This Row],[Month_key]],"yyyy")</f>
        <v>2024</v>
      </c>
      <c r="E368" s="7">
        <v>8</v>
      </c>
      <c r="F368" s="7">
        <v>14</v>
      </c>
      <c r="G368" s="8">
        <f>Daily_Data[[#This Row],[Rooms_Occupied]]/F368</f>
        <v>0.5714285714285714</v>
      </c>
      <c r="H368" s="7">
        <v>1498</v>
      </c>
      <c r="I368" s="7">
        <f>Daily_Data[[#This Row],[Room_rate]]*Daily_Data[[#This Row],[Rooms_Occupied]]</f>
        <v>11984</v>
      </c>
      <c r="J368" s="10">
        <f>Daily_Data[[#This Row],[Total_Sales]] * 0.22</f>
        <v>2636.48</v>
      </c>
      <c r="K368" s="10">
        <f>INDEX(Expense_master[Monthly_Rent],MATCH(Daily_Data[[#This Row],[Month_key]],Expense_master[Month_Key],0)) / INDEX(Expense_master[Days_in_Month],MATCH(Daily_Data[[#This Row],[Month_key]],Expense_master[Month_Key],0))</f>
        <v>6774.1935483870966</v>
      </c>
      <c r="L368" s="10">
        <f>SUMIFS(Expense_master[Staff_Salary],Expense_master[Month_Key],Daily_Data[[#This Row],[Month_key]]) / SUMIFS(Expense_master[Days_in_Month],Expense_master[Month_Key],Daily_Data[[#This Row],[Month_key]])</f>
        <v>2258.0645161290322</v>
      </c>
      <c r="M368" s="10">
        <f>Daily_Data[[#This Row],[Rooms_Occupied]] * (SUMIFS(Expense_master[Housekeeping_Laundy],Expense_master[Month_Key],Daily_Data[[#This Row],[Month_key]]) / SUMIFS(Occupancy_table[Monthly_rooms_Occupied],Occupancy_table[Month_Key],Daily_Data[[#This Row],[Month_key]]))</f>
        <v>250.78369905956112</v>
      </c>
      <c r="N3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68" s="10">
        <f>SUMIFS(Expense_master[Monthly_Maintenance],Expense_master[Month_Key],Daily_Data[[#This Row],[Month_key]]) / SUMIFS(Expense_master[Days_in_Month],Expense_master[Month_Key], Daily_Data[[#This Row],[Month_key]])</f>
        <v>645.16129032258061</v>
      </c>
      <c r="P368" s="10">
        <f xml:space="preserve"> Daily_Data[[#This Row],[OTA Commision]] + Daily_Data[[#This Row],[Daily_Rent]]+Daily_Data[[#This Row],[Daily_Staff]]+Daily_Data[[#This Row],[Daily_HK]]+Daily_Data[[#This Row],[Daily_Electricity]] + Daily_Data[[#This Row],[Daily Maintenance]]</f>
        <v>14081.822501769642</v>
      </c>
      <c r="Q368" s="10">
        <f>Daily_Data[[#This Row],[Total_Sales]]-Daily_Data[[#This Row],[Total_Daily_Expense]]</f>
        <v>-2097.8225017696423</v>
      </c>
      <c r="R368" s="10">
        <f>Daily_Data[[#This Row],[Total_Sales]]/Daily_Data[[#This Row],[Rooms_Occupied]]</f>
        <v>1498</v>
      </c>
      <c r="S368" s="10">
        <f>Daily_Data[[#This Row],[Total_Sales]] / Daily_Data[[#This Row],[Max_rooms]]</f>
        <v>856</v>
      </c>
    </row>
    <row r="369" spans="1:19" x14ac:dyDescent="0.25">
      <c r="A369" s="6">
        <v>45294</v>
      </c>
      <c r="B369" s="20">
        <f>DATE(YEAR(Daily_Data[[#This Row],[Date]]), MONTH(Daily_Data[[#This Row],[Date]]), 1)</f>
        <v>45292</v>
      </c>
      <c r="C369" s="20" t="str">
        <f>TEXT(Daily_Data[[#This Row],[Month_key]],"mmmm")</f>
        <v>January</v>
      </c>
      <c r="D369" s="20" t="str">
        <f>TEXT(Daily_Data[[#This Row],[Month_key]],"yyyy")</f>
        <v>2024</v>
      </c>
      <c r="E369" s="7">
        <v>9</v>
      </c>
      <c r="F369" s="7">
        <v>14</v>
      </c>
      <c r="G369" s="8">
        <f>Daily_Data[[#This Row],[Rooms_Occupied]]/F369</f>
        <v>0.6428571428571429</v>
      </c>
      <c r="H369" s="7">
        <v>1767</v>
      </c>
      <c r="I369" s="7">
        <f>Daily_Data[[#This Row],[Room_rate]]*Daily_Data[[#This Row],[Rooms_Occupied]]</f>
        <v>15903</v>
      </c>
      <c r="J369" s="10">
        <f>Daily_Data[[#This Row],[Total_Sales]] * 0.22</f>
        <v>3498.66</v>
      </c>
      <c r="K369" s="10">
        <f>INDEX(Expense_master[Monthly_Rent],MATCH(Daily_Data[[#This Row],[Month_key]],Expense_master[Month_Key],0)) / INDEX(Expense_master[Days_in_Month],MATCH(Daily_Data[[#This Row],[Month_key]],Expense_master[Month_Key],0))</f>
        <v>6774.1935483870966</v>
      </c>
      <c r="L369" s="10">
        <f>SUMIFS(Expense_master[Staff_Salary],Expense_master[Month_Key],Daily_Data[[#This Row],[Month_key]]) / SUMIFS(Expense_master[Days_in_Month],Expense_master[Month_Key],Daily_Data[[#This Row],[Month_key]])</f>
        <v>2258.0645161290322</v>
      </c>
      <c r="M369" s="10">
        <f>Daily_Data[[#This Row],[Rooms_Occupied]] * (SUMIFS(Expense_master[Housekeeping_Laundy],Expense_master[Month_Key],Daily_Data[[#This Row],[Month_key]]) / SUMIFS(Occupancy_table[Monthly_rooms_Occupied],Occupancy_table[Month_Key],Daily_Data[[#This Row],[Month_key]]))</f>
        <v>282.13166144200625</v>
      </c>
      <c r="N3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1619.2334917585197</v>
      </c>
      <c r="O369" s="10">
        <f>SUMIFS(Expense_master[Monthly_Maintenance],Expense_master[Month_Key],Daily_Data[[#This Row],[Month_key]]) / SUMIFS(Expense_master[Days_in_Month],Expense_master[Month_Key], Daily_Data[[#This Row],[Month_key]])</f>
        <v>645.16129032258061</v>
      </c>
      <c r="P369" s="10">
        <f xml:space="preserve"> Daily_Data[[#This Row],[OTA Commision]] + Daily_Data[[#This Row],[Daily_Rent]]+Daily_Data[[#This Row],[Daily_Staff]]+Daily_Data[[#This Row],[Daily_HK]]+Daily_Data[[#This Row],[Daily_Electricity]] + Daily_Data[[#This Row],[Daily Maintenance]]</f>
        <v>15077.444508039236</v>
      </c>
      <c r="Q369" s="10">
        <f>Daily_Data[[#This Row],[Total_Sales]]-Daily_Data[[#This Row],[Total_Daily_Expense]]</f>
        <v>825.5554919607639</v>
      </c>
      <c r="R369" s="10">
        <f>Daily_Data[[#This Row],[Total_Sales]]/Daily_Data[[#This Row],[Rooms_Occupied]]</f>
        <v>1767</v>
      </c>
      <c r="S369" s="10">
        <f>Daily_Data[[#This Row],[Total_Sales]] / Daily_Data[[#This Row],[Max_rooms]]</f>
        <v>1135.9285714285713</v>
      </c>
    </row>
    <row r="370" spans="1:19" x14ac:dyDescent="0.25">
      <c r="A370" s="6">
        <v>45295</v>
      </c>
      <c r="B370" s="20">
        <f>DATE(YEAR(Daily_Data[[#This Row],[Date]]), MONTH(Daily_Data[[#This Row],[Date]]), 1)</f>
        <v>45292</v>
      </c>
      <c r="C370" s="20" t="str">
        <f>TEXT(Daily_Data[[#This Row],[Month_key]],"mmmm")</f>
        <v>January</v>
      </c>
      <c r="D370" s="20" t="str">
        <f>TEXT(Daily_Data[[#This Row],[Month_key]],"yyyy")</f>
        <v>2024</v>
      </c>
      <c r="E370" s="7">
        <v>9</v>
      </c>
      <c r="F370" s="7">
        <v>14</v>
      </c>
      <c r="G370" s="8">
        <f>Daily_Data[[#This Row],[Rooms_Occupied]]/F370</f>
        <v>0.6428571428571429</v>
      </c>
      <c r="H370" s="7">
        <v>1480</v>
      </c>
      <c r="I370" s="7">
        <f>Daily_Data[[#This Row],[Room_rate]]*Daily_Data[[#This Row],[Rooms_Occupied]]</f>
        <v>13320</v>
      </c>
      <c r="J370" s="10">
        <f>Daily_Data[[#This Row],[Total_Sales]] * 0.22</f>
        <v>2930.4</v>
      </c>
      <c r="K370" s="10">
        <f>INDEX(Expense_master[Monthly_Rent],MATCH(Daily_Data[[#This Row],[Month_key]],Expense_master[Month_Key],0)) / INDEX(Expense_master[Days_in_Month],MATCH(Daily_Data[[#This Row],[Month_key]],Expense_master[Month_Key],0))</f>
        <v>6774.1935483870966</v>
      </c>
      <c r="L370" s="10">
        <f>SUMIFS(Expense_master[Staff_Salary],Expense_master[Month_Key],Daily_Data[[#This Row],[Month_key]]) / SUMIFS(Expense_master[Days_in_Month],Expense_master[Month_Key],Daily_Data[[#This Row],[Month_key]])</f>
        <v>2258.0645161290322</v>
      </c>
      <c r="M370" s="10">
        <f>Daily_Data[[#This Row],[Rooms_Occupied]] * (SUMIFS(Expense_master[Housekeeping_Laundy],Expense_master[Month_Key],Daily_Data[[#This Row],[Month_key]]) / SUMIFS(Occupancy_table[Monthly_rooms_Occupied],Occupancy_table[Month_Key],Daily_Data[[#This Row],[Month_key]]))</f>
        <v>282.13166144200625</v>
      </c>
      <c r="N3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1619.2334917585197</v>
      </c>
      <c r="O370" s="10">
        <f>SUMIFS(Expense_master[Monthly_Maintenance],Expense_master[Month_Key],Daily_Data[[#This Row],[Month_key]]) / SUMIFS(Expense_master[Days_in_Month],Expense_master[Month_Key], Daily_Data[[#This Row],[Month_key]])</f>
        <v>645.16129032258061</v>
      </c>
      <c r="P370" s="10">
        <f xml:space="preserve"> Daily_Data[[#This Row],[OTA Commision]] + Daily_Data[[#This Row],[Daily_Rent]]+Daily_Data[[#This Row],[Daily_Staff]]+Daily_Data[[#This Row],[Daily_HK]]+Daily_Data[[#This Row],[Daily_Electricity]] + Daily_Data[[#This Row],[Daily Maintenance]]</f>
        <v>14509.184508039236</v>
      </c>
      <c r="Q370" s="10">
        <f>Daily_Data[[#This Row],[Total_Sales]]-Daily_Data[[#This Row],[Total_Daily_Expense]]</f>
        <v>-1189.1845080392359</v>
      </c>
      <c r="R370" s="10">
        <f>Daily_Data[[#This Row],[Total_Sales]]/Daily_Data[[#This Row],[Rooms_Occupied]]</f>
        <v>1480</v>
      </c>
      <c r="S370" s="10">
        <f>Daily_Data[[#This Row],[Total_Sales]] / Daily_Data[[#This Row],[Max_rooms]]</f>
        <v>951.42857142857144</v>
      </c>
    </row>
    <row r="371" spans="1:19" x14ac:dyDescent="0.25">
      <c r="A371" s="6">
        <v>45296</v>
      </c>
      <c r="B371" s="20">
        <f>DATE(YEAR(Daily_Data[[#This Row],[Date]]), MONTH(Daily_Data[[#This Row],[Date]]), 1)</f>
        <v>45292</v>
      </c>
      <c r="C371" s="20" t="str">
        <f>TEXT(Daily_Data[[#This Row],[Month_key]],"mmmm")</f>
        <v>January</v>
      </c>
      <c r="D371" s="20" t="str">
        <f>TEXT(Daily_Data[[#This Row],[Month_key]],"yyyy")</f>
        <v>2024</v>
      </c>
      <c r="E371" s="7">
        <v>8</v>
      </c>
      <c r="F371" s="7">
        <v>14</v>
      </c>
      <c r="G371" s="8">
        <f>Daily_Data[[#This Row],[Rooms_Occupied]]/F371</f>
        <v>0.5714285714285714</v>
      </c>
      <c r="H371" s="7">
        <v>1126</v>
      </c>
      <c r="I371" s="7">
        <f>Daily_Data[[#This Row],[Room_rate]]*Daily_Data[[#This Row],[Rooms_Occupied]]</f>
        <v>9008</v>
      </c>
      <c r="J371" s="10">
        <f>Daily_Data[[#This Row],[Total_Sales]] * 0.22</f>
        <v>1981.76</v>
      </c>
      <c r="K371" s="10">
        <f>INDEX(Expense_master[Monthly_Rent],MATCH(Daily_Data[[#This Row],[Month_key]],Expense_master[Month_Key],0)) / INDEX(Expense_master[Days_in_Month],MATCH(Daily_Data[[#This Row],[Month_key]],Expense_master[Month_Key],0))</f>
        <v>6774.1935483870966</v>
      </c>
      <c r="L371" s="10">
        <f>SUMIFS(Expense_master[Staff_Salary],Expense_master[Month_Key],Daily_Data[[#This Row],[Month_key]]) / SUMIFS(Expense_master[Days_in_Month],Expense_master[Month_Key],Daily_Data[[#This Row],[Month_key]])</f>
        <v>2258.0645161290322</v>
      </c>
      <c r="M371" s="10">
        <f>Daily_Data[[#This Row],[Rooms_Occupied]] * (SUMIFS(Expense_master[Housekeeping_Laundy],Expense_master[Month_Key],Daily_Data[[#This Row],[Month_key]]) / SUMIFS(Occupancy_table[Monthly_rooms_Occupied],Occupancy_table[Month_Key],Daily_Data[[#This Row],[Month_key]]))</f>
        <v>250.78369905956112</v>
      </c>
      <c r="N3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71" s="10">
        <f>SUMIFS(Expense_master[Monthly_Maintenance],Expense_master[Month_Key],Daily_Data[[#This Row],[Month_key]]) / SUMIFS(Expense_master[Days_in_Month],Expense_master[Month_Key], Daily_Data[[#This Row],[Month_key]])</f>
        <v>645.16129032258061</v>
      </c>
      <c r="P371" s="10">
        <f xml:space="preserve"> Daily_Data[[#This Row],[OTA Commision]] + Daily_Data[[#This Row],[Daily_Rent]]+Daily_Data[[#This Row],[Daily_Staff]]+Daily_Data[[#This Row],[Daily_HK]]+Daily_Data[[#This Row],[Daily_Electricity]] + Daily_Data[[#This Row],[Daily Maintenance]]</f>
        <v>13427.102501769643</v>
      </c>
      <c r="Q371" s="10">
        <f>Daily_Data[[#This Row],[Total_Sales]]-Daily_Data[[#This Row],[Total_Daily_Expense]]</f>
        <v>-4419.1025017696429</v>
      </c>
      <c r="R371" s="10">
        <f>Daily_Data[[#This Row],[Total_Sales]]/Daily_Data[[#This Row],[Rooms_Occupied]]</f>
        <v>1126</v>
      </c>
      <c r="S371" s="10">
        <f>Daily_Data[[#This Row],[Total_Sales]] / Daily_Data[[#This Row],[Max_rooms]]</f>
        <v>643.42857142857144</v>
      </c>
    </row>
    <row r="372" spans="1:19" x14ac:dyDescent="0.25">
      <c r="A372" s="6">
        <v>45297</v>
      </c>
      <c r="B372" s="20">
        <f>DATE(YEAR(Daily_Data[[#This Row],[Date]]), MONTH(Daily_Data[[#This Row],[Date]]), 1)</f>
        <v>45292</v>
      </c>
      <c r="C372" s="20" t="str">
        <f>TEXT(Daily_Data[[#This Row],[Month_key]],"mmmm")</f>
        <v>January</v>
      </c>
      <c r="D372" s="20" t="str">
        <f>TEXT(Daily_Data[[#This Row],[Month_key]],"yyyy")</f>
        <v>2024</v>
      </c>
      <c r="E372" s="7">
        <v>8</v>
      </c>
      <c r="F372" s="7">
        <v>14</v>
      </c>
      <c r="G372" s="8">
        <f>Daily_Data[[#This Row],[Rooms_Occupied]]/F372</f>
        <v>0.5714285714285714</v>
      </c>
      <c r="H372" s="7">
        <v>1703</v>
      </c>
      <c r="I372" s="7">
        <f>Daily_Data[[#This Row],[Room_rate]]*Daily_Data[[#This Row],[Rooms_Occupied]]</f>
        <v>13624</v>
      </c>
      <c r="J372" s="10">
        <f>Daily_Data[[#This Row],[Total_Sales]] * 0.22</f>
        <v>2997.28</v>
      </c>
      <c r="K372" s="10">
        <f>INDEX(Expense_master[Monthly_Rent],MATCH(Daily_Data[[#This Row],[Month_key]],Expense_master[Month_Key],0)) / INDEX(Expense_master[Days_in_Month],MATCH(Daily_Data[[#This Row],[Month_key]],Expense_master[Month_Key],0))</f>
        <v>6774.1935483870966</v>
      </c>
      <c r="L372" s="10">
        <f>SUMIFS(Expense_master[Staff_Salary],Expense_master[Month_Key],Daily_Data[[#This Row],[Month_key]]) / SUMIFS(Expense_master[Days_in_Month],Expense_master[Month_Key],Daily_Data[[#This Row],[Month_key]])</f>
        <v>2258.0645161290322</v>
      </c>
      <c r="M372" s="10">
        <f>Daily_Data[[#This Row],[Rooms_Occupied]] * (SUMIFS(Expense_master[Housekeeping_Laundy],Expense_master[Month_Key],Daily_Data[[#This Row],[Month_key]]) / SUMIFS(Occupancy_table[Monthly_rooms_Occupied],Occupancy_table[Month_Key],Daily_Data[[#This Row],[Month_key]]))</f>
        <v>250.78369905956112</v>
      </c>
      <c r="N3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72" s="10">
        <f>SUMIFS(Expense_master[Monthly_Maintenance],Expense_master[Month_Key],Daily_Data[[#This Row],[Month_key]]) / SUMIFS(Expense_master[Days_in_Month],Expense_master[Month_Key], Daily_Data[[#This Row],[Month_key]])</f>
        <v>645.16129032258061</v>
      </c>
      <c r="P372" s="10">
        <f xml:space="preserve"> Daily_Data[[#This Row],[OTA Commision]] + Daily_Data[[#This Row],[Daily_Rent]]+Daily_Data[[#This Row],[Daily_Staff]]+Daily_Data[[#This Row],[Daily_HK]]+Daily_Data[[#This Row],[Daily_Electricity]] + Daily_Data[[#This Row],[Daily Maintenance]]</f>
        <v>14442.622501769643</v>
      </c>
      <c r="Q372" s="10">
        <f>Daily_Data[[#This Row],[Total_Sales]]-Daily_Data[[#This Row],[Total_Daily_Expense]]</f>
        <v>-818.62250176964335</v>
      </c>
      <c r="R372" s="10">
        <f>Daily_Data[[#This Row],[Total_Sales]]/Daily_Data[[#This Row],[Rooms_Occupied]]</f>
        <v>1703</v>
      </c>
      <c r="S372" s="10">
        <f>Daily_Data[[#This Row],[Total_Sales]] / Daily_Data[[#This Row],[Max_rooms]]</f>
        <v>973.14285714285711</v>
      </c>
    </row>
    <row r="373" spans="1:19" x14ac:dyDescent="0.25">
      <c r="A373" s="6">
        <v>45298</v>
      </c>
      <c r="B373" s="20">
        <f>DATE(YEAR(Daily_Data[[#This Row],[Date]]), MONTH(Daily_Data[[#This Row],[Date]]), 1)</f>
        <v>45292</v>
      </c>
      <c r="C373" s="20" t="str">
        <f>TEXT(Daily_Data[[#This Row],[Month_key]],"mmmm")</f>
        <v>January</v>
      </c>
      <c r="D373" s="20" t="str">
        <f>TEXT(Daily_Data[[#This Row],[Month_key]],"yyyy")</f>
        <v>2024</v>
      </c>
      <c r="E373" s="7">
        <v>11</v>
      </c>
      <c r="F373" s="7">
        <v>14</v>
      </c>
      <c r="G373" s="8">
        <f>Daily_Data[[#This Row],[Rooms_Occupied]]/F373</f>
        <v>0.7857142857142857</v>
      </c>
      <c r="H373" s="7">
        <v>1644</v>
      </c>
      <c r="I373" s="7">
        <f>Daily_Data[[#This Row],[Room_rate]]*Daily_Data[[#This Row],[Rooms_Occupied]]</f>
        <v>18084</v>
      </c>
      <c r="J373" s="10">
        <f>Daily_Data[[#This Row],[Total_Sales]] * 0.22</f>
        <v>3978.48</v>
      </c>
      <c r="K373" s="10">
        <f>INDEX(Expense_master[Monthly_Rent],MATCH(Daily_Data[[#This Row],[Month_key]],Expense_master[Month_Key],0)) / INDEX(Expense_master[Days_in_Month],MATCH(Daily_Data[[#This Row],[Month_key]],Expense_master[Month_Key],0))</f>
        <v>6774.1935483870966</v>
      </c>
      <c r="L373" s="10">
        <f>SUMIFS(Expense_master[Staff_Salary],Expense_master[Month_Key],Daily_Data[[#This Row],[Month_key]]) / SUMIFS(Expense_master[Days_in_Month],Expense_master[Month_Key],Daily_Data[[#This Row],[Month_key]])</f>
        <v>2258.0645161290322</v>
      </c>
      <c r="M373" s="10">
        <f>Daily_Data[[#This Row],[Rooms_Occupied]] * (SUMIFS(Expense_master[Housekeeping_Laundy],Expense_master[Month_Key],Daily_Data[[#This Row],[Month_key]]) / SUMIFS(Occupancy_table[Monthly_rooms_Occupied],Occupancy_table[Month_Key],Daily_Data[[#This Row],[Month_key]]))</f>
        <v>344.82758620689651</v>
      </c>
      <c r="N3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73" s="10">
        <f>SUMIFS(Expense_master[Monthly_Maintenance],Expense_master[Month_Key],Daily_Data[[#This Row],[Month_key]]) / SUMIFS(Expense_master[Days_in_Month],Expense_master[Month_Key], Daily_Data[[#This Row],[Month_key]])</f>
        <v>645.16129032258061</v>
      </c>
      <c r="P373" s="10">
        <f xml:space="preserve"> Daily_Data[[#This Row],[OTA Commision]] + Daily_Data[[#This Row],[Daily_Rent]]+Daily_Data[[#This Row],[Daily_Staff]]+Daily_Data[[#This Row],[Daily_HK]]+Daily_Data[[#This Row],[Daily_Electricity]] + Daily_Data[[#This Row],[Daily Maintenance]]</f>
        <v>15824.148520578421</v>
      </c>
      <c r="Q373" s="10">
        <f>Daily_Data[[#This Row],[Total_Sales]]-Daily_Data[[#This Row],[Total_Daily_Expense]]</f>
        <v>2259.8514794215789</v>
      </c>
      <c r="R373" s="10">
        <f>Daily_Data[[#This Row],[Total_Sales]]/Daily_Data[[#This Row],[Rooms_Occupied]]</f>
        <v>1644</v>
      </c>
      <c r="S373" s="10">
        <f>Daily_Data[[#This Row],[Total_Sales]] / Daily_Data[[#This Row],[Max_rooms]]</f>
        <v>1291.7142857142858</v>
      </c>
    </row>
    <row r="374" spans="1:19" x14ac:dyDescent="0.25">
      <c r="A374" s="6">
        <v>45299</v>
      </c>
      <c r="B374" s="20">
        <f>DATE(YEAR(Daily_Data[[#This Row],[Date]]), MONTH(Daily_Data[[#This Row],[Date]]), 1)</f>
        <v>45292</v>
      </c>
      <c r="C374" s="20" t="str">
        <f>TEXT(Daily_Data[[#This Row],[Month_key]],"mmmm")</f>
        <v>January</v>
      </c>
      <c r="D374" s="20" t="str">
        <f>TEXT(Daily_Data[[#This Row],[Month_key]],"yyyy")</f>
        <v>2024</v>
      </c>
      <c r="E374" s="7">
        <v>11</v>
      </c>
      <c r="F374" s="7">
        <v>14</v>
      </c>
      <c r="G374" s="8">
        <f>Daily_Data[[#This Row],[Rooms_Occupied]]/F374</f>
        <v>0.7857142857142857</v>
      </c>
      <c r="H374" s="7">
        <v>1788</v>
      </c>
      <c r="I374" s="7">
        <f>Daily_Data[[#This Row],[Room_rate]]*Daily_Data[[#This Row],[Rooms_Occupied]]</f>
        <v>19668</v>
      </c>
      <c r="J374" s="10">
        <f>Daily_Data[[#This Row],[Total_Sales]] * 0.22</f>
        <v>4326.96</v>
      </c>
      <c r="K374" s="10">
        <f>INDEX(Expense_master[Monthly_Rent],MATCH(Daily_Data[[#This Row],[Month_key]],Expense_master[Month_Key],0)) / INDEX(Expense_master[Days_in_Month],MATCH(Daily_Data[[#This Row],[Month_key]],Expense_master[Month_Key],0))</f>
        <v>6774.1935483870966</v>
      </c>
      <c r="L374" s="10">
        <f>SUMIFS(Expense_master[Staff_Salary],Expense_master[Month_Key],Daily_Data[[#This Row],[Month_key]]) / SUMIFS(Expense_master[Days_in_Month],Expense_master[Month_Key],Daily_Data[[#This Row],[Month_key]])</f>
        <v>2258.0645161290322</v>
      </c>
      <c r="M374" s="10">
        <f>Daily_Data[[#This Row],[Rooms_Occupied]] * (SUMIFS(Expense_master[Housekeeping_Laundy],Expense_master[Month_Key],Daily_Data[[#This Row],[Month_key]]) / SUMIFS(Occupancy_table[Monthly_rooms_Occupied],Occupancy_table[Month_Key],Daily_Data[[#This Row],[Month_key]]))</f>
        <v>344.82758620689651</v>
      </c>
      <c r="N3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74" s="10">
        <f>SUMIFS(Expense_master[Monthly_Maintenance],Expense_master[Month_Key],Daily_Data[[#This Row],[Month_key]]) / SUMIFS(Expense_master[Days_in_Month],Expense_master[Month_Key], Daily_Data[[#This Row],[Month_key]])</f>
        <v>645.16129032258061</v>
      </c>
      <c r="P374" s="10">
        <f xml:space="preserve"> Daily_Data[[#This Row],[OTA Commision]] + Daily_Data[[#This Row],[Daily_Rent]]+Daily_Data[[#This Row],[Daily_Staff]]+Daily_Data[[#This Row],[Daily_HK]]+Daily_Data[[#This Row],[Daily_Electricity]] + Daily_Data[[#This Row],[Daily Maintenance]]</f>
        <v>16172.628520578422</v>
      </c>
      <c r="Q374" s="10">
        <f>Daily_Data[[#This Row],[Total_Sales]]-Daily_Data[[#This Row],[Total_Daily_Expense]]</f>
        <v>3495.3714794215775</v>
      </c>
      <c r="R374" s="10">
        <f>Daily_Data[[#This Row],[Total_Sales]]/Daily_Data[[#This Row],[Rooms_Occupied]]</f>
        <v>1788</v>
      </c>
      <c r="S374" s="10">
        <f>Daily_Data[[#This Row],[Total_Sales]] / Daily_Data[[#This Row],[Max_rooms]]</f>
        <v>1404.8571428571429</v>
      </c>
    </row>
    <row r="375" spans="1:19" x14ac:dyDescent="0.25">
      <c r="A375" s="6">
        <v>45300</v>
      </c>
      <c r="B375" s="20">
        <f>DATE(YEAR(Daily_Data[[#This Row],[Date]]), MONTH(Daily_Data[[#This Row],[Date]]), 1)</f>
        <v>45292</v>
      </c>
      <c r="C375" s="20" t="str">
        <f>TEXT(Daily_Data[[#This Row],[Month_key]],"mmmm")</f>
        <v>January</v>
      </c>
      <c r="D375" s="20" t="str">
        <f>TEXT(Daily_Data[[#This Row],[Month_key]],"yyyy")</f>
        <v>2024</v>
      </c>
      <c r="E375" s="7">
        <v>8</v>
      </c>
      <c r="F375" s="7">
        <v>14</v>
      </c>
      <c r="G375" s="8">
        <f>Daily_Data[[#This Row],[Rooms_Occupied]]/F375</f>
        <v>0.5714285714285714</v>
      </c>
      <c r="H375" s="7">
        <v>1872</v>
      </c>
      <c r="I375" s="7">
        <f>Daily_Data[[#This Row],[Room_rate]]*Daily_Data[[#This Row],[Rooms_Occupied]]</f>
        <v>14976</v>
      </c>
      <c r="J375" s="10">
        <f>Daily_Data[[#This Row],[Total_Sales]] * 0.22</f>
        <v>3294.72</v>
      </c>
      <c r="K375" s="10">
        <f>INDEX(Expense_master[Monthly_Rent],MATCH(Daily_Data[[#This Row],[Month_key]],Expense_master[Month_Key],0)) / INDEX(Expense_master[Days_in_Month],MATCH(Daily_Data[[#This Row],[Month_key]],Expense_master[Month_Key],0))</f>
        <v>6774.1935483870966</v>
      </c>
      <c r="L375" s="10">
        <f>SUMIFS(Expense_master[Staff_Salary],Expense_master[Month_Key],Daily_Data[[#This Row],[Month_key]]) / SUMIFS(Expense_master[Days_in_Month],Expense_master[Month_Key],Daily_Data[[#This Row],[Month_key]])</f>
        <v>2258.0645161290322</v>
      </c>
      <c r="M375" s="10">
        <f>Daily_Data[[#This Row],[Rooms_Occupied]] * (SUMIFS(Expense_master[Housekeeping_Laundy],Expense_master[Month_Key],Daily_Data[[#This Row],[Month_key]]) / SUMIFS(Occupancy_table[Monthly_rooms_Occupied],Occupancy_table[Month_Key],Daily_Data[[#This Row],[Month_key]]))</f>
        <v>250.78369905956112</v>
      </c>
      <c r="N3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75" s="10">
        <f>SUMIFS(Expense_master[Monthly_Maintenance],Expense_master[Month_Key],Daily_Data[[#This Row],[Month_key]]) / SUMIFS(Expense_master[Days_in_Month],Expense_master[Month_Key], Daily_Data[[#This Row],[Month_key]])</f>
        <v>645.16129032258061</v>
      </c>
      <c r="P375" s="10">
        <f xml:space="preserve"> Daily_Data[[#This Row],[OTA Commision]] + Daily_Data[[#This Row],[Daily_Rent]]+Daily_Data[[#This Row],[Daily_Staff]]+Daily_Data[[#This Row],[Daily_HK]]+Daily_Data[[#This Row],[Daily_Electricity]] + Daily_Data[[#This Row],[Daily Maintenance]]</f>
        <v>14740.062501769642</v>
      </c>
      <c r="Q375" s="10">
        <f>Daily_Data[[#This Row],[Total_Sales]]-Daily_Data[[#This Row],[Total_Daily_Expense]]</f>
        <v>235.93749823035796</v>
      </c>
      <c r="R375" s="10">
        <f>Daily_Data[[#This Row],[Total_Sales]]/Daily_Data[[#This Row],[Rooms_Occupied]]</f>
        <v>1872</v>
      </c>
      <c r="S375" s="10">
        <f>Daily_Data[[#This Row],[Total_Sales]] / Daily_Data[[#This Row],[Max_rooms]]</f>
        <v>1069.7142857142858</v>
      </c>
    </row>
    <row r="376" spans="1:19" x14ac:dyDescent="0.25">
      <c r="A376" s="6">
        <v>45301</v>
      </c>
      <c r="B376" s="20">
        <f>DATE(YEAR(Daily_Data[[#This Row],[Date]]), MONTH(Daily_Data[[#This Row],[Date]]), 1)</f>
        <v>45292</v>
      </c>
      <c r="C376" s="20" t="str">
        <f>TEXT(Daily_Data[[#This Row],[Month_key]],"mmmm")</f>
        <v>January</v>
      </c>
      <c r="D376" s="20" t="str">
        <f>TEXT(Daily_Data[[#This Row],[Month_key]],"yyyy")</f>
        <v>2024</v>
      </c>
      <c r="E376" s="7">
        <v>12</v>
      </c>
      <c r="F376" s="7">
        <v>14</v>
      </c>
      <c r="G376" s="8">
        <f>Daily_Data[[#This Row],[Rooms_Occupied]]/F376</f>
        <v>0.8571428571428571</v>
      </c>
      <c r="H376" s="7">
        <v>1991</v>
      </c>
      <c r="I376" s="7">
        <f>Daily_Data[[#This Row],[Room_rate]]*Daily_Data[[#This Row],[Rooms_Occupied]]</f>
        <v>23892</v>
      </c>
      <c r="J376" s="10">
        <f>Daily_Data[[#This Row],[Total_Sales]] * 0.22</f>
        <v>5256.24</v>
      </c>
      <c r="K376" s="10">
        <f>INDEX(Expense_master[Monthly_Rent],MATCH(Daily_Data[[#This Row],[Month_key]],Expense_master[Month_Key],0)) / INDEX(Expense_master[Days_in_Month],MATCH(Daily_Data[[#This Row],[Month_key]],Expense_master[Month_Key],0))</f>
        <v>6774.1935483870966</v>
      </c>
      <c r="L376" s="10">
        <f>SUMIFS(Expense_master[Staff_Salary],Expense_master[Month_Key],Daily_Data[[#This Row],[Month_key]]) / SUMIFS(Expense_master[Days_in_Month],Expense_master[Month_Key],Daily_Data[[#This Row],[Month_key]])</f>
        <v>2258.0645161290322</v>
      </c>
      <c r="M376" s="10">
        <f>Daily_Data[[#This Row],[Rooms_Occupied]] * (SUMIFS(Expense_master[Housekeeping_Laundy],Expense_master[Month_Key],Daily_Data[[#This Row],[Month_key]]) / SUMIFS(Occupancy_table[Monthly_rooms_Occupied],Occupancy_table[Month_Key],Daily_Data[[#This Row],[Month_key]]))</f>
        <v>376.1755485893417</v>
      </c>
      <c r="N3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1925.5156234199617</v>
      </c>
      <c r="O376" s="10">
        <f>SUMIFS(Expense_master[Monthly_Maintenance],Expense_master[Month_Key],Daily_Data[[#This Row],[Month_key]]) / SUMIFS(Expense_master[Days_in_Month],Expense_master[Month_Key], Daily_Data[[#This Row],[Month_key]])</f>
        <v>645.16129032258061</v>
      </c>
      <c r="P376" s="10">
        <f xml:space="preserve"> Daily_Data[[#This Row],[OTA Commision]] + Daily_Data[[#This Row],[Daily_Rent]]+Daily_Data[[#This Row],[Daily_Staff]]+Daily_Data[[#This Row],[Daily_HK]]+Daily_Data[[#This Row],[Daily_Electricity]] + Daily_Data[[#This Row],[Daily Maintenance]]</f>
        <v>17235.350526848011</v>
      </c>
      <c r="Q376" s="10">
        <f>Daily_Data[[#This Row],[Total_Sales]]-Daily_Data[[#This Row],[Total_Daily_Expense]]</f>
        <v>6656.6494731519888</v>
      </c>
      <c r="R376" s="10">
        <f>Daily_Data[[#This Row],[Total_Sales]]/Daily_Data[[#This Row],[Rooms_Occupied]]</f>
        <v>1991</v>
      </c>
      <c r="S376" s="10">
        <f>Daily_Data[[#This Row],[Total_Sales]] / Daily_Data[[#This Row],[Max_rooms]]</f>
        <v>1706.5714285714287</v>
      </c>
    </row>
    <row r="377" spans="1:19" x14ac:dyDescent="0.25">
      <c r="A377" s="6">
        <v>45302</v>
      </c>
      <c r="B377" s="20">
        <f>DATE(YEAR(Daily_Data[[#This Row],[Date]]), MONTH(Daily_Data[[#This Row],[Date]]), 1)</f>
        <v>45292</v>
      </c>
      <c r="C377" s="20" t="str">
        <f>TEXT(Daily_Data[[#This Row],[Month_key]],"mmmm")</f>
        <v>January</v>
      </c>
      <c r="D377" s="20" t="str">
        <f>TEXT(Daily_Data[[#This Row],[Month_key]],"yyyy")</f>
        <v>2024</v>
      </c>
      <c r="E377" s="7">
        <v>9</v>
      </c>
      <c r="F377" s="7">
        <v>14</v>
      </c>
      <c r="G377" s="8">
        <f>Daily_Data[[#This Row],[Rooms_Occupied]]/F377</f>
        <v>0.6428571428571429</v>
      </c>
      <c r="H377" s="7">
        <v>1580</v>
      </c>
      <c r="I377" s="7">
        <f>Daily_Data[[#This Row],[Room_rate]]*Daily_Data[[#This Row],[Rooms_Occupied]]</f>
        <v>14220</v>
      </c>
      <c r="J377" s="10">
        <f>Daily_Data[[#This Row],[Total_Sales]] * 0.22</f>
        <v>3128.4</v>
      </c>
      <c r="K377" s="10">
        <f>INDEX(Expense_master[Monthly_Rent],MATCH(Daily_Data[[#This Row],[Month_key]],Expense_master[Month_Key],0)) / INDEX(Expense_master[Days_in_Month],MATCH(Daily_Data[[#This Row],[Month_key]],Expense_master[Month_Key],0))</f>
        <v>6774.1935483870966</v>
      </c>
      <c r="L377" s="10">
        <f>SUMIFS(Expense_master[Staff_Salary],Expense_master[Month_Key],Daily_Data[[#This Row],[Month_key]]) / SUMIFS(Expense_master[Days_in_Month],Expense_master[Month_Key],Daily_Data[[#This Row],[Month_key]])</f>
        <v>2258.0645161290322</v>
      </c>
      <c r="M377" s="10">
        <f>Daily_Data[[#This Row],[Rooms_Occupied]] * (SUMIFS(Expense_master[Housekeeping_Laundy],Expense_master[Month_Key],Daily_Data[[#This Row],[Month_key]]) / SUMIFS(Occupancy_table[Monthly_rooms_Occupied],Occupancy_table[Month_Key],Daily_Data[[#This Row],[Month_key]]))</f>
        <v>282.13166144200625</v>
      </c>
      <c r="N3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1619.2334917585197</v>
      </c>
      <c r="O377" s="10">
        <f>SUMIFS(Expense_master[Monthly_Maintenance],Expense_master[Month_Key],Daily_Data[[#This Row],[Month_key]]) / SUMIFS(Expense_master[Days_in_Month],Expense_master[Month_Key], Daily_Data[[#This Row],[Month_key]])</f>
        <v>645.16129032258061</v>
      </c>
      <c r="P377" s="10">
        <f xml:space="preserve"> Daily_Data[[#This Row],[OTA Commision]] + Daily_Data[[#This Row],[Daily_Rent]]+Daily_Data[[#This Row],[Daily_Staff]]+Daily_Data[[#This Row],[Daily_HK]]+Daily_Data[[#This Row],[Daily_Electricity]] + Daily_Data[[#This Row],[Daily Maintenance]]</f>
        <v>14707.184508039236</v>
      </c>
      <c r="Q377" s="10">
        <f>Daily_Data[[#This Row],[Total_Sales]]-Daily_Data[[#This Row],[Total_Daily_Expense]]</f>
        <v>-487.18450803923588</v>
      </c>
      <c r="R377" s="10">
        <f>Daily_Data[[#This Row],[Total_Sales]]/Daily_Data[[#This Row],[Rooms_Occupied]]</f>
        <v>1580</v>
      </c>
      <c r="S377" s="10">
        <f>Daily_Data[[#This Row],[Total_Sales]] / Daily_Data[[#This Row],[Max_rooms]]</f>
        <v>1015.7142857142857</v>
      </c>
    </row>
    <row r="378" spans="1:19" x14ac:dyDescent="0.25">
      <c r="A378" s="6">
        <v>45303</v>
      </c>
      <c r="B378" s="20">
        <f>DATE(YEAR(Daily_Data[[#This Row],[Date]]), MONTH(Daily_Data[[#This Row],[Date]]), 1)</f>
        <v>45292</v>
      </c>
      <c r="C378" s="20" t="str">
        <f>TEXT(Daily_Data[[#This Row],[Month_key]],"mmmm")</f>
        <v>January</v>
      </c>
      <c r="D378" s="20" t="str">
        <f>TEXT(Daily_Data[[#This Row],[Month_key]],"yyyy")</f>
        <v>2024</v>
      </c>
      <c r="E378" s="7">
        <v>11</v>
      </c>
      <c r="F378" s="7">
        <v>14</v>
      </c>
      <c r="G378" s="8">
        <f>Daily_Data[[#This Row],[Rooms_Occupied]]/F378</f>
        <v>0.7857142857142857</v>
      </c>
      <c r="H378" s="7">
        <v>1313</v>
      </c>
      <c r="I378" s="7">
        <f>Daily_Data[[#This Row],[Room_rate]]*Daily_Data[[#This Row],[Rooms_Occupied]]</f>
        <v>14443</v>
      </c>
      <c r="J378" s="10">
        <f>Daily_Data[[#This Row],[Total_Sales]] * 0.22</f>
        <v>3177.46</v>
      </c>
      <c r="K378" s="10">
        <f>INDEX(Expense_master[Monthly_Rent],MATCH(Daily_Data[[#This Row],[Month_key]],Expense_master[Month_Key],0)) / INDEX(Expense_master[Days_in_Month],MATCH(Daily_Data[[#This Row],[Month_key]],Expense_master[Month_Key],0))</f>
        <v>6774.1935483870966</v>
      </c>
      <c r="L378" s="10">
        <f>SUMIFS(Expense_master[Staff_Salary],Expense_master[Month_Key],Daily_Data[[#This Row],[Month_key]]) / SUMIFS(Expense_master[Days_in_Month],Expense_master[Month_Key],Daily_Data[[#This Row],[Month_key]])</f>
        <v>2258.0645161290322</v>
      </c>
      <c r="M378" s="10">
        <f>Daily_Data[[#This Row],[Rooms_Occupied]] * (SUMIFS(Expense_master[Housekeeping_Laundy],Expense_master[Month_Key],Daily_Data[[#This Row],[Month_key]]) / SUMIFS(Occupancy_table[Monthly_rooms_Occupied],Occupancy_table[Month_Key],Daily_Data[[#This Row],[Month_key]]))</f>
        <v>344.82758620689651</v>
      </c>
      <c r="N3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78" s="10">
        <f>SUMIFS(Expense_master[Monthly_Maintenance],Expense_master[Month_Key],Daily_Data[[#This Row],[Month_key]]) / SUMIFS(Expense_master[Days_in_Month],Expense_master[Month_Key], Daily_Data[[#This Row],[Month_key]])</f>
        <v>645.16129032258061</v>
      </c>
      <c r="P378" s="10">
        <f xml:space="preserve"> Daily_Data[[#This Row],[OTA Commision]] + Daily_Data[[#This Row],[Daily_Rent]]+Daily_Data[[#This Row],[Daily_Staff]]+Daily_Data[[#This Row],[Daily_HK]]+Daily_Data[[#This Row],[Daily_Electricity]] + Daily_Data[[#This Row],[Daily Maintenance]]</f>
        <v>15023.128520578422</v>
      </c>
      <c r="Q378" s="10">
        <f>Daily_Data[[#This Row],[Total_Sales]]-Daily_Data[[#This Row],[Total_Daily_Expense]]</f>
        <v>-580.12852057842247</v>
      </c>
      <c r="R378" s="10">
        <f>Daily_Data[[#This Row],[Total_Sales]]/Daily_Data[[#This Row],[Rooms_Occupied]]</f>
        <v>1313</v>
      </c>
      <c r="S378" s="10">
        <f>Daily_Data[[#This Row],[Total_Sales]] / Daily_Data[[#This Row],[Max_rooms]]</f>
        <v>1031.6428571428571</v>
      </c>
    </row>
    <row r="379" spans="1:19" x14ac:dyDescent="0.25">
      <c r="A379" s="6">
        <v>45304</v>
      </c>
      <c r="B379" s="20">
        <f>DATE(YEAR(Daily_Data[[#This Row],[Date]]), MONTH(Daily_Data[[#This Row],[Date]]), 1)</f>
        <v>45292</v>
      </c>
      <c r="C379" s="20" t="str">
        <f>TEXT(Daily_Data[[#This Row],[Month_key]],"mmmm")</f>
        <v>January</v>
      </c>
      <c r="D379" s="20" t="str">
        <f>TEXT(Daily_Data[[#This Row],[Month_key]],"yyyy")</f>
        <v>2024</v>
      </c>
      <c r="E379" s="7">
        <v>12</v>
      </c>
      <c r="F379" s="7">
        <v>14</v>
      </c>
      <c r="G379" s="8">
        <f>Daily_Data[[#This Row],[Rooms_Occupied]]/F379</f>
        <v>0.8571428571428571</v>
      </c>
      <c r="H379" s="7">
        <v>1630</v>
      </c>
      <c r="I379" s="7">
        <f>Daily_Data[[#This Row],[Room_rate]]*Daily_Data[[#This Row],[Rooms_Occupied]]</f>
        <v>19560</v>
      </c>
      <c r="J379" s="10">
        <f>Daily_Data[[#This Row],[Total_Sales]] * 0.22</f>
        <v>4303.2</v>
      </c>
      <c r="K379" s="10">
        <f>INDEX(Expense_master[Monthly_Rent],MATCH(Daily_Data[[#This Row],[Month_key]],Expense_master[Month_Key],0)) / INDEX(Expense_master[Days_in_Month],MATCH(Daily_Data[[#This Row],[Month_key]],Expense_master[Month_Key],0))</f>
        <v>6774.1935483870966</v>
      </c>
      <c r="L379" s="10">
        <f>SUMIFS(Expense_master[Staff_Salary],Expense_master[Month_Key],Daily_Data[[#This Row],[Month_key]]) / SUMIFS(Expense_master[Days_in_Month],Expense_master[Month_Key],Daily_Data[[#This Row],[Month_key]])</f>
        <v>2258.0645161290322</v>
      </c>
      <c r="M379" s="10">
        <f>Daily_Data[[#This Row],[Rooms_Occupied]] * (SUMIFS(Expense_master[Housekeeping_Laundy],Expense_master[Month_Key],Daily_Data[[#This Row],[Month_key]]) / SUMIFS(Occupancy_table[Monthly_rooms_Occupied],Occupancy_table[Month_Key],Daily_Data[[#This Row],[Month_key]]))</f>
        <v>376.1755485893417</v>
      </c>
      <c r="N3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1925.5156234199617</v>
      </c>
      <c r="O379" s="10">
        <f>SUMIFS(Expense_master[Monthly_Maintenance],Expense_master[Month_Key],Daily_Data[[#This Row],[Month_key]]) / SUMIFS(Expense_master[Days_in_Month],Expense_master[Month_Key], Daily_Data[[#This Row],[Month_key]])</f>
        <v>645.16129032258061</v>
      </c>
      <c r="P379" s="10">
        <f xml:space="preserve"> Daily_Data[[#This Row],[OTA Commision]] + Daily_Data[[#This Row],[Daily_Rent]]+Daily_Data[[#This Row],[Daily_Staff]]+Daily_Data[[#This Row],[Daily_HK]]+Daily_Data[[#This Row],[Daily_Electricity]] + Daily_Data[[#This Row],[Daily Maintenance]]</f>
        <v>16282.310526848012</v>
      </c>
      <c r="Q379" s="10">
        <f>Daily_Data[[#This Row],[Total_Sales]]-Daily_Data[[#This Row],[Total_Daily_Expense]]</f>
        <v>3277.6894731519878</v>
      </c>
      <c r="R379" s="10">
        <f>Daily_Data[[#This Row],[Total_Sales]]/Daily_Data[[#This Row],[Rooms_Occupied]]</f>
        <v>1630</v>
      </c>
      <c r="S379" s="10">
        <f>Daily_Data[[#This Row],[Total_Sales]] / Daily_Data[[#This Row],[Max_rooms]]</f>
        <v>1397.1428571428571</v>
      </c>
    </row>
    <row r="380" spans="1:19" x14ac:dyDescent="0.25">
      <c r="A380" s="6">
        <v>45305</v>
      </c>
      <c r="B380" s="20">
        <f>DATE(YEAR(Daily_Data[[#This Row],[Date]]), MONTH(Daily_Data[[#This Row],[Date]]), 1)</f>
        <v>45292</v>
      </c>
      <c r="C380" s="20" t="str">
        <f>TEXT(Daily_Data[[#This Row],[Month_key]],"mmmm")</f>
        <v>January</v>
      </c>
      <c r="D380" s="20" t="str">
        <f>TEXT(Daily_Data[[#This Row],[Month_key]],"yyyy")</f>
        <v>2024</v>
      </c>
      <c r="E380" s="7">
        <v>10</v>
      </c>
      <c r="F380" s="7">
        <v>14</v>
      </c>
      <c r="G380" s="8">
        <f>Daily_Data[[#This Row],[Rooms_Occupied]]/F380</f>
        <v>0.7142857142857143</v>
      </c>
      <c r="H380" s="7">
        <v>1325</v>
      </c>
      <c r="I380" s="7">
        <f>Daily_Data[[#This Row],[Room_rate]]*Daily_Data[[#This Row],[Rooms_Occupied]]</f>
        <v>13250</v>
      </c>
      <c r="J380" s="10">
        <f>Daily_Data[[#This Row],[Total_Sales]] * 0.22</f>
        <v>2915</v>
      </c>
      <c r="K380" s="10">
        <f>INDEX(Expense_master[Monthly_Rent],MATCH(Daily_Data[[#This Row],[Month_key]],Expense_master[Month_Key],0)) / INDEX(Expense_master[Days_in_Month],MATCH(Daily_Data[[#This Row],[Month_key]],Expense_master[Month_Key],0))</f>
        <v>6774.1935483870966</v>
      </c>
      <c r="L380" s="10">
        <f>SUMIFS(Expense_master[Staff_Salary],Expense_master[Month_Key],Daily_Data[[#This Row],[Month_key]]) / SUMIFS(Expense_master[Days_in_Month],Expense_master[Month_Key],Daily_Data[[#This Row],[Month_key]])</f>
        <v>2258.0645161290322</v>
      </c>
      <c r="M380" s="10">
        <f>Daily_Data[[#This Row],[Rooms_Occupied]] * (SUMIFS(Expense_master[Housekeeping_Laundy],Expense_master[Month_Key],Daily_Data[[#This Row],[Month_key]]) / SUMIFS(Occupancy_table[Monthly_rooms_Occupied],Occupancy_table[Month_Key],Daily_Data[[#This Row],[Month_key]]))</f>
        <v>313.47962382445138</v>
      </c>
      <c r="N3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1721.327535645667</v>
      </c>
      <c r="O380" s="10">
        <f>SUMIFS(Expense_master[Monthly_Maintenance],Expense_master[Month_Key],Daily_Data[[#This Row],[Month_key]]) / SUMIFS(Expense_master[Days_in_Month],Expense_master[Month_Key], Daily_Data[[#This Row],[Month_key]])</f>
        <v>645.16129032258061</v>
      </c>
      <c r="P380" s="10">
        <f xml:space="preserve"> Daily_Data[[#This Row],[OTA Commision]] + Daily_Data[[#This Row],[Daily_Rent]]+Daily_Data[[#This Row],[Daily_Staff]]+Daily_Data[[#This Row],[Daily_HK]]+Daily_Data[[#This Row],[Daily_Electricity]] + Daily_Data[[#This Row],[Daily Maintenance]]</f>
        <v>14627.226514308828</v>
      </c>
      <c r="Q380" s="10">
        <f>Daily_Data[[#This Row],[Total_Sales]]-Daily_Data[[#This Row],[Total_Daily_Expense]]</f>
        <v>-1377.226514308828</v>
      </c>
      <c r="R380" s="10">
        <f>Daily_Data[[#This Row],[Total_Sales]]/Daily_Data[[#This Row],[Rooms_Occupied]]</f>
        <v>1325</v>
      </c>
      <c r="S380" s="10">
        <f>Daily_Data[[#This Row],[Total_Sales]] / Daily_Data[[#This Row],[Max_rooms]]</f>
        <v>946.42857142857144</v>
      </c>
    </row>
    <row r="381" spans="1:19" x14ac:dyDescent="0.25">
      <c r="A381" s="6">
        <v>45306</v>
      </c>
      <c r="B381" s="20">
        <f>DATE(YEAR(Daily_Data[[#This Row],[Date]]), MONTH(Daily_Data[[#This Row],[Date]]), 1)</f>
        <v>45292</v>
      </c>
      <c r="C381" s="20" t="str">
        <f>TEXT(Daily_Data[[#This Row],[Month_key]],"mmmm")</f>
        <v>January</v>
      </c>
      <c r="D381" s="20" t="str">
        <f>TEXT(Daily_Data[[#This Row],[Month_key]],"yyyy")</f>
        <v>2024</v>
      </c>
      <c r="E381" s="7">
        <v>9</v>
      </c>
      <c r="F381" s="7">
        <v>14</v>
      </c>
      <c r="G381" s="8">
        <f>Daily_Data[[#This Row],[Rooms_Occupied]]/F381</f>
        <v>0.6428571428571429</v>
      </c>
      <c r="H381" s="7">
        <v>1088</v>
      </c>
      <c r="I381" s="7">
        <f>Daily_Data[[#This Row],[Room_rate]]*Daily_Data[[#This Row],[Rooms_Occupied]]</f>
        <v>9792</v>
      </c>
      <c r="J381" s="10">
        <f>Daily_Data[[#This Row],[Total_Sales]] * 0.22</f>
        <v>2154.2400000000002</v>
      </c>
      <c r="K381" s="10">
        <f>INDEX(Expense_master[Monthly_Rent],MATCH(Daily_Data[[#This Row],[Month_key]],Expense_master[Month_Key],0)) / INDEX(Expense_master[Days_in_Month],MATCH(Daily_Data[[#This Row],[Month_key]],Expense_master[Month_Key],0))</f>
        <v>6774.1935483870966</v>
      </c>
      <c r="L381" s="10">
        <f>SUMIFS(Expense_master[Staff_Salary],Expense_master[Month_Key],Daily_Data[[#This Row],[Month_key]]) / SUMIFS(Expense_master[Days_in_Month],Expense_master[Month_Key],Daily_Data[[#This Row],[Month_key]])</f>
        <v>2258.0645161290322</v>
      </c>
      <c r="M381" s="10">
        <f>Daily_Data[[#This Row],[Rooms_Occupied]] * (SUMIFS(Expense_master[Housekeeping_Laundy],Expense_master[Month_Key],Daily_Data[[#This Row],[Month_key]]) / SUMIFS(Occupancy_table[Monthly_rooms_Occupied],Occupancy_table[Month_Key],Daily_Data[[#This Row],[Month_key]]))</f>
        <v>282.13166144200625</v>
      </c>
      <c r="N3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1619.2334917585197</v>
      </c>
      <c r="O381" s="10">
        <f>SUMIFS(Expense_master[Monthly_Maintenance],Expense_master[Month_Key],Daily_Data[[#This Row],[Month_key]]) / SUMIFS(Expense_master[Days_in_Month],Expense_master[Month_Key], Daily_Data[[#This Row],[Month_key]])</f>
        <v>645.16129032258061</v>
      </c>
      <c r="P381" s="10">
        <f xml:space="preserve"> Daily_Data[[#This Row],[OTA Commision]] + Daily_Data[[#This Row],[Daily_Rent]]+Daily_Data[[#This Row],[Daily_Staff]]+Daily_Data[[#This Row],[Daily_HK]]+Daily_Data[[#This Row],[Daily_Electricity]] + Daily_Data[[#This Row],[Daily Maintenance]]</f>
        <v>13733.024508039236</v>
      </c>
      <c r="Q381" s="10">
        <f>Daily_Data[[#This Row],[Total_Sales]]-Daily_Data[[#This Row],[Total_Daily_Expense]]</f>
        <v>-3941.024508039236</v>
      </c>
      <c r="R381" s="10">
        <f>Daily_Data[[#This Row],[Total_Sales]]/Daily_Data[[#This Row],[Rooms_Occupied]]</f>
        <v>1088</v>
      </c>
      <c r="S381" s="10">
        <f>Daily_Data[[#This Row],[Total_Sales]] / Daily_Data[[#This Row],[Max_rooms]]</f>
        <v>699.42857142857144</v>
      </c>
    </row>
    <row r="382" spans="1:19" x14ac:dyDescent="0.25">
      <c r="A382" s="6">
        <v>45307</v>
      </c>
      <c r="B382" s="20">
        <f>DATE(YEAR(Daily_Data[[#This Row],[Date]]), MONTH(Daily_Data[[#This Row],[Date]]), 1)</f>
        <v>45292</v>
      </c>
      <c r="C382" s="20" t="str">
        <f>TEXT(Daily_Data[[#This Row],[Month_key]],"mmmm")</f>
        <v>January</v>
      </c>
      <c r="D382" s="20" t="str">
        <f>TEXT(Daily_Data[[#This Row],[Month_key]],"yyyy")</f>
        <v>2024</v>
      </c>
      <c r="E382" s="7">
        <v>11</v>
      </c>
      <c r="F382" s="7">
        <v>14</v>
      </c>
      <c r="G382" s="8">
        <f>Daily_Data[[#This Row],[Rooms_Occupied]]/F382</f>
        <v>0.7857142857142857</v>
      </c>
      <c r="H382" s="7">
        <v>1679</v>
      </c>
      <c r="I382" s="7">
        <f>Daily_Data[[#This Row],[Room_rate]]*Daily_Data[[#This Row],[Rooms_Occupied]]</f>
        <v>18469</v>
      </c>
      <c r="J382" s="10">
        <f>Daily_Data[[#This Row],[Total_Sales]] * 0.22</f>
        <v>4063.18</v>
      </c>
      <c r="K382" s="10">
        <f>INDEX(Expense_master[Monthly_Rent],MATCH(Daily_Data[[#This Row],[Month_key]],Expense_master[Month_Key],0)) / INDEX(Expense_master[Days_in_Month],MATCH(Daily_Data[[#This Row],[Month_key]],Expense_master[Month_Key],0))</f>
        <v>6774.1935483870966</v>
      </c>
      <c r="L382" s="10">
        <f>SUMIFS(Expense_master[Staff_Salary],Expense_master[Month_Key],Daily_Data[[#This Row],[Month_key]]) / SUMIFS(Expense_master[Days_in_Month],Expense_master[Month_Key],Daily_Data[[#This Row],[Month_key]])</f>
        <v>2258.0645161290322</v>
      </c>
      <c r="M382" s="10">
        <f>Daily_Data[[#This Row],[Rooms_Occupied]] * (SUMIFS(Expense_master[Housekeeping_Laundy],Expense_master[Month_Key],Daily_Data[[#This Row],[Month_key]]) / SUMIFS(Occupancy_table[Monthly_rooms_Occupied],Occupancy_table[Month_Key],Daily_Data[[#This Row],[Month_key]]))</f>
        <v>344.82758620689651</v>
      </c>
      <c r="N3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82" s="10">
        <f>SUMIFS(Expense_master[Monthly_Maintenance],Expense_master[Month_Key],Daily_Data[[#This Row],[Month_key]]) / SUMIFS(Expense_master[Days_in_Month],Expense_master[Month_Key], Daily_Data[[#This Row],[Month_key]])</f>
        <v>645.16129032258061</v>
      </c>
      <c r="P382" s="10">
        <f xml:space="preserve"> Daily_Data[[#This Row],[OTA Commision]] + Daily_Data[[#This Row],[Daily_Rent]]+Daily_Data[[#This Row],[Daily_Staff]]+Daily_Data[[#This Row],[Daily_HK]]+Daily_Data[[#This Row],[Daily_Electricity]] + Daily_Data[[#This Row],[Daily Maintenance]]</f>
        <v>15908.848520578422</v>
      </c>
      <c r="Q382" s="10">
        <f>Daily_Data[[#This Row],[Total_Sales]]-Daily_Data[[#This Row],[Total_Daily_Expense]]</f>
        <v>2560.1514794215782</v>
      </c>
      <c r="R382" s="10">
        <f>Daily_Data[[#This Row],[Total_Sales]]/Daily_Data[[#This Row],[Rooms_Occupied]]</f>
        <v>1679</v>
      </c>
      <c r="S382" s="10">
        <f>Daily_Data[[#This Row],[Total_Sales]] / Daily_Data[[#This Row],[Max_rooms]]</f>
        <v>1319.2142857142858</v>
      </c>
    </row>
    <row r="383" spans="1:19" x14ac:dyDescent="0.25">
      <c r="A383" s="6">
        <v>45308</v>
      </c>
      <c r="B383" s="20">
        <f>DATE(YEAR(Daily_Data[[#This Row],[Date]]), MONTH(Daily_Data[[#This Row],[Date]]), 1)</f>
        <v>45292</v>
      </c>
      <c r="C383" s="20" t="str">
        <f>TEXT(Daily_Data[[#This Row],[Month_key]],"mmmm")</f>
        <v>January</v>
      </c>
      <c r="D383" s="20" t="str">
        <f>TEXT(Daily_Data[[#This Row],[Month_key]],"yyyy")</f>
        <v>2024</v>
      </c>
      <c r="E383" s="7">
        <v>10</v>
      </c>
      <c r="F383" s="7">
        <v>14</v>
      </c>
      <c r="G383" s="8">
        <f>Daily_Data[[#This Row],[Rooms_Occupied]]/F383</f>
        <v>0.7142857142857143</v>
      </c>
      <c r="H383" s="7">
        <v>1178</v>
      </c>
      <c r="I383" s="7">
        <f>Daily_Data[[#This Row],[Room_rate]]*Daily_Data[[#This Row],[Rooms_Occupied]]</f>
        <v>11780</v>
      </c>
      <c r="J383" s="10">
        <f>Daily_Data[[#This Row],[Total_Sales]] * 0.22</f>
        <v>2591.6</v>
      </c>
      <c r="K383" s="10">
        <f>INDEX(Expense_master[Monthly_Rent],MATCH(Daily_Data[[#This Row],[Month_key]],Expense_master[Month_Key],0)) / INDEX(Expense_master[Days_in_Month],MATCH(Daily_Data[[#This Row],[Month_key]],Expense_master[Month_Key],0))</f>
        <v>6774.1935483870966</v>
      </c>
      <c r="L383" s="10">
        <f>SUMIFS(Expense_master[Staff_Salary],Expense_master[Month_Key],Daily_Data[[#This Row],[Month_key]]) / SUMIFS(Expense_master[Days_in_Month],Expense_master[Month_Key],Daily_Data[[#This Row],[Month_key]])</f>
        <v>2258.0645161290322</v>
      </c>
      <c r="M383" s="10">
        <f>Daily_Data[[#This Row],[Rooms_Occupied]] * (SUMIFS(Expense_master[Housekeeping_Laundy],Expense_master[Month_Key],Daily_Data[[#This Row],[Month_key]]) / SUMIFS(Occupancy_table[Monthly_rooms_Occupied],Occupancy_table[Month_Key],Daily_Data[[#This Row],[Month_key]]))</f>
        <v>313.47962382445138</v>
      </c>
      <c r="N3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1721.327535645667</v>
      </c>
      <c r="O383" s="10">
        <f>SUMIFS(Expense_master[Monthly_Maintenance],Expense_master[Month_Key],Daily_Data[[#This Row],[Month_key]]) / SUMIFS(Expense_master[Days_in_Month],Expense_master[Month_Key], Daily_Data[[#This Row],[Month_key]])</f>
        <v>645.16129032258061</v>
      </c>
      <c r="P383" s="10">
        <f xml:space="preserve"> Daily_Data[[#This Row],[OTA Commision]] + Daily_Data[[#This Row],[Daily_Rent]]+Daily_Data[[#This Row],[Daily_Staff]]+Daily_Data[[#This Row],[Daily_HK]]+Daily_Data[[#This Row],[Daily_Electricity]] + Daily_Data[[#This Row],[Daily Maintenance]]</f>
        <v>14303.826514308828</v>
      </c>
      <c r="Q383" s="10">
        <f>Daily_Data[[#This Row],[Total_Sales]]-Daily_Data[[#This Row],[Total_Daily_Expense]]</f>
        <v>-2523.8265143088283</v>
      </c>
      <c r="R383" s="10">
        <f>Daily_Data[[#This Row],[Total_Sales]]/Daily_Data[[#This Row],[Rooms_Occupied]]</f>
        <v>1178</v>
      </c>
      <c r="S383" s="10">
        <f>Daily_Data[[#This Row],[Total_Sales]] / Daily_Data[[#This Row],[Max_rooms]]</f>
        <v>841.42857142857144</v>
      </c>
    </row>
    <row r="384" spans="1:19" x14ac:dyDescent="0.25">
      <c r="A384" s="6">
        <v>45309</v>
      </c>
      <c r="B384" s="20">
        <f>DATE(YEAR(Daily_Data[[#This Row],[Date]]), MONTH(Daily_Data[[#This Row],[Date]]), 1)</f>
        <v>45292</v>
      </c>
      <c r="C384" s="20" t="str">
        <f>TEXT(Daily_Data[[#This Row],[Month_key]],"mmmm")</f>
        <v>January</v>
      </c>
      <c r="D384" s="20" t="str">
        <f>TEXT(Daily_Data[[#This Row],[Month_key]],"yyyy")</f>
        <v>2024</v>
      </c>
      <c r="E384" s="7">
        <v>10</v>
      </c>
      <c r="F384" s="7">
        <v>14</v>
      </c>
      <c r="G384" s="8">
        <f>Daily_Data[[#This Row],[Rooms_Occupied]]/F384</f>
        <v>0.7142857142857143</v>
      </c>
      <c r="H384" s="7">
        <v>1144</v>
      </c>
      <c r="I384" s="7">
        <f>Daily_Data[[#This Row],[Room_rate]]*Daily_Data[[#This Row],[Rooms_Occupied]]</f>
        <v>11440</v>
      </c>
      <c r="J384" s="10">
        <f>Daily_Data[[#This Row],[Total_Sales]] * 0.22</f>
        <v>2516.8000000000002</v>
      </c>
      <c r="K384" s="10">
        <f>INDEX(Expense_master[Monthly_Rent],MATCH(Daily_Data[[#This Row],[Month_key]],Expense_master[Month_Key],0)) / INDEX(Expense_master[Days_in_Month],MATCH(Daily_Data[[#This Row],[Month_key]],Expense_master[Month_Key],0))</f>
        <v>6774.1935483870966</v>
      </c>
      <c r="L384" s="10">
        <f>SUMIFS(Expense_master[Staff_Salary],Expense_master[Month_Key],Daily_Data[[#This Row],[Month_key]]) / SUMIFS(Expense_master[Days_in_Month],Expense_master[Month_Key],Daily_Data[[#This Row],[Month_key]])</f>
        <v>2258.0645161290322</v>
      </c>
      <c r="M384" s="10">
        <f>Daily_Data[[#This Row],[Rooms_Occupied]] * (SUMIFS(Expense_master[Housekeeping_Laundy],Expense_master[Month_Key],Daily_Data[[#This Row],[Month_key]]) / SUMIFS(Occupancy_table[Monthly_rooms_Occupied],Occupancy_table[Month_Key],Daily_Data[[#This Row],[Month_key]]))</f>
        <v>313.47962382445138</v>
      </c>
      <c r="N3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1721.327535645667</v>
      </c>
      <c r="O384" s="10">
        <f>SUMIFS(Expense_master[Monthly_Maintenance],Expense_master[Month_Key],Daily_Data[[#This Row],[Month_key]]) / SUMIFS(Expense_master[Days_in_Month],Expense_master[Month_Key], Daily_Data[[#This Row],[Month_key]])</f>
        <v>645.16129032258061</v>
      </c>
      <c r="P384" s="10">
        <f xml:space="preserve"> Daily_Data[[#This Row],[OTA Commision]] + Daily_Data[[#This Row],[Daily_Rent]]+Daily_Data[[#This Row],[Daily_Staff]]+Daily_Data[[#This Row],[Daily_HK]]+Daily_Data[[#This Row],[Daily_Electricity]] + Daily_Data[[#This Row],[Daily Maintenance]]</f>
        <v>14229.026514308829</v>
      </c>
      <c r="Q384" s="10">
        <f>Daily_Data[[#This Row],[Total_Sales]]-Daily_Data[[#This Row],[Total_Daily_Expense]]</f>
        <v>-2789.0265143088291</v>
      </c>
      <c r="R384" s="10">
        <f>Daily_Data[[#This Row],[Total_Sales]]/Daily_Data[[#This Row],[Rooms_Occupied]]</f>
        <v>1144</v>
      </c>
      <c r="S384" s="10">
        <f>Daily_Data[[#This Row],[Total_Sales]] / Daily_Data[[#This Row],[Max_rooms]]</f>
        <v>817.14285714285711</v>
      </c>
    </row>
    <row r="385" spans="1:19" x14ac:dyDescent="0.25">
      <c r="A385" s="6">
        <v>45310</v>
      </c>
      <c r="B385" s="20">
        <f>DATE(YEAR(Daily_Data[[#This Row],[Date]]), MONTH(Daily_Data[[#This Row],[Date]]), 1)</f>
        <v>45292</v>
      </c>
      <c r="C385" s="20" t="str">
        <f>TEXT(Daily_Data[[#This Row],[Month_key]],"mmmm")</f>
        <v>January</v>
      </c>
      <c r="D385" s="20" t="str">
        <f>TEXT(Daily_Data[[#This Row],[Month_key]],"yyyy")</f>
        <v>2024</v>
      </c>
      <c r="E385" s="7">
        <v>12</v>
      </c>
      <c r="F385" s="7">
        <v>14</v>
      </c>
      <c r="G385" s="8">
        <f>Daily_Data[[#This Row],[Rooms_Occupied]]/F385</f>
        <v>0.8571428571428571</v>
      </c>
      <c r="H385" s="7">
        <v>1812</v>
      </c>
      <c r="I385" s="7">
        <f>Daily_Data[[#This Row],[Room_rate]]*Daily_Data[[#This Row],[Rooms_Occupied]]</f>
        <v>21744</v>
      </c>
      <c r="J385" s="10">
        <f>Daily_Data[[#This Row],[Total_Sales]] * 0.22</f>
        <v>4783.68</v>
      </c>
      <c r="K385" s="10">
        <f>INDEX(Expense_master[Monthly_Rent],MATCH(Daily_Data[[#This Row],[Month_key]],Expense_master[Month_Key],0)) / INDEX(Expense_master[Days_in_Month],MATCH(Daily_Data[[#This Row],[Month_key]],Expense_master[Month_Key],0))</f>
        <v>6774.1935483870966</v>
      </c>
      <c r="L385" s="10">
        <f>SUMIFS(Expense_master[Staff_Salary],Expense_master[Month_Key],Daily_Data[[#This Row],[Month_key]]) / SUMIFS(Expense_master[Days_in_Month],Expense_master[Month_Key],Daily_Data[[#This Row],[Month_key]])</f>
        <v>2258.0645161290322</v>
      </c>
      <c r="M385" s="10">
        <f>Daily_Data[[#This Row],[Rooms_Occupied]] * (SUMIFS(Expense_master[Housekeeping_Laundy],Expense_master[Month_Key],Daily_Data[[#This Row],[Month_key]]) / SUMIFS(Occupancy_table[Monthly_rooms_Occupied],Occupancy_table[Month_Key],Daily_Data[[#This Row],[Month_key]]))</f>
        <v>376.1755485893417</v>
      </c>
      <c r="N3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1925.5156234199617</v>
      </c>
      <c r="O385" s="10">
        <f>SUMIFS(Expense_master[Monthly_Maintenance],Expense_master[Month_Key],Daily_Data[[#This Row],[Month_key]]) / SUMIFS(Expense_master[Days_in_Month],Expense_master[Month_Key], Daily_Data[[#This Row],[Month_key]])</f>
        <v>645.16129032258061</v>
      </c>
      <c r="P385" s="10">
        <f xml:space="preserve"> Daily_Data[[#This Row],[OTA Commision]] + Daily_Data[[#This Row],[Daily_Rent]]+Daily_Data[[#This Row],[Daily_Staff]]+Daily_Data[[#This Row],[Daily_HK]]+Daily_Data[[#This Row],[Daily_Electricity]] + Daily_Data[[#This Row],[Daily Maintenance]]</f>
        <v>16762.790526848014</v>
      </c>
      <c r="Q385" s="10">
        <f>Daily_Data[[#This Row],[Total_Sales]]-Daily_Data[[#This Row],[Total_Daily_Expense]]</f>
        <v>4981.2094731519865</v>
      </c>
      <c r="R385" s="10">
        <f>Daily_Data[[#This Row],[Total_Sales]]/Daily_Data[[#This Row],[Rooms_Occupied]]</f>
        <v>1812</v>
      </c>
      <c r="S385" s="10">
        <f>Daily_Data[[#This Row],[Total_Sales]] / Daily_Data[[#This Row],[Max_rooms]]</f>
        <v>1553.1428571428571</v>
      </c>
    </row>
    <row r="386" spans="1:19" x14ac:dyDescent="0.25">
      <c r="A386" s="6">
        <v>45311</v>
      </c>
      <c r="B386" s="20">
        <f>DATE(YEAR(Daily_Data[[#This Row],[Date]]), MONTH(Daily_Data[[#This Row],[Date]]), 1)</f>
        <v>45292</v>
      </c>
      <c r="C386" s="20" t="str">
        <f>TEXT(Daily_Data[[#This Row],[Month_key]],"mmmm")</f>
        <v>January</v>
      </c>
      <c r="D386" s="20" t="str">
        <f>TEXT(Daily_Data[[#This Row],[Month_key]],"yyyy")</f>
        <v>2024</v>
      </c>
      <c r="E386" s="7">
        <v>8</v>
      </c>
      <c r="F386" s="7">
        <v>14</v>
      </c>
      <c r="G386" s="8">
        <f>Daily_Data[[#This Row],[Rooms_Occupied]]/F386</f>
        <v>0.5714285714285714</v>
      </c>
      <c r="H386" s="7">
        <v>1730</v>
      </c>
      <c r="I386" s="7">
        <f>Daily_Data[[#This Row],[Room_rate]]*Daily_Data[[#This Row],[Rooms_Occupied]]</f>
        <v>13840</v>
      </c>
      <c r="J386" s="10">
        <f>Daily_Data[[#This Row],[Total_Sales]] * 0.22</f>
        <v>3044.8</v>
      </c>
      <c r="K386" s="10">
        <f>INDEX(Expense_master[Monthly_Rent],MATCH(Daily_Data[[#This Row],[Month_key]],Expense_master[Month_Key],0)) / INDEX(Expense_master[Days_in_Month],MATCH(Daily_Data[[#This Row],[Month_key]],Expense_master[Month_Key],0))</f>
        <v>6774.1935483870966</v>
      </c>
      <c r="L386" s="10">
        <f>SUMIFS(Expense_master[Staff_Salary],Expense_master[Month_Key],Daily_Data[[#This Row],[Month_key]]) / SUMIFS(Expense_master[Days_in_Month],Expense_master[Month_Key],Daily_Data[[#This Row],[Month_key]])</f>
        <v>2258.0645161290322</v>
      </c>
      <c r="M386" s="10">
        <f>Daily_Data[[#This Row],[Rooms_Occupied]] * (SUMIFS(Expense_master[Housekeeping_Laundy],Expense_master[Month_Key],Daily_Data[[#This Row],[Month_key]]) / SUMIFS(Occupancy_table[Monthly_rooms_Occupied],Occupancy_table[Month_Key],Daily_Data[[#This Row],[Month_key]]))</f>
        <v>250.78369905956112</v>
      </c>
      <c r="N3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86" s="10">
        <f>SUMIFS(Expense_master[Monthly_Maintenance],Expense_master[Month_Key],Daily_Data[[#This Row],[Month_key]]) / SUMIFS(Expense_master[Days_in_Month],Expense_master[Month_Key], Daily_Data[[#This Row],[Month_key]])</f>
        <v>645.16129032258061</v>
      </c>
      <c r="P386" s="10">
        <f xml:space="preserve"> Daily_Data[[#This Row],[OTA Commision]] + Daily_Data[[#This Row],[Daily_Rent]]+Daily_Data[[#This Row],[Daily_Staff]]+Daily_Data[[#This Row],[Daily_HK]]+Daily_Data[[#This Row],[Daily_Electricity]] + Daily_Data[[#This Row],[Daily Maintenance]]</f>
        <v>14490.142501769644</v>
      </c>
      <c r="Q386" s="10">
        <f>Daily_Data[[#This Row],[Total_Sales]]-Daily_Data[[#This Row],[Total_Daily_Expense]]</f>
        <v>-650.14250176964379</v>
      </c>
      <c r="R386" s="10">
        <f>Daily_Data[[#This Row],[Total_Sales]]/Daily_Data[[#This Row],[Rooms_Occupied]]</f>
        <v>1730</v>
      </c>
      <c r="S386" s="10">
        <f>Daily_Data[[#This Row],[Total_Sales]] / Daily_Data[[#This Row],[Max_rooms]]</f>
        <v>988.57142857142856</v>
      </c>
    </row>
    <row r="387" spans="1:19" x14ac:dyDescent="0.25">
      <c r="A387" s="6">
        <v>45312</v>
      </c>
      <c r="B387" s="20">
        <f>DATE(YEAR(Daily_Data[[#This Row],[Date]]), MONTH(Daily_Data[[#This Row],[Date]]), 1)</f>
        <v>45292</v>
      </c>
      <c r="C387" s="20" t="str">
        <f>TEXT(Daily_Data[[#This Row],[Month_key]],"mmmm")</f>
        <v>January</v>
      </c>
      <c r="D387" s="20" t="str">
        <f>TEXT(Daily_Data[[#This Row],[Month_key]],"yyyy")</f>
        <v>2024</v>
      </c>
      <c r="E387" s="7">
        <v>13</v>
      </c>
      <c r="F387" s="7">
        <v>14</v>
      </c>
      <c r="G387" s="8">
        <f>Daily_Data[[#This Row],[Rooms_Occupied]]/F387</f>
        <v>0.9285714285714286</v>
      </c>
      <c r="H387" s="7">
        <v>1693</v>
      </c>
      <c r="I387" s="7">
        <f>Daily_Data[[#This Row],[Room_rate]]*Daily_Data[[#This Row],[Rooms_Occupied]]</f>
        <v>22009</v>
      </c>
      <c r="J387" s="10">
        <f>Daily_Data[[#This Row],[Total_Sales]] * 0.22</f>
        <v>4841.9800000000005</v>
      </c>
      <c r="K387" s="10">
        <f>INDEX(Expense_master[Monthly_Rent],MATCH(Daily_Data[[#This Row],[Month_key]],Expense_master[Month_Key],0)) / INDEX(Expense_master[Days_in_Month],MATCH(Daily_Data[[#This Row],[Month_key]],Expense_master[Month_Key],0))</f>
        <v>6774.1935483870966</v>
      </c>
      <c r="L387" s="10">
        <f>SUMIFS(Expense_master[Staff_Salary],Expense_master[Month_Key],Daily_Data[[#This Row],[Month_key]]) / SUMIFS(Expense_master[Days_in_Month],Expense_master[Month_Key],Daily_Data[[#This Row],[Month_key]])</f>
        <v>2258.0645161290322</v>
      </c>
      <c r="M387" s="10">
        <f>Daily_Data[[#This Row],[Rooms_Occupied]] * (SUMIFS(Expense_master[Housekeeping_Laundy],Expense_master[Month_Key],Daily_Data[[#This Row],[Month_key]]) / SUMIFS(Occupancy_table[Monthly_rooms_Occupied],Occupancy_table[Month_Key],Daily_Data[[#This Row],[Month_key]]))</f>
        <v>407.52351097178683</v>
      </c>
      <c r="N3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2027.609667307109</v>
      </c>
      <c r="O387" s="10">
        <f>SUMIFS(Expense_master[Monthly_Maintenance],Expense_master[Month_Key],Daily_Data[[#This Row],[Month_key]]) / SUMIFS(Expense_master[Days_in_Month],Expense_master[Month_Key], Daily_Data[[#This Row],[Month_key]])</f>
        <v>645.16129032258061</v>
      </c>
      <c r="P387" s="10">
        <f xml:space="preserve"> Daily_Data[[#This Row],[OTA Commision]] + Daily_Data[[#This Row],[Daily_Rent]]+Daily_Data[[#This Row],[Daily_Staff]]+Daily_Data[[#This Row],[Daily_HK]]+Daily_Data[[#This Row],[Daily_Electricity]] + Daily_Data[[#This Row],[Daily Maintenance]]</f>
        <v>16954.532533117606</v>
      </c>
      <c r="Q387" s="10">
        <f>Daily_Data[[#This Row],[Total_Sales]]-Daily_Data[[#This Row],[Total_Daily_Expense]]</f>
        <v>5054.4674668823936</v>
      </c>
      <c r="R387" s="10">
        <f>Daily_Data[[#This Row],[Total_Sales]]/Daily_Data[[#This Row],[Rooms_Occupied]]</f>
        <v>1693</v>
      </c>
      <c r="S387" s="10">
        <f>Daily_Data[[#This Row],[Total_Sales]] / Daily_Data[[#This Row],[Max_rooms]]</f>
        <v>1572.0714285714287</v>
      </c>
    </row>
    <row r="388" spans="1:19" x14ac:dyDescent="0.25">
      <c r="A388" s="6">
        <v>45313</v>
      </c>
      <c r="B388" s="20">
        <f>DATE(YEAR(Daily_Data[[#This Row],[Date]]), MONTH(Daily_Data[[#This Row],[Date]]), 1)</f>
        <v>45292</v>
      </c>
      <c r="C388" s="20" t="str">
        <f>TEXT(Daily_Data[[#This Row],[Month_key]],"mmmm")</f>
        <v>January</v>
      </c>
      <c r="D388" s="20" t="str">
        <f>TEXT(Daily_Data[[#This Row],[Month_key]],"yyyy")</f>
        <v>2024</v>
      </c>
      <c r="E388" s="7">
        <v>10</v>
      </c>
      <c r="F388" s="7">
        <v>14</v>
      </c>
      <c r="G388" s="8">
        <f>Daily_Data[[#This Row],[Rooms_Occupied]]/F388</f>
        <v>0.7142857142857143</v>
      </c>
      <c r="H388" s="7">
        <v>1606</v>
      </c>
      <c r="I388" s="7">
        <f>Daily_Data[[#This Row],[Room_rate]]*Daily_Data[[#This Row],[Rooms_Occupied]]</f>
        <v>16060</v>
      </c>
      <c r="J388" s="10">
        <f>Daily_Data[[#This Row],[Total_Sales]] * 0.22</f>
        <v>3533.2</v>
      </c>
      <c r="K388" s="10">
        <f>INDEX(Expense_master[Monthly_Rent],MATCH(Daily_Data[[#This Row],[Month_key]],Expense_master[Month_Key],0)) / INDEX(Expense_master[Days_in_Month],MATCH(Daily_Data[[#This Row],[Month_key]],Expense_master[Month_Key],0))</f>
        <v>6774.1935483870966</v>
      </c>
      <c r="L388" s="10">
        <f>SUMIFS(Expense_master[Staff_Salary],Expense_master[Month_Key],Daily_Data[[#This Row],[Month_key]]) / SUMIFS(Expense_master[Days_in_Month],Expense_master[Month_Key],Daily_Data[[#This Row],[Month_key]])</f>
        <v>2258.0645161290322</v>
      </c>
      <c r="M388" s="10">
        <f>Daily_Data[[#This Row],[Rooms_Occupied]] * (SUMIFS(Expense_master[Housekeeping_Laundy],Expense_master[Month_Key],Daily_Data[[#This Row],[Month_key]]) / SUMIFS(Occupancy_table[Monthly_rooms_Occupied],Occupancy_table[Month_Key],Daily_Data[[#This Row],[Month_key]]))</f>
        <v>313.47962382445138</v>
      </c>
      <c r="N3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1721.327535645667</v>
      </c>
      <c r="O388" s="10">
        <f>SUMIFS(Expense_master[Monthly_Maintenance],Expense_master[Month_Key],Daily_Data[[#This Row],[Month_key]]) / SUMIFS(Expense_master[Days_in_Month],Expense_master[Month_Key], Daily_Data[[#This Row],[Month_key]])</f>
        <v>645.16129032258061</v>
      </c>
      <c r="P388" s="10">
        <f xml:space="preserve"> Daily_Data[[#This Row],[OTA Commision]] + Daily_Data[[#This Row],[Daily_Rent]]+Daily_Data[[#This Row],[Daily_Staff]]+Daily_Data[[#This Row],[Daily_HK]]+Daily_Data[[#This Row],[Daily_Electricity]] + Daily_Data[[#This Row],[Daily Maintenance]]</f>
        <v>15245.426514308827</v>
      </c>
      <c r="Q388" s="10">
        <f>Daily_Data[[#This Row],[Total_Sales]]-Daily_Data[[#This Row],[Total_Daily_Expense]]</f>
        <v>814.57348569117312</v>
      </c>
      <c r="R388" s="10">
        <f>Daily_Data[[#This Row],[Total_Sales]]/Daily_Data[[#This Row],[Rooms_Occupied]]</f>
        <v>1606</v>
      </c>
      <c r="S388" s="10">
        <f>Daily_Data[[#This Row],[Total_Sales]] / Daily_Data[[#This Row],[Max_rooms]]</f>
        <v>1147.1428571428571</v>
      </c>
    </row>
    <row r="389" spans="1:19" x14ac:dyDescent="0.25">
      <c r="A389" s="6">
        <v>45314</v>
      </c>
      <c r="B389" s="20">
        <f>DATE(YEAR(Daily_Data[[#This Row],[Date]]), MONTH(Daily_Data[[#This Row],[Date]]), 1)</f>
        <v>45292</v>
      </c>
      <c r="C389" s="20" t="str">
        <f>TEXT(Daily_Data[[#This Row],[Month_key]],"mmmm")</f>
        <v>January</v>
      </c>
      <c r="D389" s="20" t="str">
        <f>TEXT(Daily_Data[[#This Row],[Month_key]],"yyyy")</f>
        <v>2024</v>
      </c>
      <c r="E389" s="7">
        <v>12</v>
      </c>
      <c r="F389" s="7">
        <v>14</v>
      </c>
      <c r="G389" s="8">
        <f>Daily_Data[[#This Row],[Rooms_Occupied]]/F389</f>
        <v>0.8571428571428571</v>
      </c>
      <c r="H389" s="7">
        <v>1562</v>
      </c>
      <c r="I389" s="7">
        <f>Daily_Data[[#This Row],[Room_rate]]*Daily_Data[[#This Row],[Rooms_Occupied]]</f>
        <v>18744</v>
      </c>
      <c r="J389" s="10">
        <f>Daily_Data[[#This Row],[Total_Sales]] * 0.22</f>
        <v>4123.68</v>
      </c>
      <c r="K389" s="10">
        <f>INDEX(Expense_master[Monthly_Rent],MATCH(Daily_Data[[#This Row],[Month_key]],Expense_master[Month_Key],0)) / INDEX(Expense_master[Days_in_Month],MATCH(Daily_Data[[#This Row],[Month_key]],Expense_master[Month_Key],0))</f>
        <v>6774.1935483870966</v>
      </c>
      <c r="L389" s="10">
        <f>SUMIFS(Expense_master[Staff_Salary],Expense_master[Month_Key],Daily_Data[[#This Row],[Month_key]]) / SUMIFS(Expense_master[Days_in_Month],Expense_master[Month_Key],Daily_Data[[#This Row],[Month_key]])</f>
        <v>2258.0645161290322</v>
      </c>
      <c r="M389" s="10">
        <f>Daily_Data[[#This Row],[Rooms_Occupied]] * (SUMIFS(Expense_master[Housekeeping_Laundy],Expense_master[Month_Key],Daily_Data[[#This Row],[Month_key]]) / SUMIFS(Occupancy_table[Monthly_rooms_Occupied],Occupancy_table[Month_Key],Daily_Data[[#This Row],[Month_key]]))</f>
        <v>376.1755485893417</v>
      </c>
      <c r="N3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1925.5156234199617</v>
      </c>
      <c r="O389" s="10">
        <f>SUMIFS(Expense_master[Monthly_Maintenance],Expense_master[Month_Key],Daily_Data[[#This Row],[Month_key]]) / SUMIFS(Expense_master[Days_in_Month],Expense_master[Month_Key], Daily_Data[[#This Row],[Month_key]])</f>
        <v>645.16129032258061</v>
      </c>
      <c r="P389" s="10">
        <f xml:space="preserve"> Daily_Data[[#This Row],[OTA Commision]] + Daily_Data[[#This Row],[Daily_Rent]]+Daily_Data[[#This Row],[Daily_Staff]]+Daily_Data[[#This Row],[Daily_HK]]+Daily_Data[[#This Row],[Daily_Electricity]] + Daily_Data[[#This Row],[Daily Maintenance]]</f>
        <v>16102.790526848014</v>
      </c>
      <c r="Q389" s="10">
        <f>Daily_Data[[#This Row],[Total_Sales]]-Daily_Data[[#This Row],[Total_Daily_Expense]]</f>
        <v>2641.2094731519865</v>
      </c>
      <c r="R389" s="10">
        <f>Daily_Data[[#This Row],[Total_Sales]]/Daily_Data[[#This Row],[Rooms_Occupied]]</f>
        <v>1562</v>
      </c>
      <c r="S389" s="10">
        <f>Daily_Data[[#This Row],[Total_Sales]] / Daily_Data[[#This Row],[Max_rooms]]</f>
        <v>1338.8571428571429</v>
      </c>
    </row>
    <row r="390" spans="1:19" x14ac:dyDescent="0.25">
      <c r="A390" s="6">
        <v>45315</v>
      </c>
      <c r="B390" s="20">
        <f>DATE(YEAR(Daily_Data[[#This Row],[Date]]), MONTH(Daily_Data[[#This Row],[Date]]), 1)</f>
        <v>45292</v>
      </c>
      <c r="C390" s="20" t="str">
        <f>TEXT(Daily_Data[[#This Row],[Month_key]],"mmmm")</f>
        <v>January</v>
      </c>
      <c r="D390" s="20" t="str">
        <f>TEXT(Daily_Data[[#This Row],[Month_key]],"yyyy")</f>
        <v>2024</v>
      </c>
      <c r="E390" s="7">
        <v>11</v>
      </c>
      <c r="F390" s="7">
        <v>14</v>
      </c>
      <c r="G390" s="8">
        <f>Daily_Data[[#This Row],[Rooms_Occupied]]/F390</f>
        <v>0.7857142857142857</v>
      </c>
      <c r="H390" s="7">
        <v>1577</v>
      </c>
      <c r="I390" s="7">
        <f>Daily_Data[[#This Row],[Room_rate]]*Daily_Data[[#This Row],[Rooms_Occupied]]</f>
        <v>17347</v>
      </c>
      <c r="J390" s="10">
        <f>Daily_Data[[#This Row],[Total_Sales]] * 0.22</f>
        <v>3816.34</v>
      </c>
      <c r="K390" s="10">
        <f>INDEX(Expense_master[Monthly_Rent],MATCH(Daily_Data[[#This Row],[Month_key]],Expense_master[Month_Key],0)) / INDEX(Expense_master[Days_in_Month],MATCH(Daily_Data[[#This Row],[Month_key]],Expense_master[Month_Key],0))</f>
        <v>6774.1935483870966</v>
      </c>
      <c r="L390" s="10">
        <f>SUMIFS(Expense_master[Staff_Salary],Expense_master[Month_Key],Daily_Data[[#This Row],[Month_key]]) / SUMIFS(Expense_master[Days_in_Month],Expense_master[Month_Key],Daily_Data[[#This Row],[Month_key]])</f>
        <v>2258.0645161290322</v>
      </c>
      <c r="M390" s="10">
        <f>Daily_Data[[#This Row],[Rooms_Occupied]] * (SUMIFS(Expense_master[Housekeeping_Laundy],Expense_master[Month_Key],Daily_Data[[#This Row],[Month_key]]) / SUMIFS(Occupancy_table[Monthly_rooms_Occupied],Occupancy_table[Month_Key],Daily_Data[[#This Row],[Month_key]]))</f>
        <v>344.82758620689651</v>
      </c>
      <c r="N3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90" s="10">
        <f>SUMIFS(Expense_master[Monthly_Maintenance],Expense_master[Month_Key],Daily_Data[[#This Row],[Month_key]]) / SUMIFS(Expense_master[Days_in_Month],Expense_master[Month_Key], Daily_Data[[#This Row],[Month_key]])</f>
        <v>645.16129032258061</v>
      </c>
      <c r="P390" s="10">
        <f xml:space="preserve"> Daily_Data[[#This Row],[OTA Commision]] + Daily_Data[[#This Row],[Daily_Rent]]+Daily_Data[[#This Row],[Daily_Staff]]+Daily_Data[[#This Row],[Daily_HK]]+Daily_Data[[#This Row],[Daily_Electricity]] + Daily_Data[[#This Row],[Daily Maintenance]]</f>
        <v>15662.008520578422</v>
      </c>
      <c r="Q390" s="10">
        <f>Daily_Data[[#This Row],[Total_Sales]]-Daily_Data[[#This Row],[Total_Daily_Expense]]</f>
        <v>1684.9914794215783</v>
      </c>
      <c r="R390" s="10">
        <f>Daily_Data[[#This Row],[Total_Sales]]/Daily_Data[[#This Row],[Rooms_Occupied]]</f>
        <v>1577</v>
      </c>
      <c r="S390" s="10">
        <f>Daily_Data[[#This Row],[Total_Sales]] / Daily_Data[[#This Row],[Max_rooms]]</f>
        <v>1239.0714285714287</v>
      </c>
    </row>
    <row r="391" spans="1:19" x14ac:dyDescent="0.25">
      <c r="A391" s="6">
        <v>45316</v>
      </c>
      <c r="B391" s="20">
        <f>DATE(YEAR(Daily_Data[[#This Row],[Date]]), MONTH(Daily_Data[[#This Row],[Date]]), 1)</f>
        <v>45292</v>
      </c>
      <c r="C391" s="20" t="str">
        <f>TEXT(Daily_Data[[#This Row],[Month_key]],"mmmm")</f>
        <v>January</v>
      </c>
      <c r="D391" s="20" t="str">
        <f>TEXT(Daily_Data[[#This Row],[Month_key]],"yyyy")</f>
        <v>2024</v>
      </c>
      <c r="E391" s="7">
        <v>9</v>
      </c>
      <c r="F391" s="7">
        <v>14</v>
      </c>
      <c r="G391" s="8">
        <f>Daily_Data[[#This Row],[Rooms_Occupied]]/F391</f>
        <v>0.6428571428571429</v>
      </c>
      <c r="H391" s="7">
        <v>1254</v>
      </c>
      <c r="I391" s="7">
        <f>Daily_Data[[#This Row],[Room_rate]]*Daily_Data[[#This Row],[Rooms_Occupied]]</f>
        <v>11286</v>
      </c>
      <c r="J391" s="10">
        <f>Daily_Data[[#This Row],[Total_Sales]] * 0.22</f>
        <v>2482.92</v>
      </c>
      <c r="K391" s="10">
        <f>INDEX(Expense_master[Monthly_Rent],MATCH(Daily_Data[[#This Row],[Month_key]],Expense_master[Month_Key],0)) / INDEX(Expense_master[Days_in_Month],MATCH(Daily_Data[[#This Row],[Month_key]],Expense_master[Month_Key],0))</f>
        <v>6774.1935483870966</v>
      </c>
      <c r="L391" s="10">
        <f>SUMIFS(Expense_master[Staff_Salary],Expense_master[Month_Key],Daily_Data[[#This Row],[Month_key]]) / SUMIFS(Expense_master[Days_in_Month],Expense_master[Month_Key],Daily_Data[[#This Row],[Month_key]])</f>
        <v>2258.0645161290322</v>
      </c>
      <c r="M391" s="10">
        <f>Daily_Data[[#This Row],[Rooms_Occupied]] * (SUMIFS(Expense_master[Housekeeping_Laundy],Expense_master[Month_Key],Daily_Data[[#This Row],[Month_key]]) / SUMIFS(Occupancy_table[Monthly_rooms_Occupied],Occupancy_table[Month_Key],Daily_Data[[#This Row],[Month_key]]))</f>
        <v>282.13166144200625</v>
      </c>
      <c r="N3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1619.2334917585197</v>
      </c>
      <c r="O391" s="10">
        <f>SUMIFS(Expense_master[Monthly_Maintenance],Expense_master[Month_Key],Daily_Data[[#This Row],[Month_key]]) / SUMIFS(Expense_master[Days_in_Month],Expense_master[Month_Key], Daily_Data[[#This Row],[Month_key]])</f>
        <v>645.16129032258061</v>
      </c>
      <c r="P391" s="10">
        <f xml:space="preserve"> Daily_Data[[#This Row],[OTA Commision]] + Daily_Data[[#This Row],[Daily_Rent]]+Daily_Data[[#This Row],[Daily_Staff]]+Daily_Data[[#This Row],[Daily_HK]]+Daily_Data[[#This Row],[Daily_Electricity]] + Daily_Data[[#This Row],[Daily Maintenance]]</f>
        <v>14061.704508039236</v>
      </c>
      <c r="Q391" s="10">
        <f>Daily_Data[[#This Row],[Total_Sales]]-Daily_Data[[#This Row],[Total_Daily_Expense]]</f>
        <v>-2775.7045080392363</v>
      </c>
      <c r="R391" s="10">
        <f>Daily_Data[[#This Row],[Total_Sales]]/Daily_Data[[#This Row],[Rooms_Occupied]]</f>
        <v>1254</v>
      </c>
      <c r="S391" s="10">
        <f>Daily_Data[[#This Row],[Total_Sales]] / Daily_Data[[#This Row],[Max_rooms]]</f>
        <v>806.14285714285711</v>
      </c>
    </row>
    <row r="392" spans="1:19" x14ac:dyDescent="0.25">
      <c r="A392" s="6">
        <v>45317</v>
      </c>
      <c r="B392" s="20">
        <f>DATE(YEAR(Daily_Data[[#This Row],[Date]]), MONTH(Daily_Data[[#This Row],[Date]]), 1)</f>
        <v>45292</v>
      </c>
      <c r="C392" s="20" t="str">
        <f>TEXT(Daily_Data[[#This Row],[Month_key]],"mmmm")</f>
        <v>January</v>
      </c>
      <c r="D392" s="20" t="str">
        <f>TEXT(Daily_Data[[#This Row],[Month_key]],"yyyy")</f>
        <v>2024</v>
      </c>
      <c r="E392" s="7">
        <v>11</v>
      </c>
      <c r="F392" s="7">
        <v>14</v>
      </c>
      <c r="G392" s="8">
        <f>Daily_Data[[#This Row],[Rooms_Occupied]]/F392</f>
        <v>0.7857142857142857</v>
      </c>
      <c r="H392" s="7">
        <v>1337</v>
      </c>
      <c r="I392" s="7">
        <f>Daily_Data[[#This Row],[Room_rate]]*Daily_Data[[#This Row],[Rooms_Occupied]]</f>
        <v>14707</v>
      </c>
      <c r="J392" s="10">
        <f>Daily_Data[[#This Row],[Total_Sales]] * 0.22</f>
        <v>3235.54</v>
      </c>
      <c r="K392" s="10">
        <f>INDEX(Expense_master[Monthly_Rent],MATCH(Daily_Data[[#This Row],[Month_key]],Expense_master[Month_Key],0)) / INDEX(Expense_master[Days_in_Month],MATCH(Daily_Data[[#This Row],[Month_key]],Expense_master[Month_Key],0))</f>
        <v>6774.1935483870966</v>
      </c>
      <c r="L392" s="10">
        <f>SUMIFS(Expense_master[Staff_Salary],Expense_master[Month_Key],Daily_Data[[#This Row],[Month_key]]) / SUMIFS(Expense_master[Days_in_Month],Expense_master[Month_Key],Daily_Data[[#This Row],[Month_key]])</f>
        <v>2258.0645161290322</v>
      </c>
      <c r="M392" s="10">
        <f>Daily_Data[[#This Row],[Rooms_Occupied]] * (SUMIFS(Expense_master[Housekeeping_Laundy],Expense_master[Month_Key],Daily_Data[[#This Row],[Month_key]]) / SUMIFS(Occupancy_table[Monthly_rooms_Occupied],Occupancy_table[Month_Key],Daily_Data[[#This Row],[Month_key]]))</f>
        <v>344.82758620689651</v>
      </c>
      <c r="N3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92" s="10">
        <f>SUMIFS(Expense_master[Monthly_Maintenance],Expense_master[Month_Key],Daily_Data[[#This Row],[Month_key]]) / SUMIFS(Expense_master[Days_in_Month],Expense_master[Month_Key], Daily_Data[[#This Row],[Month_key]])</f>
        <v>645.16129032258061</v>
      </c>
      <c r="P392" s="10">
        <f xml:space="preserve"> Daily_Data[[#This Row],[OTA Commision]] + Daily_Data[[#This Row],[Daily_Rent]]+Daily_Data[[#This Row],[Daily_Staff]]+Daily_Data[[#This Row],[Daily_HK]]+Daily_Data[[#This Row],[Daily_Electricity]] + Daily_Data[[#This Row],[Daily Maintenance]]</f>
        <v>15081.208520578421</v>
      </c>
      <c r="Q392" s="10">
        <f>Daily_Data[[#This Row],[Total_Sales]]-Daily_Data[[#This Row],[Total_Daily_Expense]]</f>
        <v>-374.20852057842058</v>
      </c>
      <c r="R392" s="10">
        <f>Daily_Data[[#This Row],[Total_Sales]]/Daily_Data[[#This Row],[Rooms_Occupied]]</f>
        <v>1337</v>
      </c>
      <c r="S392" s="10">
        <f>Daily_Data[[#This Row],[Total_Sales]] / Daily_Data[[#This Row],[Max_rooms]]</f>
        <v>1050.5</v>
      </c>
    </row>
    <row r="393" spans="1:19" x14ac:dyDescent="0.25">
      <c r="A393" s="6">
        <v>45318</v>
      </c>
      <c r="B393" s="20">
        <f>DATE(YEAR(Daily_Data[[#This Row],[Date]]), MONTH(Daily_Data[[#This Row],[Date]]), 1)</f>
        <v>45292</v>
      </c>
      <c r="C393" s="20" t="str">
        <f>TEXT(Daily_Data[[#This Row],[Month_key]],"mmmm")</f>
        <v>January</v>
      </c>
      <c r="D393" s="20" t="str">
        <f>TEXT(Daily_Data[[#This Row],[Month_key]],"yyyy")</f>
        <v>2024</v>
      </c>
      <c r="E393" s="7">
        <v>8</v>
      </c>
      <c r="F393" s="7">
        <v>14</v>
      </c>
      <c r="G393" s="8">
        <f>Daily_Data[[#This Row],[Rooms_Occupied]]/F393</f>
        <v>0.5714285714285714</v>
      </c>
      <c r="H393" s="7">
        <v>1957</v>
      </c>
      <c r="I393" s="7">
        <f>Daily_Data[[#This Row],[Room_rate]]*Daily_Data[[#This Row],[Rooms_Occupied]]</f>
        <v>15656</v>
      </c>
      <c r="J393" s="10">
        <f>Daily_Data[[#This Row],[Total_Sales]] * 0.22</f>
        <v>3444.32</v>
      </c>
      <c r="K393" s="10">
        <f>INDEX(Expense_master[Monthly_Rent],MATCH(Daily_Data[[#This Row],[Month_key]],Expense_master[Month_Key],0)) / INDEX(Expense_master[Days_in_Month],MATCH(Daily_Data[[#This Row],[Month_key]],Expense_master[Month_Key],0))</f>
        <v>6774.1935483870966</v>
      </c>
      <c r="L393" s="10">
        <f>SUMIFS(Expense_master[Staff_Salary],Expense_master[Month_Key],Daily_Data[[#This Row],[Month_key]]) / SUMIFS(Expense_master[Days_in_Month],Expense_master[Month_Key],Daily_Data[[#This Row],[Month_key]])</f>
        <v>2258.0645161290322</v>
      </c>
      <c r="M393" s="10">
        <f>Daily_Data[[#This Row],[Rooms_Occupied]] * (SUMIFS(Expense_master[Housekeeping_Laundy],Expense_master[Month_Key],Daily_Data[[#This Row],[Month_key]]) / SUMIFS(Occupancy_table[Monthly_rooms_Occupied],Occupancy_table[Month_Key],Daily_Data[[#This Row],[Month_key]]))</f>
        <v>250.78369905956112</v>
      </c>
      <c r="N3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93" s="10">
        <f>SUMIFS(Expense_master[Monthly_Maintenance],Expense_master[Month_Key],Daily_Data[[#This Row],[Month_key]]) / SUMIFS(Expense_master[Days_in_Month],Expense_master[Month_Key], Daily_Data[[#This Row],[Month_key]])</f>
        <v>645.16129032258061</v>
      </c>
      <c r="P393" s="10">
        <f xml:space="preserve"> Daily_Data[[#This Row],[OTA Commision]] + Daily_Data[[#This Row],[Daily_Rent]]+Daily_Data[[#This Row],[Daily_Staff]]+Daily_Data[[#This Row],[Daily_HK]]+Daily_Data[[#This Row],[Daily_Electricity]] + Daily_Data[[#This Row],[Daily Maintenance]]</f>
        <v>14889.662501769642</v>
      </c>
      <c r="Q393" s="10">
        <f>Daily_Data[[#This Row],[Total_Sales]]-Daily_Data[[#This Row],[Total_Daily_Expense]]</f>
        <v>766.3374982303576</v>
      </c>
      <c r="R393" s="10">
        <f>Daily_Data[[#This Row],[Total_Sales]]/Daily_Data[[#This Row],[Rooms_Occupied]]</f>
        <v>1957</v>
      </c>
      <c r="S393" s="10">
        <f>Daily_Data[[#This Row],[Total_Sales]] / Daily_Data[[#This Row],[Max_rooms]]</f>
        <v>1118.2857142857142</v>
      </c>
    </row>
    <row r="394" spans="1:19" x14ac:dyDescent="0.25">
      <c r="A394" s="6">
        <v>45319</v>
      </c>
      <c r="B394" s="20">
        <f>DATE(YEAR(Daily_Data[[#This Row],[Date]]), MONTH(Daily_Data[[#This Row],[Date]]), 1)</f>
        <v>45292</v>
      </c>
      <c r="C394" s="20" t="str">
        <f>TEXT(Daily_Data[[#This Row],[Month_key]],"mmmm")</f>
        <v>January</v>
      </c>
      <c r="D394" s="20" t="str">
        <f>TEXT(Daily_Data[[#This Row],[Month_key]],"yyyy")</f>
        <v>2024</v>
      </c>
      <c r="E394" s="7">
        <v>8</v>
      </c>
      <c r="F394" s="7">
        <v>14</v>
      </c>
      <c r="G394" s="8">
        <f>Daily_Data[[#This Row],[Rooms_Occupied]]/F394</f>
        <v>0.5714285714285714</v>
      </c>
      <c r="H394" s="7">
        <v>1334</v>
      </c>
      <c r="I394" s="7">
        <f>Daily_Data[[#This Row],[Room_rate]]*Daily_Data[[#This Row],[Rooms_Occupied]]</f>
        <v>10672</v>
      </c>
      <c r="J394" s="10">
        <f>Daily_Data[[#This Row],[Total_Sales]] * 0.22</f>
        <v>2347.84</v>
      </c>
      <c r="K394" s="10">
        <f>INDEX(Expense_master[Monthly_Rent],MATCH(Daily_Data[[#This Row],[Month_key]],Expense_master[Month_Key],0)) / INDEX(Expense_master[Days_in_Month],MATCH(Daily_Data[[#This Row],[Month_key]],Expense_master[Month_Key],0))</f>
        <v>6774.1935483870966</v>
      </c>
      <c r="L394" s="10">
        <f>SUMIFS(Expense_master[Staff_Salary],Expense_master[Month_Key],Daily_Data[[#This Row],[Month_key]]) / SUMIFS(Expense_master[Days_in_Month],Expense_master[Month_Key],Daily_Data[[#This Row],[Month_key]])</f>
        <v>2258.0645161290322</v>
      </c>
      <c r="M394" s="10">
        <f>Daily_Data[[#This Row],[Rooms_Occupied]] * (SUMIFS(Expense_master[Housekeeping_Laundy],Expense_master[Month_Key],Daily_Data[[#This Row],[Month_key]]) / SUMIFS(Occupancy_table[Monthly_rooms_Occupied],Occupancy_table[Month_Key],Daily_Data[[#This Row],[Month_key]]))</f>
        <v>250.78369905956112</v>
      </c>
      <c r="N3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1517.1394478713723</v>
      </c>
      <c r="O394" s="10">
        <f>SUMIFS(Expense_master[Monthly_Maintenance],Expense_master[Month_Key],Daily_Data[[#This Row],[Month_key]]) / SUMIFS(Expense_master[Days_in_Month],Expense_master[Month_Key], Daily_Data[[#This Row],[Month_key]])</f>
        <v>645.16129032258061</v>
      </c>
      <c r="P394" s="10">
        <f xml:space="preserve"> Daily_Data[[#This Row],[OTA Commision]] + Daily_Data[[#This Row],[Daily_Rent]]+Daily_Data[[#This Row],[Daily_Staff]]+Daily_Data[[#This Row],[Daily_HK]]+Daily_Data[[#This Row],[Daily_Electricity]] + Daily_Data[[#This Row],[Daily Maintenance]]</f>
        <v>13793.182501769643</v>
      </c>
      <c r="Q394" s="10">
        <f>Daily_Data[[#This Row],[Total_Sales]]-Daily_Data[[#This Row],[Total_Daily_Expense]]</f>
        <v>-3121.1825017696428</v>
      </c>
      <c r="R394" s="10">
        <f>Daily_Data[[#This Row],[Total_Sales]]/Daily_Data[[#This Row],[Rooms_Occupied]]</f>
        <v>1334</v>
      </c>
      <c r="S394" s="10">
        <f>Daily_Data[[#This Row],[Total_Sales]] / Daily_Data[[#This Row],[Max_rooms]]</f>
        <v>762.28571428571433</v>
      </c>
    </row>
    <row r="395" spans="1:19" x14ac:dyDescent="0.25">
      <c r="A395" s="6">
        <v>45320</v>
      </c>
      <c r="B395" s="20">
        <f>DATE(YEAR(Daily_Data[[#This Row],[Date]]), MONTH(Daily_Data[[#This Row],[Date]]), 1)</f>
        <v>45292</v>
      </c>
      <c r="C395" s="20" t="str">
        <f>TEXT(Daily_Data[[#This Row],[Month_key]],"mmmm")</f>
        <v>January</v>
      </c>
      <c r="D395" s="20" t="str">
        <f>TEXT(Daily_Data[[#This Row],[Month_key]],"yyyy")</f>
        <v>2024</v>
      </c>
      <c r="E395" s="7">
        <v>13</v>
      </c>
      <c r="F395" s="7">
        <v>14</v>
      </c>
      <c r="G395" s="8">
        <f>Daily_Data[[#This Row],[Rooms_Occupied]]/F395</f>
        <v>0.9285714285714286</v>
      </c>
      <c r="H395" s="7">
        <v>1439</v>
      </c>
      <c r="I395" s="7">
        <f>Daily_Data[[#This Row],[Room_rate]]*Daily_Data[[#This Row],[Rooms_Occupied]]</f>
        <v>18707</v>
      </c>
      <c r="J395" s="10">
        <f>Daily_Data[[#This Row],[Total_Sales]] * 0.22</f>
        <v>4115.54</v>
      </c>
      <c r="K395" s="10">
        <f>INDEX(Expense_master[Monthly_Rent],MATCH(Daily_Data[[#This Row],[Month_key]],Expense_master[Month_Key],0)) / INDEX(Expense_master[Days_in_Month],MATCH(Daily_Data[[#This Row],[Month_key]],Expense_master[Month_Key],0))</f>
        <v>6774.1935483870966</v>
      </c>
      <c r="L395" s="10">
        <f>SUMIFS(Expense_master[Staff_Salary],Expense_master[Month_Key],Daily_Data[[#This Row],[Month_key]]) / SUMIFS(Expense_master[Days_in_Month],Expense_master[Month_Key],Daily_Data[[#This Row],[Month_key]])</f>
        <v>2258.0645161290322</v>
      </c>
      <c r="M395" s="10">
        <f>Daily_Data[[#This Row],[Rooms_Occupied]] * (SUMIFS(Expense_master[Housekeeping_Laundy],Expense_master[Month_Key],Daily_Data[[#This Row],[Month_key]]) / SUMIFS(Occupancy_table[Monthly_rooms_Occupied],Occupancy_table[Month_Key],Daily_Data[[#This Row],[Month_key]]))</f>
        <v>407.52351097178683</v>
      </c>
      <c r="N3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2027.609667307109</v>
      </c>
      <c r="O395" s="10">
        <f>SUMIFS(Expense_master[Monthly_Maintenance],Expense_master[Month_Key],Daily_Data[[#This Row],[Month_key]]) / SUMIFS(Expense_master[Days_in_Month],Expense_master[Month_Key], Daily_Data[[#This Row],[Month_key]])</f>
        <v>645.16129032258061</v>
      </c>
      <c r="P395" s="10">
        <f xml:space="preserve"> Daily_Data[[#This Row],[OTA Commision]] + Daily_Data[[#This Row],[Daily_Rent]]+Daily_Data[[#This Row],[Daily_Staff]]+Daily_Data[[#This Row],[Daily_HK]]+Daily_Data[[#This Row],[Daily_Electricity]] + Daily_Data[[#This Row],[Daily Maintenance]]</f>
        <v>16228.092533117606</v>
      </c>
      <c r="Q395" s="10">
        <f>Daily_Data[[#This Row],[Total_Sales]]-Daily_Data[[#This Row],[Total_Daily_Expense]]</f>
        <v>2478.9074668823941</v>
      </c>
      <c r="R395" s="10">
        <f>Daily_Data[[#This Row],[Total_Sales]]/Daily_Data[[#This Row],[Rooms_Occupied]]</f>
        <v>1439</v>
      </c>
      <c r="S395" s="10">
        <f>Daily_Data[[#This Row],[Total_Sales]] / Daily_Data[[#This Row],[Max_rooms]]</f>
        <v>1336.2142857142858</v>
      </c>
    </row>
    <row r="396" spans="1:19" x14ac:dyDescent="0.25">
      <c r="A396" s="6">
        <v>45321</v>
      </c>
      <c r="B396" s="20">
        <f>DATE(YEAR(Daily_Data[[#This Row],[Date]]), MONTH(Daily_Data[[#This Row],[Date]]), 1)</f>
        <v>45292</v>
      </c>
      <c r="C396" s="20" t="str">
        <f>TEXT(Daily_Data[[#This Row],[Month_key]],"mmmm")</f>
        <v>January</v>
      </c>
      <c r="D396" s="20" t="str">
        <f>TEXT(Daily_Data[[#This Row],[Month_key]],"yyyy")</f>
        <v>2024</v>
      </c>
      <c r="E396" s="7">
        <v>11</v>
      </c>
      <c r="F396" s="7">
        <v>14</v>
      </c>
      <c r="G396" s="8">
        <f>Daily_Data[[#This Row],[Rooms_Occupied]]/F396</f>
        <v>0.7857142857142857</v>
      </c>
      <c r="H396" s="7">
        <v>1556</v>
      </c>
      <c r="I396" s="7">
        <f>Daily_Data[[#This Row],[Room_rate]]*Daily_Data[[#This Row],[Rooms_Occupied]]</f>
        <v>17116</v>
      </c>
      <c r="J396" s="10">
        <f>Daily_Data[[#This Row],[Total_Sales]] * 0.22</f>
        <v>3765.52</v>
      </c>
      <c r="K396" s="10">
        <f>INDEX(Expense_master[Monthly_Rent],MATCH(Daily_Data[[#This Row],[Month_key]],Expense_master[Month_Key],0)) / INDEX(Expense_master[Days_in_Month],MATCH(Daily_Data[[#This Row],[Month_key]],Expense_master[Month_Key],0))</f>
        <v>6774.1935483870966</v>
      </c>
      <c r="L396" s="10">
        <f>SUMIFS(Expense_master[Staff_Salary],Expense_master[Month_Key],Daily_Data[[#This Row],[Month_key]]) / SUMIFS(Expense_master[Days_in_Month],Expense_master[Month_Key],Daily_Data[[#This Row],[Month_key]])</f>
        <v>2258.0645161290322</v>
      </c>
      <c r="M396" s="10">
        <f>Daily_Data[[#This Row],[Rooms_Occupied]] * (SUMIFS(Expense_master[Housekeeping_Laundy],Expense_master[Month_Key],Daily_Data[[#This Row],[Month_key]]) / SUMIFS(Occupancy_table[Monthly_rooms_Occupied],Occupancy_table[Month_Key],Daily_Data[[#This Row],[Month_key]]))</f>
        <v>344.82758620689651</v>
      </c>
      <c r="N3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1823.4215795328143</v>
      </c>
      <c r="O396" s="10">
        <f>SUMIFS(Expense_master[Monthly_Maintenance],Expense_master[Month_Key],Daily_Data[[#This Row],[Month_key]]) / SUMIFS(Expense_master[Days_in_Month],Expense_master[Month_Key], Daily_Data[[#This Row],[Month_key]])</f>
        <v>645.16129032258061</v>
      </c>
      <c r="P396" s="10">
        <f xml:space="preserve"> Daily_Data[[#This Row],[OTA Commision]] + Daily_Data[[#This Row],[Daily_Rent]]+Daily_Data[[#This Row],[Daily_Staff]]+Daily_Data[[#This Row],[Daily_HK]]+Daily_Data[[#This Row],[Daily_Electricity]] + Daily_Data[[#This Row],[Daily Maintenance]]</f>
        <v>15611.188520578422</v>
      </c>
      <c r="Q396" s="10">
        <f>Daily_Data[[#This Row],[Total_Sales]]-Daily_Data[[#This Row],[Total_Daily_Expense]]</f>
        <v>1504.811479421578</v>
      </c>
      <c r="R396" s="10">
        <f>Daily_Data[[#This Row],[Total_Sales]]/Daily_Data[[#This Row],[Rooms_Occupied]]</f>
        <v>1556</v>
      </c>
      <c r="S396" s="10">
        <f>Daily_Data[[#This Row],[Total_Sales]] / Daily_Data[[#This Row],[Max_rooms]]</f>
        <v>1222.5714285714287</v>
      </c>
    </row>
    <row r="397" spans="1:19" x14ac:dyDescent="0.25">
      <c r="A397" s="6">
        <v>45322</v>
      </c>
      <c r="B397" s="20">
        <f>DATE(YEAR(Daily_Data[[#This Row],[Date]]), MONTH(Daily_Data[[#This Row],[Date]]), 1)</f>
        <v>45292</v>
      </c>
      <c r="C397" s="20" t="str">
        <f>TEXT(Daily_Data[[#This Row],[Month_key]],"mmmm")</f>
        <v>January</v>
      </c>
      <c r="D397" s="20" t="str">
        <f>TEXT(Daily_Data[[#This Row],[Month_key]],"yyyy")</f>
        <v>2024</v>
      </c>
      <c r="E397" s="7">
        <v>13</v>
      </c>
      <c r="F397" s="7">
        <v>14</v>
      </c>
      <c r="G397" s="8">
        <f>Daily_Data[[#This Row],[Rooms_Occupied]]/F397</f>
        <v>0.9285714285714286</v>
      </c>
      <c r="H397" s="7">
        <v>1832</v>
      </c>
      <c r="I397" s="7">
        <f>Daily_Data[[#This Row],[Room_rate]]*Daily_Data[[#This Row],[Rooms_Occupied]]</f>
        <v>23816</v>
      </c>
      <c r="J397" s="10">
        <f>Daily_Data[[#This Row],[Total_Sales]] * 0.22</f>
        <v>5239.5200000000004</v>
      </c>
      <c r="K397" s="10">
        <f>INDEX(Expense_master[Monthly_Rent],MATCH(Daily_Data[[#This Row],[Month_key]],Expense_master[Month_Key],0)) / INDEX(Expense_master[Days_in_Month],MATCH(Daily_Data[[#This Row],[Month_key]],Expense_master[Month_Key],0))</f>
        <v>6774.1935483870966</v>
      </c>
      <c r="L397" s="10">
        <f>SUMIFS(Expense_master[Staff_Salary],Expense_master[Month_Key],Daily_Data[[#This Row],[Month_key]]) / SUMIFS(Expense_master[Days_in_Month],Expense_master[Month_Key],Daily_Data[[#This Row],[Month_key]])</f>
        <v>2258.0645161290322</v>
      </c>
      <c r="M397" s="10">
        <f>Daily_Data[[#This Row],[Rooms_Occupied]] * (SUMIFS(Expense_master[Housekeeping_Laundy],Expense_master[Month_Key],Daily_Data[[#This Row],[Month_key]]) / SUMIFS(Occupancy_table[Monthly_rooms_Occupied],Occupancy_table[Month_Key],Daily_Data[[#This Row],[Month_key]]))</f>
        <v>407.52351097178683</v>
      </c>
      <c r="N3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2027.609667307109</v>
      </c>
      <c r="O397" s="10">
        <f>SUMIFS(Expense_master[Monthly_Maintenance],Expense_master[Month_Key],Daily_Data[[#This Row],[Month_key]]) / SUMIFS(Expense_master[Days_in_Month],Expense_master[Month_Key], Daily_Data[[#This Row],[Month_key]])</f>
        <v>645.16129032258061</v>
      </c>
      <c r="P397" s="10">
        <f xml:space="preserve"> Daily_Data[[#This Row],[OTA Commision]] + Daily_Data[[#This Row],[Daily_Rent]]+Daily_Data[[#This Row],[Daily_Staff]]+Daily_Data[[#This Row],[Daily_HK]]+Daily_Data[[#This Row],[Daily_Electricity]] + Daily_Data[[#This Row],[Daily Maintenance]]</f>
        <v>17352.072533117604</v>
      </c>
      <c r="Q397" s="10">
        <f>Daily_Data[[#This Row],[Total_Sales]]-Daily_Data[[#This Row],[Total_Daily_Expense]]</f>
        <v>6463.9274668823964</v>
      </c>
      <c r="R397" s="10">
        <f>Daily_Data[[#This Row],[Total_Sales]]/Daily_Data[[#This Row],[Rooms_Occupied]]</f>
        <v>1832</v>
      </c>
      <c r="S397" s="10">
        <f>Daily_Data[[#This Row],[Total_Sales]] / Daily_Data[[#This Row],[Max_rooms]]</f>
        <v>1701.1428571428571</v>
      </c>
    </row>
    <row r="398" spans="1:19" x14ac:dyDescent="0.25">
      <c r="A398" s="6">
        <v>45323</v>
      </c>
      <c r="B398" s="20">
        <f>DATE(YEAR(Daily_Data[[#This Row],[Date]]), MONTH(Daily_Data[[#This Row],[Date]]), 1)</f>
        <v>45323</v>
      </c>
      <c r="C398" s="20" t="str">
        <f>TEXT(Daily_Data[[#This Row],[Month_key]],"mmmm")</f>
        <v>February</v>
      </c>
      <c r="D398" s="20" t="str">
        <f>TEXT(Daily_Data[[#This Row],[Month_key]],"yyyy")</f>
        <v>2024</v>
      </c>
      <c r="E398" s="7">
        <v>10</v>
      </c>
      <c r="F398" s="7">
        <v>14</v>
      </c>
      <c r="G398" s="8">
        <f>Daily_Data[[#This Row],[Rooms_Occupied]]/F398</f>
        <v>0.7142857142857143</v>
      </c>
      <c r="H398" s="7">
        <v>1905</v>
      </c>
      <c r="I398" s="7">
        <f>Daily_Data[[#This Row],[Room_rate]]*Daily_Data[[#This Row],[Rooms_Occupied]]</f>
        <v>19050</v>
      </c>
      <c r="J398" s="10">
        <f>Daily_Data[[#This Row],[Total_Sales]] * 0.22</f>
        <v>4191</v>
      </c>
      <c r="K398" s="10">
        <f>INDEX(Expense_master[Monthly_Rent],MATCH(Daily_Data[[#This Row],[Month_key]],Expense_master[Month_Key],0)) / INDEX(Expense_master[Days_in_Month],MATCH(Daily_Data[[#This Row],[Month_key]],Expense_master[Month_Key],0))</f>
        <v>7241.3793103448279</v>
      </c>
      <c r="L398" s="10">
        <f>SUMIFS(Expense_master[Staff_Salary],Expense_master[Month_Key],Daily_Data[[#This Row],[Month_key]]) / SUMIFS(Expense_master[Days_in_Month],Expense_master[Month_Key],Daily_Data[[#This Row],[Month_key]])</f>
        <v>2413.7931034482758</v>
      </c>
      <c r="M398" s="10">
        <f>Daily_Data[[#This Row],[Rooms_Occupied]] * (SUMIFS(Expense_master[Housekeeping_Laundy],Expense_master[Month_Key],Daily_Data[[#This Row],[Month_key]]) / SUMIFS(Occupancy_table[Monthly_rooms_Occupied],Occupancy_table[Month_Key],Daily_Data[[#This Row],[Month_key]]))</f>
        <v>332.22591362126246</v>
      </c>
      <c r="N3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1693.6178714629395</v>
      </c>
      <c r="O398" s="10">
        <f>SUMIFS(Expense_master[Monthly_Maintenance],Expense_master[Month_Key],Daily_Data[[#This Row],[Month_key]]) / SUMIFS(Expense_master[Days_in_Month],Expense_master[Month_Key], Daily_Data[[#This Row],[Month_key]])</f>
        <v>689.65517241379314</v>
      </c>
      <c r="P398" s="10">
        <f xml:space="preserve"> Daily_Data[[#This Row],[OTA Commision]] + Daily_Data[[#This Row],[Daily_Rent]]+Daily_Data[[#This Row],[Daily_Staff]]+Daily_Data[[#This Row],[Daily_HK]]+Daily_Data[[#This Row],[Daily_Electricity]] + Daily_Data[[#This Row],[Daily Maintenance]]</f>
        <v>16561.671371291101</v>
      </c>
      <c r="Q398" s="10">
        <f>Daily_Data[[#This Row],[Total_Sales]]-Daily_Data[[#This Row],[Total_Daily_Expense]]</f>
        <v>2488.3286287088995</v>
      </c>
      <c r="R398" s="10">
        <f>Daily_Data[[#This Row],[Total_Sales]]/Daily_Data[[#This Row],[Rooms_Occupied]]</f>
        <v>1905</v>
      </c>
      <c r="S398" s="10">
        <f>Daily_Data[[#This Row],[Total_Sales]] / Daily_Data[[#This Row],[Max_rooms]]</f>
        <v>1360.7142857142858</v>
      </c>
    </row>
    <row r="399" spans="1:19" x14ac:dyDescent="0.25">
      <c r="A399" s="6">
        <v>45324</v>
      </c>
      <c r="B399" s="20">
        <f>DATE(YEAR(Daily_Data[[#This Row],[Date]]), MONTH(Daily_Data[[#This Row],[Date]]), 1)</f>
        <v>45323</v>
      </c>
      <c r="C399" s="20" t="str">
        <f>TEXT(Daily_Data[[#This Row],[Month_key]],"mmmm")</f>
        <v>February</v>
      </c>
      <c r="D399" s="20" t="str">
        <f>TEXT(Daily_Data[[#This Row],[Month_key]],"yyyy")</f>
        <v>2024</v>
      </c>
      <c r="E399" s="7">
        <v>12</v>
      </c>
      <c r="F399" s="7">
        <v>14</v>
      </c>
      <c r="G399" s="8">
        <f>Daily_Data[[#This Row],[Rooms_Occupied]]/F399</f>
        <v>0.8571428571428571</v>
      </c>
      <c r="H399" s="7">
        <v>1567</v>
      </c>
      <c r="I399" s="7">
        <f>Daily_Data[[#This Row],[Room_rate]]*Daily_Data[[#This Row],[Rooms_Occupied]]</f>
        <v>18804</v>
      </c>
      <c r="J399" s="10">
        <f>Daily_Data[[#This Row],[Total_Sales]] * 0.22</f>
        <v>4136.88</v>
      </c>
      <c r="K399" s="10">
        <f>INDEX(Expense_master[Monthly_Rent],MATCH(Daily_Data[[#This Row],[Month_key]],Expense_master[Month_Key],0)) / INDEX(Expense_master[Days_in_Month],MATCH(Daily_Data[[#This Row],[Month_key]],Expense_master[Month_Key],0))</f>
        <v>7241.3793103448279</v>
      </c>
      <c r="L399" s="10">
        <f>SUMIFS(Expense_master[Staff_Salary],Expense_master[Month_Key],Daily_Data[[#This Row],[Month_key]]) / SUMIFS(Expense_master[Days_in_Month],Expense_master[Month_Key],Daily_Data[[#This Row],[Month_key]])</f>
        <v>2413.7931034482758</v>
      </c>
      <c r="M399" s="10">
        <f>Daily_Data[[#This Row],[Rooms_Occupied]] * (SUMIFS(Expense_master[Housekeeping_Laundy],Expense_master[Month_Key],Daily_Data[[#This Row],[Month_key]]) / SUMIFS(Occupancy_table[Monthly_rooms_Occupied],Occupancy_table[Month_Key],Daily_Data[[#This Row],[Month_key]]))</f>
        <v>398.67109634551491</v>
      </c>
      <c r="N3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1893.8145492038034</v>
      </c>
      <c r="O399" s="10">
        <f>SUMIFS(Expense_master[Monthly_Maintenance],Expense_master[Month_Key],Daily_Data[[#This Row],[Month_key]]) / SUMIFS(Expense_master[Days_in_Month],Expense_master[Month_Key], Daily_Data[[#This Row],[Month_key]])</f>
        <v>689.65517241379314</v>
      </c>
      <c r="P399" s="10">
        <f xml:space="preserve"> Daily_Data[[#This Row],[OTA Commision]] + Daily_Data[[#This Row],[Daily_Rent]]+Daily_Data[[#This Row],[Daily_Staff]]+Daily_Data[[#This Row],[Daily_HK]]+Daily_Data[[#This Row],[Daily_Electricity]] + Daily_Data[[#This Row],[Daily Maintenance]]</f>
        <v>16774.193231756213</v>
      </c>
      <c r="Q399" s="10">
        <f>Daily_Data[[#This Row],[Total_Sales]]-Daily_Data[[#This Row],[Total_Daily_Expense]]</f>
        <v>2029.8067682437868</v>
      </c>
      <c r="R399" s="10">
        <f>Daily_Data[[#This Row],[Total_Sales]]/Daily_Data[[#This Row],[Rooms_Occupied]]</f>
        <v>1567</v>
      </c>
      <c r="S399" s="10">
        <f>Daily_Data[[#This Row],[Total_Sales]] / Daily_Data[[#This Row],[Max_rooms]]</f>
        <v>1343.1428571428571</v>
      </c>
    </row>
    <row r="400" spans="1:19" x14ac:dyDescent="0.25">
      <c r="A400" s="6">
        <v>45325</v>
      </c>
      <c r="B400" s="20">
        <f>DATE(YEAR(Daily_Data[[#This Row],[Date]]), MONTH(Daily_Data[[#This Row],[Date]]), 1)</f>
        <v>45323</v>
      </c>
      <c r="C400" s="20" t="str">
        <f>TEXT(Daily_Data[[#This Row],[Month_key]],"mmmm")</f>
        <v>February</v>
      </c>
      <c r="D400" s="20" t="str">
        <f>TEXT(Daily_Data[[#This Row],[Month_key]],"yyyy")</f>
        <v>2024</v>
      </c>
      <c r="E400" s="7">
        <v>11</v>
      </c>
      <c r="F400" s="7">
        <v>14</v>
      </c>
      <c r="G400" s="8">
        <f>Daily_Data[[#This Row],[Rooms_Occupied]]/F400</f>
        <v>0.7857142857142857</v>
      </c>
      <c r="H400" s="7">
        <v>1049</v>
      </c>
      <c r="I400" s="7">
        <f>Daily_Data[[#This Row],[Room_rate]]*Daily_Data[[#This Row],[Rooms_Occupied]]</f>
        <v>11539</v>
      </c>
      <c r="J400" s="10">
        <f>Daily_Data[[#This Row],[Total_Sales]] * 0.22</f>
        <v>2538.58</v>
      </c>
      <c r="K400" s="10">
        <f>INDEX(Expense_master[Monthly_Rent],MATCH(Daily_Data[[#This Row],[Month_key]],Expense_master[Month_Key],0)) / INDEX(Expense_master[Days_in_Month],MATCH(Daily_Data[[#This Row],[Month_key]],Expense_master[Month_Key],0))</f>
        <v>7241.3793103448279</v>
      </c>
      <c r="L400" s="10">
        <f>SUMIFS(Expense_master[Staff_Salary],Expense_master[Month_Key],Daily_Data[[#This Row],[Month_key]]) / SUMIFS(Expense_master[Days_in_Month],Expense_master[Month_Key],Daily_Data[[#This Row],[Month_key]])</f>
        <v>2413.7931034482758</v>
      </c>
      <c r="M400" s="10">
        <f>Daily_Data[[#This Row],[Rooms_Occupied]] * (SUMIFS(Expense_master[Housekeeping_Laundy],Expense_master[Month_Key],Daily_Data[[#This Row],[Month_key]]) / SUMIFS(Occupancy_table[Monthly_rooms_Occupied],Occupancy_table[Month_Key],Daily_Data[[#This Row],[Month_key]]))</f>
        <v>365.44850498338872</v>
      </c>
      <c r="N4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1793.7162103333717</v>
      </c>
      <c r="O400" s="10">
        <f>SUMIFS(Expense_master[Monthly_Maintenance],Expense_master[Month_Key],Daily_Data[[#This Row],[Month_key]]) / SUMIFS(Expense_master[Days_in_Month],Expense_master[Month_Key], Daily_Data[[#This Row],[Month_key]])</f>
        <v>689.65517241379314</v>
      </c>
      <c r="P400" s="10">
        <f xml:space="preserve"> Daily_Data[[#This Row],[OTA Commision]] + Daily_Data[[#This Row],[Daily_Rent]]+Daily_Data[[#This Row],[Daily_Staff]]+Daily_Data[[#This Row],[Daily_HK]]+Daily_Data[[#This Row],[Daily_Electricity]] + Daily_Data[[#This Row],[Daily Maintenance]]</f>
        <v>15042.572301523658</v>
      </c>
      <c r="Q400" s="10">
        <f>Daily_Data[[#This Row],[Total_Sales]]-Daily_Data[[#This Row],[Total_Daily_Expense]]</f>
        <v>-3503.5723015236581</v>
      </c>
      <c r="R400" s="10">
        <f>Daily_Data[[#This Row],[Total_Sales]]/Daily_Data[[#This Row],[Rooms_Occupied]]</f>
        <v>1049</v>
      </c>
      <c r="S400" s="10">
        <f>Daily_Data[[#This Row],[Total_Sales]] / Daily_Data[[#This Row],[Max_rooms]]</f>
        <v>824.21428571428567</v>
      </c>
    </row>
    <row r="401" spans="1:19" x14ac:dyDescent="0.25">
      <c r="A401" s="6">
        <v>45326</v>
      </c>
      <c r="B401" s="20">
        <f>DATE(YEAR(Daily_Data[[#This Row],[Date]]), MONTH(Daily_Data[[#This Row],[Date]]), 1)</f>
        <v>45323</v>
      </c>
      <c r="C401" s="20" t="str">
        <f>TEXT(Daily_Data[[#This Row],[Month_key]],"mmmm")</f>
        <v>February</v>
      </c>
      <c r="D401" s="20" t="str">
        <f>TEXT(Daily_Data[[#This Row],[Month_key]],"yyyy")</f>
        <v>2024</v>
      </c>
      <c r="E401" s="7">
        <v>9</v>
      </c>
      <c r="F401" s="7">
        <v>14</v>
      </c>
      <c r="G401" s="8">
        <f>Daily_Data[[#This Row],[Rooms_Occupied]]/F401</f>
        <v>0.6428571428571429</v>
      </c>
      <c r="H401" s="7">
        <v>1159</v>
      </c>
      <c r="I401" s="7">
        <f>Daily_Data[[#This Row],[Room_rate]]*Daily_Data[[#This Row],[Rooms_Occupied]]</f>
        <v>10431</v>
      </c>
      <c r="J401" s="10">
        <f>Daily_Data[[#This Row],[Total_Sales]] * 0.22</f>
        <v>2294.8200000000002</v>
      </c>
      <c r="K401" s="10">
        <f>INDEX(Expense_master[Monthly_Rent],MATCH(Daily_Data[[#This Row],[Month_key]],Expense_master[Month_Key],0)) / INDEX(Expense_master[Days_in_Month],MATCH(Daily_Data[[#This Row],[Month_key]],Expense_master[Month_Key],0))</f>
        <v>7241.3793103448279</v>
      </c>
      <c r="L401" s="10">
        <f>SUMIFS(Expense_master[Staff_Salary],Expense_master[Month_Key],Daily_Data[[#This Row],[Month_key]]) / SUMIFS(Expense_master[Days_in_Month],Expense_master[Month_Key],Daily_Data[[#This Row],[Month_key]])</f>
        <v>2413.7931034482758</v>
      </c>
      <c r="M401" s="10">
        <f>Daily_Data[[#This Row],[Rooms_Occupied]] * (SUMIFS(Expense_master[Housekeeping_Laundy],Expense_master[Month_Key],Daily_Data[[#This Row],[Month_key]]) / SUMIFS(Occupancy_table[Monthly_rooms_Occupied],Occupancy_table[Month_Key],Daily_Data[[#This Row],[Month_key]]))</f>
        <v>299.00332225913621</v>
      </c>
      <c r="N4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01" s="10">
        <f>SUMIFS(Expense_master[Monthly_Maintenance],Expense_master[Month_Key],Daily_Data[[#This Row],[Month_key]]) / SUMIFS(Expense_master[Days_in_Month],Expense_master[Month_Key], Daily_Data[[#This Row],[Month_key]])</f>
        <v>689.65517241379314</v>
      </c>
      <c r="P401" s="10">
        <f xml:space="preserve"> Daily_Data[[#This Row],[OTA Commision]] + Daily_Data[[#This Row],[Daily_Rent]]+Daily_Data[[#This Row],[Daily_Staff]]+Daily_Data[[#This Row],[Daily_HK]]+Daily_Data[[#This Row],[Daily_Electricity]] + Daily_Data[[#This Row],[Daily Maintenance]]</f>
        <v>14532.170441058541</v>
      </c>
      <c r="Q401" s="10">
        <f>Daily_Data[[#This Row],[Total_Sales]]-Daily_Data[[#This Row],[Total_Daily_Expense]]</f>
        <v>-4101.1704410585407</v>
      </c>
      <c r="R401" s="10">
        <f>Daily_Data[[#This Row],[Total_Sales]]/Daily_Data[[#This Row],[Rooms_Occupied]]</f>
        <v>1159</v>
      </c>
      <c r="S401" s="10">
        <f>Daily_Data[[#This Row],[Total_Sales]] / Daily_Data[[#This Row],[Max_rooms]]</f>
        <v>745.07142857142856</v>
      </c>
    </row>
    <row r="402" spans="1:19" x14ac:dyDescent="0.25">
      <c r="A402" s="6">
        <v>45327</v>
      </c>
      <c r="B402" s="20">
        <f>DATE(YEAR(Daily_Data[[#This Row],[Date]]), MONTH(Daily_Data[[#This Row],[Date]]), 1)</f>
        <v>45323</v>
      </c>
      <c r="C402" s="20" t="str">
        <f>TEXT(Daily_Data[[#This Row],[Month_key]],"mmmm")</f>
        <v>February</v>
      </c>
      <c r="D402" s="20" t="str">
        <f>TEXT(Daily_Data[[#This Row],[Month_key]],"yyyy")</f>
        <v>2024</v>
      </c>
      <c r="E402" s="7">
        <v>13</v>
      </c>
      <c r="F402" s="7">
        <v>14</v>
      </c>
      <c r="G402" s="8">
        <f>Daily_Data[[#This Row],[Rooms_Occupied]]/F402</f>
        <v>0.9285714285714286</v>
      </c>
      <c r="H402" s="7">
        <v>1832</v>
      </c>
      <c r="I402" s="7">
        <f>Daily_Data[[#This Row],[Room_rate]]*Daily_Data[[#This Row],[Rooms_Occupied]]</f>
        <v>23816</v>
      </c>
      <c r="J402" s="10">
        <f>Daily_Data[[#This Row],[Total_Sales]] * 0.22</f>
        <v>5239.5200000000004</v>
      </c>
      <c r="K402" s="10">
        <f>INDEX(Expense_master[Monthly_Rent],MATCH(Daily_Data[[#This Row],[Month_key]],Expense_master[Month_Key],0)) / INDEX(Expense_master[Days_in_Month],MATCH(Daily_Data[[#This Row],[Month_key]],Expense_master[Month_Key],0))</f>
        <v>7241.3793103448279</v>
      </c>
      <c r="L402" s="10">
        <f>SUMIFS(Expense_master[Staff_Salary],Expense_master[Month_Key],Daily_Data[[#This Row],[Month_key]]) / SUMIFS(Expense_master[Days_in_Month],Expense_master[Month_Key],Daily_Data[[#This Row],[Month_key]])</f>
        <v>2413.7931034482758</v>
      </c>
      <c r="M402" s="10">
        <f>Daily_Data[[#This Row],[Rooms_Occupied]] * (SUMIFS(Expense_master[Housekeeping_Laundy],Expense_master[Month_Key],Daily_Data[[#This Row],[Month_key]]) / SUMIFS(Occupancy_table[Monthly_rooms_Occupied],Occupancy_table[Month_Key],Daily_Data[[#This Row],[Month_key]]))</f>
        <v>431.89368770764116</v>
      </c>
      <c r="N4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1993.9128880742351</v>
      </c>
      <c r="O402" s="10">
        <f>SUMIFS(Expense_master[Monthly_Maintenance],Expense_master[Month_Key],Daily_Data[[#This Row],[Month_key]]) / SUMIFS(Expense_master[Days_in_Month],Expense_master[Month_Key], Daily_Data[[#This Row],[Month_key]])</f>
        <v>689.65517241379314</v>
      </c>
      <c r="P402" s="10">
        <f xml:space="preserve"> Daily_Data[[#This Row],[OTA Commision]] + Daily_Data[[#This Row],[Daily_Rent]]+Daily_Data[[#This Row],[Daily_Staff]]+Daily_Data[[#This Row],[Daily_HK]]+Daily_Data[[#This Row],[Daily_Electricity]] + Daily_Data[[#This Row],[Daily Maintenance]]</f>
        <v>18010.154161988772</v>
      </c>
      <c r="Q402" s="10">
        <f>Daily_Data[[#This Row],[Total_Sales]]-Daily_Data[[#This Row],[Total_Daily_Expense]]</f>
        <v>5805.8458380112279</v>
      </c>
      <c r="R402" s="10">
        <f>Daily_Data[[#This Row],[Total_Sales]]/Daily_Data[[#This Row],[Rooms_Occupied]]</f>
        <v>1832</v>
      </c>
      <c r="S402" s="10">
        <f>Daily_Data[[#This Row],[Total_Sales]] / Daily_Data[[#This Row],[Max_rooms]]</f>
        <v>1701.1428571428571</v>
      </c>
    </row>
    <row r="403" spans="1:19" x14ac:dyDescent="0.25">
      <c r="A403" s="6">
        <v>45328</v>
      </c>
      <c r="B403" s="20">
        <f>DATE(YEAR(Daily_Data[[#This Row],[Date]]), MONTH(Daily_Data[[#This Row],[Date]]), 1)</f>
        <v>45323</v>
      </c>
      <c r="C403" s="20" t="str">
        <f>TEXT(Daily_Data[[#This Row],[Month_key]],"mmmm")</f>
        <v>February</v>
      </c>
      <c r="D403" s="20" t="str">
        <f>TEXT(Daily_Data[[#This Row],[Month_key]],"yyyy")</f>
        <v>2024</v>
      </c>
      <c r="E403" s="7">
        <v>9</v>
      </c>
      <c r="F403" s="7">
        <v>14</v>
      </c>
      <c r="G403" s="8">
        <f>Daily_Data[[#This Row],[Rooms_Occupied]]/F403</f>
        <v>0.6428571428571429</v>
      </c>
      <c r="H403" s="7">
        <v>1692</v>
      </c>
      <c r="I403" s="7">
        <f>Daily_Data[[#This Row],[Room_rate]]*Daily_Data[[#This Row],[Rooms_Occupied]]</f>
        <v>15228</v>
      </c>
      <c r="J403" s="10">
        <f>Daily_Data[[#This Row],[Total_Sales]] * 0.22</f>
        <v>3350.16</v>
      </c>
      <c r="K403" s="10">
        <f>INDEX(Expense_master[Monthly_Rent],MATCH(Daily_Data[[#This Row],[Month_key]],Expense_master[Month_Key],0)) / INDEX(Expense_master[Days_in_Month],MATCH(Daily_Data[[#This Row],[Month_key]],Expense_master[Month_Key],0))</f>
        <v>7241.3793103448279</v>
      </c>
      <c r="L403" s="10">
        <f>SUMIFS(Expense_master[Staff_Salary],Expense_master[Month_Key],Daily_Data[[#This Row],[Month_key]]) / SUMIFS(Expense_master[Days_in_Month],Expense_master[Month_Key],Daily_Data[[#This Row],[Month_key]])</f>
        <v>2413.7931034482758</v>
      </c>
      <c r="M403" s="10">
        <f>Daily_Data[[#This Row],[Rooms_Occupied]] * (SUMIFS(Expense_master[Housekeeping_Laundy],Expense_master[Month_Key],Daily_Data[[#This Row],[Month_key]]) / SUMIFS(Occupancy_table[Monthly_rooms_Occupied],Occupancy_table[Month_Key],Daily_Data[[#This Row],[Month_key]]))</f>
        <v>299.00332225913621</v>
      </c>
      <c r="N4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03" s="10">
        <f>SUMIFS(Expense_master[Monthly_Maintenance],Expense_master[Month_Key],Daily_Data[[#This Row],[Month_key]]) / SUMIFS(Expense_master[Days_in_Month],Expense_master[Month_Key], Daily_Data[[#This Row],[Month_key]])</f>
        <v>689.65517241379314</v>
      </c>
      <c r="P403" s="10">
        <f xml:space="preserve"> Daily_Data[[#This Row],[OTA Commision]] + Daily_Data[[#This Row],[Daily_Rent]]+Daily_Data[[#This Row],[Daily_Staff]]+Daily_Data[[#This Row],[Daily_HK]]+Daily_Data[[#This Row],[Daily_Electricity]] + Daily_Data[[#This Row],[Daily Maintenance]]</f>
        <v>15587.510441058541</v>
      </c>
      <c r="Q403" s="10">
        <f>Daily_Data[[#This Row],[Total_Sales]]-Daily_Data[[#This Row],[Total_Daily_Expense]]</f>
        <v>-359.51044105854089</v>
      </c>
      <c r="R403" s="10">
        <f>Daily_Data[[#This Row],[Total_Sales]]/Daily_Data[[#This Row],[Rooms_Occupied]]</f>
        <v>1692</v>
      </c>
      <c r="S403" s="10">
        <f>Daily_Data[[#This Row],[Total_Sales]] / Daily_Data[[#This Row],[Max_rooms]]</f>
        <v>1087.7142857142858</v>
      </c>
    </row>
    <row r="404" spans="1:19" x14ac:dyDescent="0.25">
      <c r="A404" s="6">
        <v>45329</v>
      </c>
      <c r="B404" s="20">
        <f>DATE(YEAR(Daily_Data[[#This Row],[Date]]), MONTH(Daily_Data[[#This Row],[Date]]), 1)</f>
        <v>45323</v>
      </c>
      <c r="C404" s="20" t="str">
        <f>TEXT(Daily_Data[[#This Row],[Month_key]],"mmmm")</f>
        <v>February</v>
      </c>
      <c r="D404" s="20" t="str">
        <f>TEXT(Daily_Data[[#This Row],[Month_key]],"yyyy")</f>
        <v>2024</v>
      </c>
      <c r="E404" s="7">
        <v>12</v>
      </c>
      <c r="F404" s="7">
        <v>14</v>
      </c>
      <c r="G404" s="8">
        <f>Daily_Data[[#This Row],[Rooms_Occupied]]/F404</f>
        <v>0.8571428571428571</v>
      </c>
      <c r="H404" s="7">
        <v>1127</v>
      </c>
      <c r="I404" s="7">
        <f>Daily_Data[[#This Row],[Room_rate]]*Daily_Data[[#This Row],[Rooms_Occupied]]</f>
        <v>13524</v>
      </c>
      <c r="J404" s="10">
        <f>Daily_Data[[#This Row],[Total_Sales]] * 0.22</f>
        <v>2975.28</v>
      </c>
      <c r="K404" s="10">
        <f>INDEX(Expense_master[Monthly_Rent],MATCH(Daily_Data[[#This Row],[Month_key]],Expense_master[Month_Key],0)) / INDEX(Expense_master[Days_in_Month],MATCH(Daily_Data[[#This Row],[Month_key]],Expense_master[Month_Key],0))</f>
        <v>7241.3793103448279</v>
      </c>
      <c r="L404" s="10">
        <f>SUMIFS(Expense_master[Staff_Salary],Expense_master[Month_Key],Daily_Data[[#This Row],[Month_key]]) / SUMIFS(Expense_master[Days_in_Month],Expense_master[Month_Key],Daily_Data[[#This Row],[Month_key]])</f>
        <v>2413.7931034482758</v>
      </c>
      <c r="M404" s="10">
        <f>Daily_Data[[#This Row],[Rooms_Occupied]] * (SUMIFS(Expense_master[Housekeeping_Laundy],Expense_master[Month_Key],Daily_Data[[#This Row],[Month_key]]) / SUMIFS(Occupancy_table[Monthly_rooms_Occupied],Occupancy_table[Month_Key],Daily_Data[[#This Row],[Month_key]]))</f>
        <v>398.67109634551491</v>
      </c>
      <c r="N4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1893.8145492038034</v>
      </c>
      <c r="O404" s="10">
        <f>SUMIFS(Expense_master[Monthly_Maintenance],Expense_master[Month_Key],Daily_Data[[#This Row],[Month_key]]) / SUMIFS(Expense_master[Days_in_Month],Expense_master[Month_Key], Daily_Data[[#This Row],[Month_key]])</f>
        <v>689.65517241379314</v>
      </c>
      <c r="P404" s="10">
        <f xml:space="preserve"> Daily_Data[[#This Row],[OTA Commision]] + Daily_Data[[#This Row],[Daily_Rent]]+Daily_Data[[#This Row],[Daily_Staff]]+Daily_Data[[#This Row],[Daily_HK]]+Daily_Data[[#This Row],[Daily_Electricity]] + Daily_Data[[#This Row],[Daily Maintenance]]</f>
        <v>15612.593231756216</v>
      </c>
      <c r="Q404" s="10">
        <f>Daily_Data[[#This Row],[Total_Sales]]-Daily_Data[[#This Row],[Total_Daily_Expense]]</f>
        <v>-2088.5932317562165</v>
      </c>
      <c r="R404" s="10">
        <f>Daily_Data[[#This Row],[Total_Sales]]/Daily_Data[[#This Row],[Rooms_Occupied]]</f>
        <v>1127</v>
      </c>
      <c r="S404" s="10">
        <f>Daily_Data[[#This Row],[Total_Sales]] / Daily_Data[[#This Row],[Max_rooms]]</f>
        <v>966</v>
      </c>
    </row>
    <row r="405" spans="1:19" x14ac:dyDescent="0.25">
      <c r="A405" s="6">
        <v>45330</v>
      </c>
      <c r="B405" s="20">
        <f>DATE(YEAR(Daily_Data[[#This Row],[Date]]), MONTH(Daily_Data[[#This Row],[Date]]), 1)</f>
        <v>45323</v>
      </c>
      <c r="C405" s="20" t="str">
        <f>TEXT(Daily_Data[[#This Row],[Month_key]],"mmmm")</f>
        <v>February</v>
      </c>
      <c r="D405" s="20" t="str">
        <f>TEXT(Daily_Data[[#This Row],[Month_key]],"yyyy")</f>
        <v>2024</v>
      </c>
      <c r="E405" s="7">
        <v>11</v>
      </c>
      <c r="F405" s="7">
        <v>14</v>
      </c>
      <c r="G405" s="8">
        <f>Daily_Data[[#This Row],[Rooms_Occupied]]/F405</f>
        <v>0.7857142857142857</v>
      </c>
      <c r="H405" s="7">
        <v>1661</v>
      </c>
      <c r="I405" s="7">
        <f>Daily_Data[[#This Row],[Room_rate]]*Daily_Data[[#This Row],[Rooms_Occupied]]</f>
        <v>18271</v>
      </c>
      <c r="J405" s="10">
        <f>Daily_Data[[#This Row],[Total_Sales]] * 0.22</f>
        <v>4019.62</v>
      </c>
      <c r="K405" s="10">
        <f>INDEX(Expense_master[Monthly_Rent],MATCH(Daily_Data[[#This Row],[Month_key]],Expense_master[Month_Key],0)) / INDEX(Expense_master[Days_in_Month],MATCH(Daily_Data[[#This Row],[Month_key]],Expense_master[Month_Key],0))</f>
        <v>7241.3793103448279</v>
      </c>
      <c r="L405" s="10">
        <f>SUMIFS(Expense_master[Staff_Salary],Expense_master[Month_Key],Daily_Data[[#This Row],[Month_key]]) / SUMIFS(Expense_master[Days_in_Month],Expense_master[Month_Key],Daily_Data[[#This Row],[Month_key]])</f>
        <v>2413.7931034482758</v>
      </c>
      <c r="M405" s="10">
        <f>Daily_Data[[#This Row],[Rooms_Occupied]] * (SUMIFS(Expense_master[Housekeeping_Laundy],Expense_master[Month_Key],Daily_Data[[#This Row],[Month_key]]) / SUMIFS(Occupancy_table[Monthly_rooms_Occupied],Occupancy_table[Month_Key],Daily_Data[[#This Row],[Month_key]]))</f>
        <v>365.44850498338872</v>
      </c>
      <c r="N4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1793.7162103333717</v>
      </c>
      <c r="O405" s="10">
        <f>SUMIFS(Expense_master[Monthly_Maintenance],Expense_master[Month_Key],Daily_Data[[#This Row],[Month_key]]) / SUMIFS(Expense_master[Days_in_Month],Expense_master[Month_Key], Daily_Data[[#This Row],[Month_key]])</f>
        <v>689.65517241379314</v>
      </c>
      <c r="P405" s="10">
        <f xml:space="preserve"> Daily_Data[[#This Row],[OTA Commision]] + Daily_Data[[#This Row],[Daily_Rent]]+Daily_Data[[#This Row],[Daily_Staff]]+Daily_Data[[#This Row],[Daily_HK]]+Daily_Data[[#This Row],[Daily_Electricity]] + Daily_Data[[#This Row],[Daily Maintenance]]</f>
        <v>16523.612301523659</v>
      </c>
      <c r="Q405" s="10">
        <f>Daily_Data[[#This Row],[Total_Sales]]-Daily_Data[[#This Row],[Total_Daily_Expense]]</f>
        <v>1747.387698476341</v>
      </c>
      <c r="R405" s="10">
        <f>Daily_Data[[#This Row],[Total_Sales]]/Daily_Data[[#This Row],[Rooms_Occupied]]</f>
        <v>1661</v>
      </c>
      <c r="S405" s="10">
        <f>Daily_Data[[#This Row],[Total_Sales]] / Daily_Data[[#This Row],[Max_rooms]]</f>
        <v>1305.0714285714287</v>
      </c>
    </row>
    <row r="406" spans="1:19" x14ac:dyDescent="0.25">
      <c r="A406" s="6">
        <v>45331</v>
      </c>
      <c r="B406" s="20">
        <f>DATE(YEAR(Daily_Data[[#This Row],[Date]]), MONTH(Daily_Data[[#This Row],[Date]]), 1)</f>
        <v>45323</v>
      </c>
      <c r="C406" s="20" t="str">
        <f>TEXT(Daily_Data[[#This Row],[Month_key]],"mmmm")</f>
        <v>February</v>
      </c>
      <c r="D406" s="20" t="str">
        <f>TEXT(Daily_Data[[#This Row],[Month_key]],"yyyy")</f>
        <v>2024</v>
      </c>
      <c r="E406" s="7">
        <v>14</v>
      </c>
      <c r="F406" s="7">
        <v>14</v>
      </c>
      <c r="G406" s="8">
        <f>Daily_Data[[#This Row],[Rooms_Occupied]]/F406</f>
        <v>1</v>
      </c>
      <c r="H406" s="7">
        <v>1515</v>
      </c>
      <c r="I406" s="7">
        <f>Daily_Data[[#This Row],[Room_rate]]*Daily_Data[[#This Row],[Rooms_Occupied]]</f>
        <v>21210</v>
      </c>
      <c r="J406" s="10">
        <f>Daily_Data[[#This Row],[Total_Sales]] * 0.22</f>
        <v>4666.2</v>
      </c>
      <c r="K406" s="10">
        <f>INDEX(Expense_master[Monthly_Rent],MATCH(Daily_Data[[#This Row],[Month_key]],Expense_master[Month_Key],0)) / INDEX(Expense_master[Days_in_Month],MATCH(Daily_Data[[#This Row],[Month_key]],Expense_master[Month_Key],0))</f>
        <v>7241.3793103448279</v>
      </c>
      <c r="L406" s="10">
        <f>SUMIFS(Expense_master[Staff_Salary],Expense_master[Month_Key],Daily_Data[[#This Row],[Month_key]]) / SUMIFS(Expense_master[Days_in_Month],Expense_master[Month_Key],Daily_Data[[#This Row],[Month_key]])</f>
        <v>2413.7931034482758</v>
      </c>
      <c r="M406" s="10">
        <f>Daily_Data[[#This Row],[Rooms_Occupied]] * (SUMIFS(Expense_master[Housekeeping_Laundy],Expense_master[Month_Key],Daily_Data[[#This Row],[Month_key]]) / SUMIFS(Occupancy_table[Monthly_rooms_Occupied],Occupancy_table[Month_Key],Daily_Data[[#This Row],[Month_key]]))</f>
        <v>465.11627906976742</v>
      </c>
      <c r="N4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2094.0112269446672</v>
      </c>
      <c r="O406" s="10">
        <f>SUMIFS(Expense_master[Monthly_Maintenance],Expense_master[Month_Key],Daily_Data[[#This Row],[Month_key]]) / SUMIFS(Expense_master[Days_in_Month],Expense_master[Month_Key], Daily_Data[[#This Row],[Month_key]])</f>
        <v>689.65517241379314</v>
      </c>
      <c r="P406" s="10">
        <f xml:space="preserve"> Daily_Data[[#This Row],[OTA Commision]] + Daily_Data[[#This Row],[Daily_Rent]]+Daily_Data[[#This Row],[Daily_Staff]]+Daily_Data[[#This Row],[Daily_HK]]+Daily_Data[[#This Row],[Daily_Electricity]] + Daily_Data[[#This Row],[Daily Maintenance]]</f>
        <v>17570.155092221332</v>
      </c>
      <c r="Q406" s="10">
        <f>Daily_Data[[#This Row],[Total_Sales]]-Daily_Data[[#This Row],[Total_Daily_Expense]]</f>
        <v>3639.8449077786681</v>
      </c>
      <c r="R406" s="10">
        <f>Daily_Data[[#This Row],[Total_Sales]]/Daily_Data[[#This Row],[Rooms_Occupied]]</f>
        <v>1515</v>
      </c>
      <c r="S406" s="10">
        <f>Daily_Data[[#This Row],[Total_Sales]] / Daily_Data[[#This Row],[Max_rooms]]</f>
        <v>1515</v>
      </c>
    </row>
    <row r="407" spans="1:19" x14ac:dyDescent="0.25">
      <c r="A407" s="6">
        <v>45332</v>
      </c>
      <c r="B407" s="20">
        <f>DATE(YEAR(Daily_Data[[#This Row],[Date]]), MONTH(Daily_Data[[#This Row],[Date]]), 1)</f>
        <v>45323</v>
      </c>
      <c r="C407" s="20" t="str">
        <f>TEXT(Daily_Data[[#This Row],[Month_key]],"mmmm")</f>
        <v>February</v>
      </c>
      <c r="D407" s="20" t="str">
        <f>TEXT(Daily_Data[[#This Row],[Month_key]],"yyyy")</f>
        <v>2024</v>
      </c>
      <c r="E407" s="7">
        <v>8</v>
      </c>
      <c r="F407" s="7">
        <v>14</v>
      </c>
      <c r="G407" s="8">
        <f>Daily_Data[[#This Row],[Rooms_Occupied]]/F407</f>
        <v>0.5714285714285714</v>
      </c>
      <c r="H407" s="7">
        <v>1014</v>
      </c>
      <c r="I407" s="7">
        <f>Daily_Data[[#This Row],[Room_rate]]*Daily_Data[[#This Row],[Rooms_Occupied]]</f>
        <v>8112</v>
      </c>
      <c r="J407" s="10">
        <f>Daily_Data[[#This Row],[Total_Sales]] * 0.22</f>
        <v>1784.64</v>
      </c>
      <c r="K407" s="10">
        <f>INDEX(Expense_master[Monthly_Rent],MATCH(Daily_Data[[#This Row],[Month_key]],Expense_master[Month_Key],0)) / INDEX(Expense_master[Days_in_Month],MATCH(Daily_Data[[#This Row],[Month_key]],Expense_master[Month_Key],0))</f>
        <v>7241.3793103448279</v>
      </c>
      <c r="L407" s="10">
        <f>SUMIFS(Expense_master[Staff_Salary],Expense_master[Month_Key],Daily_Data[[#This Row],[Month_key]]) / SUMIFS(Expense_master[Days_in_Month],Expense_master[Month_Key],Daily_Data[[#This Row],[Month_key]])</f>
        <v>2413.7931034482758</v>
      </c>
      <c r="M407" s="10">
        <f>Daily_Data[[#This Row],[Rooms_Occupied]] * (SUMIFS(Expense_master[Housekeeping_Laundy],Expense_master[Month_Key],Daily_Data[[#This Row],[Month_key]]) / SUMIFS(Occupancy_table[Monthly_rooms_Occupied],Occupancy_table[Month_Key],Daily_Data[[#This Row],[Month_key]]))</f>
        <v>265.78073089700996</v>
      </c>
      <c r="N4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1493.4211937220757</v>
      </c>
      <c r="O407" s="10">
        <f>SUMIFS(Expense_master[Monthly_Maintenance],Expense_master[Month_Key],Daily_Data[[#This Row],[Month_key]]) / SUMIFS(Expense_master[Days_in_Month],Expense_master[Month_Key], Daily_Data[[#This Row],[Month_key]])</f>
        <v>689.65517241379314</v>
      </c>
      <c r="P407" s="10">
        <f xml:space="preserve"> Daily_Data[[#This Row],[OTA Commision]] + Daily_Data[[#This Row],[Daily_Rent]]+Daily_Data[[#This Row],[Daily_Staff]]+Daily_Data[[#This Row],[Daily_HK]]+Daily_Data[[#This Row],[Daily_Electricity]] + Daily_Data[[#This Row],[Daily Maintenance]]</f>
        <v>13888.669510825981</v>
      </c>
      <c r="Q407" s="10">
        <f>Daily_Data[[#This Row],[Total_Sales]]-Daily_Data[[#This Row],[Total_Daily_Expense]]</f>
        <v>-5776.669510825981</v>
      </c>
      <c r="R407" s="10">
        <f>Daily_Data[[#This Row],[Total_Sales]]/Daily_Data[[#This Row],[Rooms_Occupied]]</f>
        <v>1014</v>
      </c>
      <c r="S407" s="10">
        <f>Daily_Data[[#This Row],[Total_Sales]] / Daily_Data[[#This Row],[Max_rooms]]</f>
        <v>579.42857142857144</v>
      </c>
    </row>
    <row r="408" spans="1:19" x14ac:dyDescent="0.25">
      <c r="A408" s="6">
        <v>45333</v>
      </c>
      <c r="B408" s="20">
        <f>DATE(YEAR(Daily_Data[[#This Row],[Date]]), MONTH(Daily_Data[[#This Row],[Date]]), 1)</f>
        <v>45323</v>
      </c>
      <c r="C408" s="20" t="str">
        <f>TEXT(Daily_Data[[#This Row],[Month_key]],"mmmm")</f>
        <v>February</v>
      </c>
      <c r="D408" s="20" t="str">
        <f>TEXT(Daily_Data[[#This Row],[Month_key]],"yyyy")</f>
        <v>2024</v>
      </c>
      <c r="E408" s="7">
        <v>8</v>
      </c>
      <c r="F408" s="7">
        <v>14</v>
      </c>
      <c r="G408" s="8">
        <f>Daily_Data[[#This Row],[Rooms_Occupied]]/F408</f>
        <v>0.5714285714285714</v>
      </c>
      <c r="H408" s="7">
        <v>1031</v>
      </c>
      <c r="I408" s="7">
        <f>Daily_Data[[#This Row],[Room_rate]]*Daily_Data[[#This Row],[Rooms_Occupied]]</f>
        <v>8248</v>
      </c>
      <c r="J408" s="10">
        <f>Daily_Data[[#This Row],[Total_Sales]] * 0.22</f>
        <v>1814.56</v>
      </c>
      <c r="K408" s="10">
        <f>INDEX(Expense_master[Monthly_Rent],MATCH(Daily_Data[[#This Row],[Month_key]],Expense_master[Month_Key],0)) / INDEX(Expense_master[Days_in_Month],MATCH(Daily_Data[[#This Row],[Month_key]],Expense_master[Month_Key],0))</f>
        <v>7241.3793103448279</v>
      </c>
      <c r="L408" s="10">
        <f>SUMIFS(Expense_master[Staff_Salary],Expense_master[Month_Key],Daily_Data[[#This Row],[Month_key]]) / SUMIFS(Expense_master[Days_in_Month],Expense_master[Month_Key],Daily_Data[[#This Row],[Month_key]])</f>
        <v>2413.7931034482758</v>
      </c>
      <c r="M408" s="10">
        <f>Daily_Data[[#This Row],[Rooms_Occupied]] * (SUMIFS(Expense_master[Housekeeping_Laundy],Expense_master[Month_Key],Daily_Data[[#This Row],[Month_key]]) / SUMIFS(Occupancy_table[Monthly_rooms_Occupied],Occupancy_table[Month_Key],Daily_Data[[#This Row],[Month_key]]))</f>
        <v>265.78073089700996</v>
      </c>
      <c r="N4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1493.4211937220757</v>
      </c>
      <c r="O408" s="10">
        <f>SUMIFS(Expense_master[Monthly_Maintenance],Expense_master[Month_Key],Daily_Data[[#This Row],[Month_key]]) / SUMIFS(Expense_master[Days_in_Month],Expense_master[Month_Key], Daily_Data[[#This Row],[Month_key]])</f>
        <v>689.65517241379314</v>
      </c>
      <c r="P408" s="10">
        <f xml:space="preserve"> Daily_Data[[#This Row],[OTA Commision]] + Daily_Data[[#This Row],[Daily_Rent]]+Daily_Data[[#This Row],[Daily_Staff]]+Daily_Data[[#This Row],[Daily_HK]]+Daily_Data[[#This Row],[Daily_Electricity]] + Daily_Data[[#This Row],[Daily Maintenance]]</f>
        <v>13918.589510825981</v>
      </c>
      <c r="Q408" s="10">
        <f>Daily_Data[[#This Row],[Total_Sales]]-Daily_Data[[#This Row],[Total_Daily_Expense]]</f>
        <v>-5670.5895108259811</v>
      </c>
      <c r="R408" s="10">
        <f>Daily_Data[[#This Row],[Total_Sales]]/Daily_Data[[#This Row],[Rooms_Occupied]]</f>
        <v>1031</v>
      </c>
      <c r="S408" s="10">
        <f>Daily_Data[[#This Row],[Total_Sales]] / Daily_Data[[#This Row],[Max_rooms]]</f>
        <v>589.14285714285711</v>
      </c>
    </row>
    <row r="409" spans="1:19" x14ac:dyDescent="0.25">
      <c r="A409" s="6">
        <v>45334</v>
      </c>
      <c r="B409" s="20">
        <f>DATE(YEAR(Daily_Data[[#This Row],[Date]]), MONTH(Daily_Data[[#This Row],[Date]]), 1)</f>
        <v>45323</v>
      </c>
      <c r="C409" s="20" t="str">
        <f>TEXT(Daily_Data[[#This Row],[Month_key]],"mmmm")</f>
        <v>February</v>
      </c>
      <c r="D409" s="20" t="str">
        <f>TEXT(Daily_Data[[#This Row],[Month_key]],"yyyy")</f>
        <v>2024</v>
      </c>
      <c r="E409" s="7">
        <v>10</v>
      </c>
      <c r="F409" s="7">
        <v>14</v>
      </c>
      <c r="G409" s="8">
        <f>Daily_Data[[#This Row],[Rooms_Occupied]]/F409</f>
        <v>0.7142857142857143</v>
      </c>
      <c r="H409" s="7">
        <v>1090</v>
      </c>
      <c r="I409" s="7">
        <f>Daily_Data[[#This Row],[Room_rate]]*Daily_Data[[#This Row],[Rooms_Occupied]]</f>
        <v>10900</v>
      </c>
      <c r="J409" s="10">
        <f>Daily_Data[[#This Row],[Total_Sales]] * 0.22</f>
        <v>2398</v>
      </c>
      <c r="K409" s="10">
        <f>INDEX(Expense_master[Monthly_Rent],MATCH(Daily_Data[[#This Row],[Month_key]],Expense_master[Month_Key],0)) / INDEX(Expense_master[Days_in_Month],MATCH(Daily_Data[[#This Row],[Month_key]],Expense_master[Month_Key],0))</f>
        <v>7241.3793103448279</v>
      </c>
      <c r="L409" s="10">
        <f>SUMIFS(Expense_master[Staff_Salary],Expense_master[Month_Key],Daily_Data[[#This Row],[Month_key]]) / SUMIFS(Expense_master[Days_in_Month],Expense_master[Month_Key],Daily_Data[[#This Row],[Month_key]])</f>
        <v>2413.7931034482758</v>
      </c>
      <c r="M409" s="10">
        <f>Daily_Data[[#This Row],[Rooms_Occupied]] * (SUMIFS(Expense_master[Housekeeping_Laundy],Expense_master[Month_Key],Daily_Data[[#This Row],[Month_key]]) / SUMIFS(Occupancy_table[Monthly_rooms_Occupied],Occupancy_table[Month_Key],Daily_Data[[#This Row],[Month_key]]))</f>
        <v>332.22591362126246</v>
      </c>
      <c r="N4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1693.6178714629395</v>
      </c>
      <c r="O409" s="10">
        <f>SUMIFS(Expense_master[Monthly_Maintenance],Expense_master[Month_Key],Daily_Data[[#This Row],[Month_key]]) / SUMIFS(Expense_master[Days_in_Month],Expense_master[Month_Key], Daily_Data[[#This Row],[Month_key]])</f>
        <v>689.65517241379314</v>
      </c>
      <c r="P409" s="10">
        <f xml:space="preserve"> Daily_Data[[#This Row],[OTA Commision]] + Daily_Data[[#This Row],[Daily_Rent]]+Daily_Data[[#This Row],[Daily_Staff]]+Daily_Data[[#This Row],[Daily_HK]]+Daily_Data[[#This Row],[Daily_Electricity]] + Daily_Data[[#This Row],[Daily Maintenance]]</f>
        <v>14768.671371291101</v>
      </c>
      <c r="Q409" s="10">
        <f>Daily_Data[[#This Row],[Total_Sales]]-Daily_Data[[#This Row],[Total_Daily_Expense]]</f>
        <v>-3868.6713712911005</v>
      </c>
      <c r="R409" s="10">
        <f>Daily_Data[[#This Row],[Total_Sales]]/Daily_Data[[#This Row],[Rooms_Occupied]]</f>
        <v>1090</v>
      </c>
      <c r="S409" s="10">
        <f>Daily_Data[[#This Row],[Total_Sales]] / Daily_Data[[#This Row],[Max_rooms]]</f>
        <v>778.57142857142856</v>
      </c>
    </row>
    <row r="410" spans="1:19" x14ac:dyDescent="0.25">
      <c r="A410" s="6">
        <v>45335</v>
      </c>
      <c r="B410" s="20">
        <f>DATE(YEAR(Daily_Data[[#This Row],[Date]]), MONTH(Daily_Data[[#This Row],[Date]]), 1)</f>
        <v>45323</v>
      </c>
      <c r="C410" s="20" t="str">
        <f>TEXT(Daily_Data[[#This Row],[Month_key]],"mmmm")</f>
        <v>February</v>
      </c>
      <c r="D410" s="20" t="str">
        <f>TEXT(Daily_Data[[#This Row],[Month_key]],"yyyy")</f>
        <v>2024</v>
      </c>
      <c r="E410" s="7">
        <v>14</v>
      </c>
      <c r="F410" s="7">
        <v>14</v>
      </c>
      <c r="G410" s="8">
        <f>Daily_Data[[#This Row],[Rooms_Occupied]]/F410</f>
        <v>1</v>
      </c>
      <c r="H410" s="7">
        <v>1333</v>
      </c>
      <c r="I410" s="7">
        <f>Daily_Data[[#This Row],[Room_rate]]*Daily_Data[[#This Row],[Rooms_Occupied]]</f>
        <v>18662</v>
      </c>
      <c r="J410" s="10">
        <f>Daily_Data[[#This Row],[Total_Sales]] * 0.22</f>
        <v>4105.6400000000003</v>
      </c>
      <c r="K410" s="10">
        <f>INDEX(Expense_master[Monthly_Rent],MATCH(Daily_Data[[#This Row],[Month_key]],Expense_master[Month_Key],0)) / INDEX(Expense_master[Days_in_Month],MATCH(Daily_Data[[#This Row],[Month_key]],Expense_master[Month_Key],0))</f>
        <v>7241.3793103448279</v>
      </c>
      <c r="L410" s="10">
        <f>SUMIFS(Expense_master[Staff_Salary],Expense_master[Month_Key],Daily_Data[[#This Row],[Month_key]]) / SUMIFS(Expense_master[Days_in_Month],Expense_master[Month_Key],Daily_Data[[#This Row],[Month_key]])</f>
        <v>2413.7931034482758</v>
      </c>
      <c r="M410" s="10">
        <f>Daily_Data[[#This Row],[Rooms_Occupied]] * (SUMIFS(Expense_master[Housekeeping_Laundy],Expense_master[Month_Key],Daily_Data[[#This Row],[Month_key]]) / SUMIFS(Occupancy_table[Monthly_rooms_Occupied],Occupancy_table[Month_Key],Daily_Data[[#This Row],[Month_key]]))</f>
        <v>465.11627906976742</v>
      </c>
      <c r="N4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2094.0112269446672</v>
      </c>
      <c r="O410" s="10">
        <f>SUMIFS(Expense_master[Monthly_Maintenance],Expense_master[Month_Key],Daily_Data[[#This Row],[Month_key]]) / SUMIFS(Expense_master[Days_in_Month],Expense_master[Month_Key], Daily_Data[[#This Row],[Month_key]])</f>
        <v>689.65517241379314</v>
      </c>
      <c r="P410" s="10">
        <f xml:space="preserve"> Daily_Data[[#This Row],[OTA Commision]] + Daily_Data[[#This Row],[Daily_Rent]]+Daily_Data[[#This Row],[Daily_Staff]]+Daily_Data[[#This Row],[Daily_HK]]+Daily_Data[[#This Row],[Daily_Electricity]] + Daily_Data[[#This Row],[Daily Maintenance]]</f>
        <v>17009.595092221331</v>
      </c>
      <c r="Q410" s="10">
        <f>Daily_Data[[#This Row],[Total_Sales]]-Daily_Data[[#This Row],[Total_Daily_Expense]]</f>
        <v>1652.4049077786694</v>
      </c>
      <c r="R410" s="10">
        <f>Daily_Data[[#This Row],[Total_Sales]]/Daily_Data[[#This Row],[Rooms_Occupied]]</f>
        <v>1333</v>
      </c>
      <c r="S410" s="10">
        <f>Daily_Data[[#This Row],[Total_Sales]] / Daily_Data[[#This Row],[Max_rooms]]</f>
        <v>1333</v>
      </c>
    </row>
    <row r="411" spans="1:19" x14ac:dyDescent="0.25">
      <c r="A411" s="6">
        <v>45336</v>
      </c>
      <c r="B411" s="20">
        <f>DATE(YEAR(Daily_Data[[#This Row],[Date]]), MONTH(Daily_Data[[#This Row],[Date]]), 1)</f>
        <v>45323</v>
      </c>
      <c r="C411" s="20" t="str">
        <f>TEXT(Daily_Data[[#This Row],[Month_key]],"mmmm")</f>
        <v>February</v>
      </c>
      <c r="D411" s="20" t="str">
        <f>TEXT(Daily_Data[[#This Row],[Month_key]],"yyyy")</f>
        <v>2024</v>
      </c>
      <c r="E411" s="7">
        <v>9</v>
      </c>
      <c r="F411" s="7">
        <v>14</v>
      </c>
      <c r="G411" s="8">
        <f>Daily_Data[[#This Row],[Rooms_Occupied]]/F411</f>
        <v>0.6428571428571429</v>
      </c>
      <c r="H411" s="7">
        <v>1129</v>
      </c>
      <c r="I411" s="7">
        <f>Daily_Data[[#This Row],[Room_rate]]*Daily_Data[[#This Row],[Rooms_Occupied]]</f>
        <v>10161</v>
      </c>
      <c r="J411" s="10">
        <f>Daily_Data[[#This Row],[Total_Sales]] * 0.22</f>
        <v>2235.42</v>
      </c>
      <c r="K411" s="10">
        <f>INDEX(Expense_master[Monthly_Rent],MATCH(Daily_Data[[#This Row],[Month_key]],Expense_master[Month_Key],0)) / INDEX(Expense_master[Days_in_Month],MATCH(Daily_Data[[#This Row],[Month_key]],Expense_master[Month_Key],0))</f>
        <v>7241.3793103448279</v>
      </c>
      <c r="L411" s="10">
        <f>SUMIFS(Expense_master[Staff_Salary],Expense_master[Month_Key],Daily_Data[[#This Row],[Month_key]]) / SUMIFS(Expense_master[Days_in_Month],Expense_master[Month_Key],Daily_Data[[#This Row],[Month_key]])</f>
        <v>2413.7931034482758</v>
      </c>
      <c r="M411" s="10">
        <f>Daily_Data[[#This Row],[Rooms_Occupied]] * (SUMIFS(Expense_master[Housekeeping_Laundy],Expense_master[Month_Key],Daily_Data[[#This Row],[Month_key]]) / SUMIFS(Occupancy_table[Monthly_rooms_Occupied],Occupancy_table[Month_Key],Daily_Data[[#This Row],[Month_key]]))</f>
        <v>299.00332225913621</v>
      </c>
      <c r="N4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11" s="10">
        <f>SUMIFS(Expense_master[Monthly_Maintenance],Expense_master[Month_Key],Daily_Data[[#This Row],[Month_key]]) / SUMIFS(Expense_master[Days_in_Month],Expense_master[Month_Key], Daily_Data[[#This Row],[Month_key]])</f>
        <v>689.65517241379314</v>
      </c>
      <c r="P411" s="10">
        <f xml:space="preserve"> Daily_Data[[#This Row],[OTA Commision]] + Daily_Data[[#This Row],[Daily_Rent]]+Daily_Data[[#This Row],[Daily_Staff]]+Daily_Data[[#This Row],[Daily_HK]]+Daily_Data[[#This Row],[Daily_Electricity]] + Daily_Data[[#This Row],[Daily Maintenance]]</f>
        <v>14472.770441058539</v>
      </c>
      <c r="Q411" s="10">
        <f>Daily_Data[[#This Row],[Total_Sales]]-Daily_Data[[#This Row],[Total_Daily_Expense]]</f>
        <v>-4311.7704410585393</v>
      </c>
      <c r="R411" s="10">
        <f>Daily_Data[[#This Row],[Total_Sales]]/Daily_Data[[#This Row],[Rooms_Occupied]]</f>
        <v>1129</v>
      </c>
      <c r="S411" s="10">
        <f>Daily_Data[[#This Row],[Total_Sales]] / Daily_Data[[#This Row],[Max_rooms]]</f>
        <v>725.78571428571433</v>
      </c>
    </row>
    <row r="412" spans="1:19" x14ac:dyDescent="0.25">
      <c r="A412" s="6">
        <v>45337</v>
      </c>
      <c r="B412" s="20">
        <f>DATE(YEAR(Daily_Data[[#This Row],[Date]]), MONTH(Daily_Data[[#This Row],[Date]]), 1)</f>
        <v>45323</v>
      </c>
      <c r="C412" s="20" t="str">
        <f>TEXT(Daily_Data[[#This Row],[Month_key]],"mmmm")</f>
        <v>February</v>
      </c>
      <c r="D412" s="20" t="str">
        <f>TEXT(Daily_Data[[#This Row],[Month_key]],"yyyy")</f>
        <v>2024</v>
      </c>
      <c r="E412" s="7">
        <v>11</v>
      </c>
      <c r="F412" s="7">
        <v>14</v>
      </c>
      <c r="G412" s="8">
        <f>Daily_Data[[#This Row],[Rooms_Occupied]]/F412</f>
        <v>0.7857142857142857</v>
      </c>
      <c r="H412" s="7">
        <v>1024</v>
      </c>
      <c r="I412" s="7">
        <f>Daily_Data[[#This Row],[Room_rate]]*Daily_Data[[#This Row],[Rooms_Occupied]]</f>
        <v>11264</v>
      </c>
      <c r="J412" s="10">
        <f>Daily_Data[[#This Row],[Total_Sales]] * 0.22</f>
        <v>2478.08</v>
      </c>
      <c r="K412" s="10">
        <f>INDEX(Expense_master[Monthly_Rent],MATCH(Daily_Data[[#This Row],[Month_key]],Expense_master[Month_Key],0)) / INDEX(Expense_master[Days_in_Month],MATCH(Daily_Data[[#This Row],[Month_key]],Expense_master[Month_Key],0))</f>
        <v>7241.3793103448279</v>
      </c>
      <c r="L412" s="10">
        <f>SUMIFS(Expense_master[Staff_Salary],Expense_master[Month_Key],Daily_Data[[#This Row],[Month_key]]) / SUMIFS(Expense_master[Days_in_Month],Expense_master[Month_Key],Daily_Data[[#This Row],[Month_key]])</f>
        <v>2413.7931034482758</v>
      </c>
      <c r="M412" s="10">
        <f>Daily_Data[[#This Row],[Rooms_Occupied]] * (SUMIFS(Expense_master[Housekeeping_Laundy],Expense_master[Month_Key],Daily_Data[[#This Row],[Month_key]]) / SUMIFS(Occupancy_table[Monthly_rooms_Occupied],Occupancy_table[Month_Key],Daily_Data[[#This Row],[Month_key]]))</f>
        <v>365.44850498338872</v>
      </c>
      <c r="N4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1793.7162103333717</v>
      </c>
      <c r="O412" s="10">
        <f>SUMIFS(Expense_master[Monthly_Maintenance],Expense_master[Month_Key],Daily_Data[[#This Row],[Month_key]]) / SUMIFS(Expense_master[Days_in_Month],Expense_master[Month_Key], Daily_Data[[#This Row],[Month_key]])</f>
        <v>689.65517241379314</v>
      </c>
      <c r="P412" s="10">
        <f xml:space="preserve"> Daily_Data[[#This Row],[OTA Commision]] + Daily_Data[[#This Row],[Daily_Rent]]+Daily_Data[[#This Row],[Daily_Staff]]+Daily_Data[[#This Row],[Daily_HK]]+Daily_Data[[#This Row],[Daily_Electricity]] + Daily_Data[[#This Row],[Daily Maintenance]]</f>
        <v>14982.072301523658</v>
      </c>
      <c r="Q412" s="10">
        <f>Daily_Data[[#This Row],[Total_Sales]]-Daily_Data[[#This Row],[Total_Daily_Expense]]</f>
        <v>-3718.0723015236581</v>
      </c>
      <c r="R412" s="10">
        <f>Daily_Data[[#This Row],[Total_Sales]]/Daily_Data[[#This Row],[Rooms_Occupied]]</f>
        <v>1024</v>
      </c>
      <c r="S412" s="10">
        <f>Daily_Data[[#This Row],[Total_Sales]] / Daily_Data[[#This Row],[Max_rooms]]</f>
        <v>804.57142857142856</v>
      </c>
    </row>
    <row r="413" spans="1:19" x14ac:dyDescent="0.25">
      <c r="A413" s="6">
        <v>45338</v>
      </c>
      <c r="B413" s="20">
        <f>DATE(YEAR(Daily_Data[[#This Row],[Date]]), MONTH(Daily_Data[[#This Row],[Date]]), 1)</f>
        <v>45323</v>
      </c>
      <c r="C413" s="20" t="str">
        <f>TEXT(Daily_Data[[#This Row],[Month_key]],"mmmm")</f>
        <v>February</v>
      </c>
      <c r="D413" s="20" t="str">
        <f>TEXT(Daily_Data[[#This Row],[Month_key]],"yyyy")</f>
        <v>2024</v>
      </c>
      <c r="E413" s="7">
        <v>12</v>
      </c>
      <c r="F413" s="7">
        <v>14</v>
      </c>
      <c r="G413" s="8">
        <f>Daily_Data[[#This Row],[Rooms_Occupied]]/F413</f>
        <v>0.8571428571428571</v>
      </c>
      <c r="H413" s="7">
        <v>1235</v>
      </c>
      <c r="I413" s="7">
        <f>Daily_Data[[#This Row],[Room_rate]]*Daily_Data[[#This Row],[Rooms_Occupied]]</f>
        <v>14820</v>
      </c>
      <c r="J413" s="10">
        <f>Daily_Data[[#This Row],[Total_Sales]] * 0.22</f>
        <v>3260.4</v>
      </c>
      <c r="K413" s="10">
        <f>INDEX(Expense_master[Monthly_Rent],MATCH(Daily_Data[[#This Row],[Month_key]],Expense_master[Month_Key],0)) / INDEX(Expense_master[Days_in_Month],MATCH(Daily_Data[[#This Row],[Month_key]],Expense_master[Month_Key],0))</f>
        <v>7241.3793103448279</v>
      </c>
      <c r="L413" s="10">
        <f>SUMIFS(Expense_master[Staff_Salary],Expense_master[Month_Key],Daily_Data[[#This Row],[Month_key]]) / SUMIFS(Expense_master[Days_in_Month],Expense_master[Month_Key],Daily_Data[[#This Row],[Month_key]])</f>
        <v>2413.7931034482758</v>
      </c>
      <c r="M413" s="10">
        <f>Daily_Data[[#This Row],[Rooms_Occupied]] * (SUMIFS(Expense_master[Housekeeping_Laundy],Expense_master[Month_Key],Daily_Data[[#This Row],[Month_key]]) / SUMIFS(Occupancy_table[Monthly_rooms_Occupied],Occupancy_table[Month_Key],Daily_Data[[#This Row],[Month_key]]))</f>
        <v>398.67109634551491</v>
      </c>
      <c r="N4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1893.8145492038034</v>
      </c>
      <c r="O413" s="10">
        <f>SUMIFS(Expense_master[Monthly_Maintenance],Expense_master[Month_Key],Daily_Data[[#This Row],[Month_key]]) / SUMIFS(Expense_master[Days_in_Month],Expense_master[Month_Key], Daily_Data[[#This Row],[Month_key]])</f>
        <v>689.65517241379314</v>
      </c>
      <c r="P413" s="10">
        <f xml:space="preserve"> Daily_Data[[#This Row],[OTA Commision]] + Daily_Data[[#This Row],[Daily_Rent]]+Daily_Data[[#This Row],[Daily_Staff]]+Daily_Data[[#This Row],[Daily_HK]]+Daily_Data[[#This Row],[Daily_Electricity]] + Daily_Data[[#This Row],[Daily Maintenance]]</f>
        <v>15897.713231756215</v>
      </c>
      <c r="Q413" s="10">
        <f>Daily_Data[[#This Row],[Total_Sales]]-Daily_Data[[#This Row],[Total_Daily_Expense]]</f>
        <v>-1077.7132317562155</v>
      </c>
      <c r="R413" s="10">
        <f>Daily_Data[[#This Row],[Total_Sales]]/Daily_Data[[#This Row],[Rooms_Occupied]]</f>
        <v>1235</v>
      </c>
      <c r="S413" s="10">
        <f>Daily_Data[[#This Row],[Total_Sales]] / Daily_Data[[#This Row],[Max_rooms]]</f>
        <v>1058.5714285714287</v>
      </c>
    </row>
    <row r="414" spans="1:19" x14ac:dyDescent="0.25">
      <c r="A414" s="6">
        <v>45339</v>
      </c>
      <c r="B414" s="20">
        <f>DATE(YEAR(Daily_Data[[#This Row],[Date]]), MONTH(Daily_Data[[#This Row],[Date]]), 1)</f>
        <v>45323</v>
      </c>
      <c r="C414" s="20" t="str">
        <f>TEXT(Daily_Data[[#This Row],[Month_key]],"mmmm")</f>
        <v>February</v>
      </c>
      <c r="D414" s="20" t="str">
        <f>TEXT(Daily_Data[[#This Row],[Month_key]],"yyyy")</f>
        <v>2024</v>
      </c>
      <c r="E414" s="7">
        <v>9</v>
      </c>
      <c r="F414" s="7">
        <v>14</v>
      </c>
      <c r="G414" s="8">
        <f>Daily_Data[[#This Row],[Rooms_Occupied]]/F414</f>
        <v>0.6428571428571429</v>
      </c>
      <c r="H414" s="7">
        <v>1786</v>
      </c>
      <c r="I414" s="7">
        <f>Daily_Data[[#This Row],[Room_rate]]*Daily_Data[[#This Row],[Rooms_Occupied]]</f>
        <v>16074</v>
      </c>
      <c r="J414" s="10">
        <f>Daily_Data[[#This Row],[Total_Sales]] * 0.22</f>
        <v>3536.28</v>
      </c>
      <c r="K414" s="10">
        <f>INDEX(Expense_master[Monthly_Rent],MATCH(Daily_Data[[#This Row],[Month_key]],Expense_master[Month_Key],0)) / INDEX(Expense_master[Days_in_Month],MATCH(Daily_Data[[#This Row],[Month_key]],Expense_master[Month_Key],0))</f>
        <v>7241.3793103448279</v>
      </c>
      <c r="L414" s="10">
        <f>SUMIFS(Expense_master[Staff_Salary],Expense_master[Month_Key],Daily_Data[[#This Row],[Month_key]]) / SUMIFS(Expense_master[Days_in_Month],Expense_master[Month_Key],Daily_Data[[#This Row],[Month_key]])</f>
        <v>2413.7931034482758</v>
      </c>
      <c r="M414" s="10">
        <f>Daily_Data[[#This Row],[Rooms_Occupied]] * (SUMIFS(Expense_master[Housekeeping_Laundy],Expense_master[Month_Key],Daily_Data[[#This Row],[Month_key]]) / SUMIFS(Occupancy_table[Monthly_rooms_Occupied],Occupancy_table[Month_Key],Daily_Data[[#This Row],[Month_key]]))</f>
        <v>299.00332225913621</v>
      </c>
      <c r="N4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14" s="10">
        <f>SUMIFS(Expense_master[Monthly_Maintenance],Expense_master[Month_Key],Daily_Data[[#This Row],[Month_key]]) / SUMIFS(Expense_master[Days_in_Month],Expense_master[Month_Key], Daily_Data[[#This Row],[Month_key]])</f>
        <v>689.65517241379314</v>
      </c>
      <c r="P414" s="10">
        <f xml:space="preserve"> Daily_Data[[#This Row],[OTA Commision]] + Daily_Data[[#This Row],[Daily_Rent]]+Daily_Data[[#This Row],[Daily_Staff]]+Daily_Data[[#This Row],[Daily_HK]]+Daily_Data[[#This Row],[Daily_Electricity]] + Daily_Data[[#This Row],[Daily Maintenance]]</f>
        <v>15773.63044105854</v>
      </c>
      <c r="Q414" s="10">
        <f>Daily_Data[[#This Row],[Total_Sales]]-Daily_Data[[#This Row],[Total_Daily_Expense]]</f>
        <v>300.36955894146013</v>
      </c>
      <c r="R414" s="10">
        <f>Daily_Data[[#This Row],[Total_Sales]]/Daily_Data[[#This Row],[Rooms_Occupied]]</f>
        <v>1786</v>
      </c>
      <c r="S414" s="10">
        <f>Daily_Data[[#This Row],[Total_Sales]] / Daily_Data[[#This Row],[Max_rooms]]</f>
        <v>1148.1428571428571</v>
      </c>
    </row>
    <row r="415" spans="1:19" x14ac:dyDescent="0.25">
      <c r="A415" s="6">
        <v>45340</v>
      </c>
      <c r="B415" s="20">
        <f>DATE(YEAR(Daily_Data[[#This Row],[Date]]), MONTH(Daily_Data[[#This Row],[Date]]), 1)</f>
        <v>45323</v>
      </c>
      <c r="C415" s="20" t="str">
        <f>TEXT(Daily_Data[[#This Row],[Month_key]],"mmmm")</f>
        <v>February</v>
      </c>
      <c r="D415" s="20" t="str">
        <f>TEXT(Daily_Data[[#This Row],[Month_key]],"yyyy")</f>
        <v>2024</v>
      </c>
      <c r="E415" s="7">
        <v>9</v>
      </c>
      <c r="F415" s="7">
        <v>14</v>
      </c>
      <c r="G415" s="8">
        <f>Daily_Data[[#This Row],[Rooms_Occupied]]/F415</f>
        <v>0.6428571428571429</v>
      </c>
      <c r="H415" s="7">
        <v>1359</v>
      </c>
      <c r="I415" s="7">
        <f>Daily_Data[[#This Row],[Room_rate]]*Daily_Data[[#This Row],[Rooms_Occupied]]</f>
        <v>12231</v>
      </c>
      <c r="J415" s="10">
        <f>Daily_Data[[#This Row],[Total_Sales]] * 0.22</f>
        <v>2690.82</v>
      </c>
      <c r="K415" s="10">
        <f>INDEX(Expense_master[Monthly_Rent],MATCH(Daily_Data[[#This Row],[Month_key]],Expense_master[Month_Key],0)) / INDEX(Expense_master[Days_in_Month],MATCH(Daily_Data[[#This Row],[Month_key]],Expense_master[Month_Key],0))</f>
        <v>7241.3793103448279</v>
      </c>
      <c r="L415" s="10">
        <f>SUMIFS(Expense_master[Staff_Salary],Expense_master[Month_Key],Daily_Data[[#This Row],[Month_key]]) / SUMIFS(Expense_master[Days_in_Month],Expense_master[Month_Key],Daily_Data[[#This Row],[Month_key]])</f>
        <v>2413.7931034482758</v>
      </c>
      <c r="M415" s="10">
        <f>Daily_Data[[#This Row],[Rooms_Occupied]] * (SUMIFS(Expense_master[Housekeeping_Laundy],Expense_master[Month_Key],Daily_Data[[#This Row],[Month_key]]) / SUMIFS(Occupancy_table[Monthly_rooms_Occupied],Occupancy_table[Month_Key],Daily_Data[[#This Row],[Month_key]]))</f>
        <v>299.00332225913621</v>
      </c>
      <c r="N4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15" s="10">
        <f>SUMIFS(Expense_master[Monthly_Maintenance],Expense_master[Month_Key],Daily_Data[[#This Row],[Month_key]]) / SUMIFS(Expense_master[Days_in_Month],Expense_master[Month_Key], Daily_Data[[#This Row],[Month_key]])</f>
        <v>689.65517241379314</v>
      </c>
      <c r="P415" s="10">
        <f xml:space="preserve"> Daily_Data[[#This Row],[OTA Commision]] + Daily_Data[[#This Row],[Daily_Rent]]+Daily_Data[[#This Row],[Daily_Staff]]+Daily_Data[[#This Row],[Daily_HK]]+Daily_Data[[#This Row],[Daily_Electricity]] + Daily_Data[[#This Row],[Daily Maintenance]]</f>
        <v>14928.170441058541</v>
      </c>
      <c r="Q415" s="10">
        <f>Daily_Data[[#This Row],[Total_Sales]]-Daily_Data[[#This Row],[Total_Daily_Expense]]</f>
        <v>-2697.1704410585407</v>
      </c>
      <c r="R415" s="10">
        <f>Daily_Data[[#This Row],[Total_Sales]]/Daily_Data[[#This Row],[Rooms_Occupied]]</f>
        <v>1359</v>
      </c>
      <c r="S415" s="10">
        <f>Daily_Data[[#This Row],[Total_Sales]] / Daily_Data[[#This Row],[Max_rooms]]</f>
        <v>873.64285714285711</v>
      </c>
    </row>
    <row r="416" spans="1:19" x14ac:dyDescent="0.25">
      <c r="A416" s="6">
        <v>45341</v>
      </c>
      <c r="B416" s="20">
        <f>DATE(YEAR(Daily_Data[[#This Row],[Date]]), MONTH(Daily_Data[[#This Row],[Date]]), 1)</f>
        <v>45323</v>
      </c>
      <c r="C416" s="20" t="str">
        <f>TEXT(Daily_Data[[#This Row],[Month_key]],"mmmm")</f>
        <v>February</v>
      </c>
      <c r="D416" s="20" t="str">
        <f>TEXT(Daily_Data[[#This Row],[Month_key]],"yyyy")</f>
        <v>2024</v>
      </c>
      <c r="E416" s="7">
        <v>8</v>
      </c>
      <c r="F416" s="7">
        <v>14</v>
      </c>
      <c r="G416" s="8">
        <f>Daily_Data[[#This Row],[Rooms_Occupied]]/F416</f>
        <v>0.5714285714285714</v>
      </c>
      <c r="H416" s="7">
        <v>1384</v>
      </c>
      <c r="I416" s="7">
        <f>Daily_Data[[#This Row],[Room_rate]]*Daily_Data[[#This Row],[Rooms_Occupied]]</f>
        <v>11072</v>
      </c>
      <c r="J416" s="10">
        <f>Daily_Data[[#This Row],[Total_Sales]] * 0.22</f>
        <v>2435.84</v>
      </c>
      <c r="K416" s="10">
        <f>INDEX(Expense_master[Monthly_Rent],MATCH(Daily_Data[[#This Row],[Month_key]],Expense_master[Month_Key],0)) / INDEX(Expense_master[Days_in_Month],MATCH(Daily_Data[[#This Row],[Month_key]],Expense_master[Month_Key],0))</f>
        <v>7241.3793103448279</v>
      </c>
      <c r="L416" s="10">
        <f>SUMIFS(Expense_master[Staff_Salary],Expense_master[Month_Key],Daily_Data[[#This Row],[Month_key]]) / SUMIFS(Expense_master[Days_in_Month],Expense_master[Month_Key],Daily_Data[[#This Row],[Month_key]])</f>
        <v>2413.7931034482758</v>
      </c>
      <c r="M416" s="10">
        <f>Daily_Data[[#This Row],[Rooms_Occupied]] * (SUMIFS(Expense_master[Housekeeping_Laundy],Expense_master[Month_Key],Daily_Data[[#This Row],[Month_key]]) / SUMIFS(Occupancy_table[Monthly_rooms_Occupied],Occupancy_table[Month_Key],Daily_Data[[#This Row],[Month_key]]))</f>
        <v>265.78073089700996</v>
      </c>
      <c r="N4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1493.4211937220757</v>
      </c>
      <c r="O416" s="10">
        <f>SUMIFS(Expense_master[Monthly_Maintenance],Expense_master[Month_Key],Daily_Data[[#This Row],[Month_key]]) / SUMIFS(Expense_master[Days_in_Month],Expense_master[Month_Key], Daily_Data[[#This Row],[Month_key]])</f>
        <v>689.65517241379314</v>
      </c>
      <c r="P416" s="10">
        <f xml:space="preserve"> Daily_Data[[#This Row],[OTA Commision]] + Daily_Data[[#This Row],[Daily_Rent]]+Daily_Data[[#This Row],[Daily_Staff]]+Daily_Data[[#This Row],[Daily_HK]]+Daily_Data[[#This Row],[Daily_Electricity]] + Daily_Data[[#This Row],[Daily Maintenance]]</f>
        <v>14539.869510825982</v>
      </c>
      <c r="Q416" s="10">
        <f>Daily_Data[[#This Row],[Total_Sales]]-Daily_Data[[#This Row],[Total_Daily_Expense]]</f>
        <v>-3467.8695108259817</v>
      </c>
      <c r="R416" s="10">
        <f>Daily_Data[[#This Row],[Total_Sales]]/Daily_Data[[#This Row],[Rooms_Occupied]]</f>
        <v>1384</v>
      </c>
      <c r="S416" s="10">
        <f>Daily_Data[[#This Row],[Total_Sales]] / Daily_Data[[#This Row],[Max_rooms]]</f>
        <v>790.85714285714289</v>
      </c>
    </row>
    <row r="417" spans="1:19" x14ac:dyDescent="0.25">
      <c r="A417" s="6">
        <v>45342</v>
      </c>
      <c r="B417" s="20">
        <f>DATE(YEAR(Daily_Data[[#This Row],[Date]]), MONTH(Daily_Data[[#This Row],[Date]]), 1)</f>
        <v>45323</v>
      </c>
      <c r="C417" s="20" t="str">
        <f>TEXT(Daily_Data[[#This Row],[Month_key]],"mmmm")</f>
        <v>February</v>
      </c>
      <c r="D417" s="20" t="str">
        <f>TEXT(Daily_Data[[#This Row],[Month_key]],"yyyy")</f>
        <v>2024</v>
      </c>
      <c r="E417" s="7">
        <v>8</v>
      </c>
      <c r="F417" s="7">
        <v>14</v>
      </c>
      <c r="G417" s="8">
        <f>Daily_Data[[#This Row],[Rooms_Occupied]]/F417</f>
        <v>0.5714285714285714</v>
      </c>
      <c r="H417" s="7">
        <v>1638</v>
      </c>
      <c r="I417" s="7">
        <f>Daily_Data[[#This Row],[Room_rate]]*Daily_Data[[#This Row],[Rooms_Occupied]]</f>
        <v>13104</v>
      </c>
      <c r="J417" s="10">
        <f>Daily_Data[[#This Row],[Total_Sales]] * 0.22</f>
        <v>2882.88</v>
      </c>
      <c r="K417" s="10">
        <f>INDEX(Expense_master[Monthly_Rent],MATCH(Daily_Data[[#This Row],[Month_key]],Expense_master[Month_Key],0)) / INDEX(Expense_master[Days_in_Month],MATCH(Daily_Data[[#This Row],[Month_key]],Expense_master[Month_Key],0))</f>
        <v>7241.3793103448279</v>
      </c>
      <c r="L417" s="10">
        <f>SUMIFS(Expense_master[Staff_Salary],Expense_master[Month_Key],Daily_Data[[#This Row],[Month_key]]) / SUMIFS(Expense_master[Days_in_Month],Expense_master[Month_Key],Daily_Data[[#This Row],[Month_key]])</f>
        <v>2413.7931034482758</v>
      </c>
      <c r="M417" s="10">
        <f>Daily_Data[[#This Row],[Rooms_Occupied]] * (SUMIFS(Expense_master[Housekeeping_Laundy],Expense_master[Month_Key],Daily_Data[[#This Row],[Month_key]]) / SUMIFS(Occupancy_table[Monthly_rooms_Occupied],Occupancy_table[Month_Key],Daily_Data[[#This Row],[Month_key]]))</f>
        <v>265.78073089700996</v>
      </c>
      <c r="N4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1493.4211937220757</v>
      </c>
      <c r="O417" s="10">
        <f>SUMIFS(Expense_master[Monthly_Maintenance],Expense_master[Month_Key],Daily_Data[[#This Row],[Month_key]]) / SUMIFS(Expense_master[Days_in_Month],Expense_master[Month_Key], Daily_Data[[#This Row],[Month_key]])</f>
        <v>689.65517241379314</v>
      </c>
      <c r="P417" s="10">
        <f xml:space="preserve"> Daily_Data[[#This Row],[OTA Commision]] + Daily_Data[[#This Row],[Daily_Rent]]+Daily_Data[[#This Row],[Daily_Staff]]+Daily_Data[[#This Row],[Daily_HK]]+Daily_Data[[#This Row],[Daily_Electricity]] + Daily_Data[[#This Row],[Daily Maintenance]]</f>
        <v>14986.909510825981</v>
      </c>
      <c r="Q417" s="10">
        <f>Daily_Data[[#This Row],[Total_Sales]]-Daily_Data[[#This Row],[Total_Daily_Expense]]</f>
        <v>-1882.9095108259808</v>
      </c>
      <c r="R417" s="10">
        <f>Daily_Data[[#This Row],[Total_Sales]]/Daily_Data[[#This Row],[Rooms_Occupied]]</f>
        <v>1638</v>
      </c>
      <c r="S417" s="10">
        <f>Daily_Data[[#This Row],[Total_Sales]] / Daily_Data[[#This Row],[Max_rooms]]</f>
        <v>936</v>
      </c>
    </row>
    <row r="418" spans="1:19" x14ac:dyDescent="0.25">
      <c r="A418" s="6">
        <v>45343</v>
      </c>
      <c r="B418" s="20">
        <f>DATE(YEAR(Daily_Data[[#This Row],[Date]]), MONTH(Daily_Data[[#This Row],[Date]]), 1)</f>
        <v>45323</v>
      </c>
      <c r="C418" s="20" t="str">
        <f>TEXT(Daily_Data[[#This Row],[Month_key]],"mmmm")</f>
        <v>February</v>
      </c>
      <c r="D418" s="20" t="str">
        <f>TEXT(Daily_Data[[#This Row],[Month_key]],"yyyy")</f>
        <v>2024</v>
      </c>
      <c r="E418" s="7">
        <v>12</v>
      </c>
      <c r="F418" s="7">
        <v>14</v>
      </c>
      <c r="G418" s="8">
        <f>Daily_Data[[#This Row],[Rooms_Occupied]]/F418</f>
        <v>0.8571428571428571</v>
      </c>
      <c r="H418" s="7">
        <v>1653</v>
      </c>
      <c r="I418" s="7">
        <f>Daily_Data[[#This Row],[Room_rate]]*Daily_Data[[#This Row],[Rooms_Occupied]]</f>
        <v>19836</v>
      </c>
      <c r="J418" s="10">
        <f>Daily_Data[[#This Row],[Total_Sales]] * 0.22</f>
        <v>4363.92</v>
      </c>
      <c r="K418" s="10">
        <f>INDEX(Expense_master[Monthly_Rent],MATCH(Daily_Data[[#This Row],[Month_key]],Expense_master[Month_Key],0)) / INDEX(Expense_master[Days_in_Month],MATCH(Daily_Data[[#This Row],[Month_key]],Expense_master[Month_Key],0))</f>
        <v>7241.3793103448279</v>
      </c>
      <c r="L418" s="10">
        <f>SUMIFS(Expense_master[Staff_Salary],Expense_master[Month_Key],Daily_Data[[#This Row],[Month_key]]) / SUMIFS(Expense_master[Days_in_Month],Expense_master[Month_Key],Daily_Data[[#This Row],[Month_key]])</f>
        <v>2413.7931034482758</v>
      </c>
      <c r="M418" s="10">
        <f>Daily_Data[[#This Row],[Rooms_Occupied]] * (SUMIFS(Expense_master[Housekeeping_Laundy],Expense_master[Month_Key],Daily_Data[[#This Row],[Month_key]]) / SUMIFS(Occupancy_table[Monthly_rooms_Occupied],Occupancy_table[Month_Key],Daily_Data[[#This Row],[Month_key]]))</f>
        <v>398.67109634551491</v>
      </c>
      <c r="N4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1893.8145492038034</v>
      </c>
      <c r="O418" s="10">
        <f>SUMIFS(Expense_master[Monthly_Maintenance],Expense_master[Month_Key],Daily_Data[[#This Row],[Month_key]]) / SUMIFS(Expense_master[Days_in_Month],Expense_master[Month_Key], Daily_Data[[#This Row],[Month_key]])</f>
        <v>689.65517241379314</v>
      </c>
      <c r="P418" s="10">
        <f xml:space="preserve"> Daily_Data[[#This Row],[OTA Commision]] + Daily_Data[[#This Row],[Daily_Rent]]+Daily_Data[[#This Row],[Daily_Staff]]+Daily_Data[[#This Row],[Daily_HK]]+Daily_Data[[#This Row],[Daily_Electricity]] + Daily_Data[[#This Row],[Daily Maintenance]]</f>
        <v>17001.233231756214</v>
      </c>
      <c r="Q418" s="10">
        <f>Daily_Data[[#This Row],[Total_Sales]]-Daily_Data[[#This Row],[Total_Daily_Expense]]</f>
        <v>2834.7667682437859</v>
      </c>
      <c r="R418" s="10">
        <f>Daily_Data[[#This Row],[Total_Sales]]/Daily_Data[[#This Row],[Rooms_Occupied]]</f>
        <v>1653</v>
      </c>
      <c r="S418" s="10">
        <f>Daily_Data[[#This Row],[Total_Sales]] / Daily_Data[[#This Row],[Max_rooms]]</f>
        <v>1416.8571428571429</v>
      </c>
    </row>
    <row r="419" spans="1:19" x14ac:dyDescent="0.25">
      <c r="A419" s="6">
        <v>45344</v>
      </c>
      <c r="B419" s="20">
        <f>DATE(YEAR(Daily_Data[[#This Row],[Date]]), MONTH(Daily_Data[[#This Row],[Date]]), 1)</f>
        <v>45323</v>
      </c>
      <c r="C419" s="20" t="str">
        <f>TEXT(Daily_Data[[#This Row],[Month_key]],"mmmm")</f>
        <v>February</v>
      </c>
      <c r="D419" s="20" t="str">
        <f>TEXT(Daily_Data[[#This Row],[Month_key]],"yyyy")</f>
        <v>2024</v>
      </c>
      <c r="E419" s="7">
        <v>10</v>
      </c>
      <c r="F419" s="7">
        <v>14</v>
      </c>
      <c r="G419" s="8">
        <f>Daily_Data[[#This Row],[Rooms_Occupied]]/F419</f>
        <v>0.7142857142857143</v>
      </c>
      <c r="H419" s="7">
        <v>1488</v>
      </c>
      <c r="I419" s="7">
        <f>Daily_Data[[#This Row],[Room_rate]]*Daily_Data[[#This Row],[Rooms_Occupied]]</f>
        <v>14880</v>
      </c>
      <c r="J419" s="10">
        <f>Daily_Data[[#This Row],[Total_Sales]] * 0.22</f>
        <v>3273.6</v>
      </c>
      <c r="K419" s="10">
        <f>INDEX(Expense_master[Monthly_Rent],MATCH(Daily_Data[[#This Row],[Month_key]],Expense_master[Month_Key],0)) / INDEX(Expense_master[Days_in_Month],MATCH(Daily_Data[[#This Row],[Month_key]],Expense_master[Month_Key],0))</f>
        <v>7241.3793103448279</v>
      </c>
      <c r="L419" s="10">
        <f>SUMIFS(Expense_master[Staff_Salary],Expense_master[Month_Key],Daily_Data[[#This Row],[Month_key]]) / SUMIFS(Expense_master[Days_in_Month],Expense_master[Month_Key],Daily_Data[[#This Row],[Month_key]])</f>
        <v>2413.7931034482758</v>
      </c>
      <c r="M419" s="10">
        <f>Daily_Data[[#This Row],[Rooms_Occupied]] * (SUMIFS(Expense_master[Housekeeping_Laundy],Expense_master[Month_Key],Daily_Data[[#This Row],[Month_key]]) / SUMIFS(Occupancy_table[Monthly_rooms_Occupied],Occupancy_table[Month_Key],Daily_Data[[#This Row],[Month_key]]))</f>
        <v>332.22591362126246</v>
      </c>
      <c r="N4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1693.6178714629395</v>
      </c>
      <c r="O419" s="10">
        <f>SUMIFS(Expense_master[Monthly_Maintenance],Expense_master[Month_Key],Daily_Data[[#This Row],[Month_key]]) / SUMIFS(Expense_master[Days_in_Month],Expense_master[Month_Key], Daily_Data[[#This Row],[Month_key]])</f>
        <v>689.65517241379314</v>
      </c>
      <c r="P419" s="10">
        <f xml:space="preserve"> Daily_Data[[#This Row],[OTA Commision]] + Daily_Data[[#This Row],[Daily_Rent]]+Daily_Data[[#This Row],[Daily_Staff]]+Daily_Data[[#This Row],[Daily_HK]]+Daily_Data[[#This Row],[Daily_Electricity]] + Daily_Data[[#This Row],[Daily Maintenance]]</f>
        <v>15644.271371291099</v>
      </c>
      <c r="Q419" s="10">
        <f>Daily_Data[[#This Row],[Total_Sales]]-Daily_Data[[#This Row],[Total_Daily_Expense]]</f>
        <v>-764.27137129109906</v>
      </c>
      <c r="R419" s="10">
        <f>Daily_Data[[#This Row],[Total_Sales]]/Daily_Data[[#This Row],[Rooms_Occupied]]</f>
        <v>1488</v>
      </c>
      <c r="S419" s="10">
        <f>Daily_Data[[#This Row],[Total_Sales]] / Daily_Data[[#This Row],[Max_rooms]]</f>
        <v>1062.8571428571429</v>
      </c>
    </row>
    <row r="420" spans="1:19" x14ac:dyDescent="0.25">
      <c r="A420" s="6">
        <v>45345</v>
      </c>
      <c r="B420" s="20">
        <f>DATE(YEAR(Daily_Data[[#This Row],[Date]]), MONTH(Daily_Data[[#This Row],[Date]]), 1)</f>
        <v>45323</v>
      </c>
      <c r="C420" s="20" t="str">
        <f>TEXT(Daily_Data[[#This Row],[Month_key]],"mmmm")</f>
        <v>February</v>
      </c>
      <c r="D420" s="20" t="str">
        <f>TEXT(Daily_Data[[#This Row],[Month_key]],"yyyy")</f>
        <v>2024</v>
      </c>
      <c r="E420" s="7">
        <v>9</v>
      </c>
      <c r="F420" s="7">
        <v>14</v>
      </c>
      <c r="G420" s="8">
        <f>Daily_Data[[#This Row],[Rooms_Occupied]]/F420</f>
        <v>0.6428571428571429</v>
      </c>
      <c r="H420" s="7">
        <v>1881</v>
      </c>
      <c r="I420" s="7">
        <f>Daily_Data[[#This Row],[Room_rate]]*Daily_Data[[#This Row],[Rooms_Occupied]]</f>
        <v>16929</v>
      </c>
      <c r="J420" s="10">
        <f>Daily_Data[[#This Row],[Total_Sales]] * 0.22</f>
        <v>3724.38</v>
      </c>
      <c r="K420" s="10">
        <f>INDEX(Expense_master[Monthly_Rent],MATCH(Daily_Data[[#This Row],[Month_key]],Expense_master[Month_Key],0)) / INDEX(Expense_master[Days_in_Month],MATCH(Daily_Data[[#This Row],[Month_key]],Expense_master[Month_Key],0))</f>
        <v>7241.3793103448279</v>
      </c>
      <c r="L420" s="10">
        <f>SUMIFS(Expense_master[Staff_Salary],Expense_master[Month_Key],Daily_Data[[#This Row],[Month_key]]) / SUMIFS(Expense_master[Days_in_Month],Expense_master[Month_Key],Daily_Data[[#This Row],[Month_key]])</f>
        <v>2413.7931034482758</v>
      </c>
      <c r="M420" s="10">
        <f>Daily_Data[[#This Row],[Rooms_Occupied]] * (SUMIFS(Expense_master[Housekeeping_Laundy],Expense_master[Month_Key],Daily_Data[[#This Row],[Month_key]]) / SUMIFS(Occupancy_table[Monthly_rooms_Occupied],Occupancy_table[Month_Key],Daily_Data[[#This Row],[Month_key]]))</f>
        <v>299.00332225913621</v>
      </c>
      <c r="N4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20" s="10">
        <f>SUMIFS(Expense_master[Monthly_Maintenance],Expense_master[Month_Key],Daily_Data[[#This Row],[Month_key]]) / SUMIFS(Expense_master[Days_in_Month],Expense_master[Month_Key], Daily_Data[[#This Row],[Month_key]])</f>
        <v>689.65517241379314</v>
      </c>
      <c r="P420" s="10">
        <f xml:space="preserve"> Daily_Data[[#This Row],[OTA Commision]] + Daily_Data[[#This Row],[Daily_Rent]]+Daily_Data[[#This Row],[Daily_Staff]]+Daily_Data[[#This Row],[Daily_HK]]+Daily_Data[[#This Row],[Daily_Electricity]] + Daily_Data[[#This Row],[Daily Maintenance]]</f>
        <v>15961.730441058538</v>
      </c>
      <c r="Q420" s="10">
        <f>Daily_Data[[#This Row],[Total_Sales]]-Daily_Data[[#This Row],[Total_Daily_Expense]]</f>
        <v>967.26955894146158</v>
      </c>
      <c r="R420" s="10">
        <f>Daily_Data[[#This Row],[Total_Sales]]/Daily_Data[[#This Row],[Rooms_Occupied]]</f>
        <v>1881</v>
      </c>
      <c r="S420" s="10">
        <f>Daily_Data[[#This Row],[Total_Sales]] / Daily_Data[[#This Row],[Max_rooms]]</f>
        <v>1209.2142857142858</v>
      </c>
    </row>
    <row r="421" spans="1:19" x14ac:dyDescent="0.25">
      <c r="A421" s="6">
        <v>45346</v>
      </c>
      <c r="B421" s="20">
        <f>DATE(YEAR(Daily_Data[[#This Row],[Date]]), MONTH(Daily_Data[[#This Row],[Date]]), 1)</f>
        <v>45323</v>
      </c>
      <c r="C421" s="20" t="str">
        <f>TEXT(Daily_Data[[#This Row],[Month_key]],"mmmm")</f>
        <v>February</v>
      </c>
      <c r="D421" s="20" t="str">
        <f>TEXT(Daily_Data[[#This Row],[Month_key]],"yyyy")</f>
        <v>2024</v>
      </c>
      <c r="E421" s="7">
        <v>11</v>
      </c>
      <c r="F421" s="7">
        <v>14</v>
      </c>
      <c r="G421" s="8">
        <f>Daily_Data[[#This Row],[Rooms_Occupied]]/F421</f>
        <v>0.7857142857142857</v>
      </c>
      <c r="H421" s="7">
        <v>1306</v>
      </c>
      <c r="I421" s="7">
        <f>Daily_Data[[#This Row],[Room_rate]]*Daily_Data[[#This Row],[Rooms_Occupied]]</f>
        <v>14366</v>
      </c>
      <c r="J421" s="10">
        <f>Daily_Data[[#This Row],[Total_Sales]] * 0.22</f>
        <v>3160.52</v>
      </c>
      <c r="K421" s="10">
        <f>INDEX(Expense_master[Monthly_Rent],MATCH(Daily_Data[[#This Row],[Month_key]],Expense_master[Month_Key],0)) / INDEX(Expense_master[Days_in_Month],MATCH(Daily_Data[[#This Row],[Month_key]],Expense_master[Month_Key],0))</f>
        <v>7241.3793103448279</v>
      </c>
      <c r="L421" s="10">
        <f>SUMIFS(Expense_master[Staff_Salary],Expense_master[Month_Key],Daily_Data[[#This Row],[Month_key]]) / SUMIFS(Expense_master[Days_in_Month],Expense_master[Month_Key],Daily_Data[[#This Row],[Month_key]])</f>
        <v>2413.7931034482758</v>
      </c>
      <c r="M421" s="10">
        <f>Daily_Data[[#This Row],[Rooms_Occupied]] * (SUMIFS(Expense_master[Housekeeping_Laundy],Expense_master[Month_Key],Daily_Data[[#This Row],[Month_key]]) / SUMIFS(Occupancy_table[Monthly_rooms_Occupied],Occupancy_table[Month_Key],Daily_Data[[#This Row],[Month_key]]))</f>
        <v>365.44850498338872</v>
      </c>
      <c r="N4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1793.7162103333717</v>
      </c>
      <c r="O421" s="10">
        <f>SUMIFS(Expense_master[Monthly_Maintenance],Expense_master[Month_Key],Daily_Data[[#This Row],[Month_key]]) / SUMIFS(Expense_master[Days_in_Month],Expense_master[Month_Key], Daily_Data[[#This Row],[Month_key]])</f>
        <v>689.65517241379314</v>
      </c>
      <c r="P421" s="10">
        <f xml:space="preserve"> Daily_Data[[#This Row],[OTA Commision]] + Daily_Data[[#This Row],[Daily_Rent]]+Daily_Data[[#This Row],[Daily_Staff]]+Daily_Data[[#This Row],[Daily_HK]]+Daily_Data[[#This Row],[Daily_Electricity]] + Daily_Data[[#This Row],[Daily Maintenance]]</f>
        <v>15664.512301523659</v>
      </c>
      <c r="Q421" s="10">
        <f>Daily_Data[[#This Row],[Total_Sales]]-Daily_Data[[#This Row],[Total_Daily_Expense]]</f>
        <v>-1298.5123015236586</v>
      </c>
      <c r="R421" s="10">
        <f>Daily_Data[[#This Row],[Total_Sales]]/Daily_Data[[#This Row],[Rooms_Occupied]]</f>
        <v>1306</v>
      </c>
      <c r="S421" s="10">
        <f>Daily_Data[[#This Row],[Total_Sales]] / Daily_Data[[#This Row],[Max_rooms]]</f>
        <v>1026.1428571428571</v>
      </c>
    </row>
    <row r="422" spans="1:19" x14ac:dyDescent="0.25">
      <c r="A422" s="6">
        <v>45347</v>
      </c>
      <c r="B422" s="20">
        <f>DATE(YEAR(Daily_Data[[#This Row],[Date]]), MONTH(Daily_Data[[#This Row],[Date]]), 1)</f>
        <v>45323</v>
      </c>
      <c r="C422" s="20" t="str">
        <f>TEXT(Daily_Data[[#This Row],[Month_key]],"mmmm")</f>
        <v>February</v>
      </c>
      <c r="D422" s="20" t="str">
        <f>TEXT(Daily_Data[[#This Row],[Month_key]],"yyyy")</f>
        <v>2024</v>
      </c>
      <c r="E422" s="7">
        <v>8</v>
      </c>
      <c r="F422" s="7">
        <v>14</v>
      </c>
      <c r="G422" s="8">
        <f>Daily_Data[[#This Row],[Rooms_Occupied]]/F422</f>
        <v>0.5714285714285714</v>
      </c>
      <c r="H422" s="7">
        <v>1025</v>
      </c>
      <c r="I422" s="7">
        <f>Daily_Data[[#This Row],[Room_rate]]*Daily_Data[[#This Row],[Rooms_Occupied]]</f>
        <v>8200</v>
      </c>
      <c r="J422" s="10">
        <f>Daily_Data[[#This Row],[Total_Sales]] * 0.22</f>
        <v>1804</v>
      </c>
      <c r="K422" s="10">
        <f>INDEX(Expense_master[Monthly_Rent],MATCH(Daily_Data[[#This Row],[Month_key]],Expense_master[Month_Key],0)) / INDEX(Expense_master[Days_in_Month],MATCH(Daily_Data[[#This Row],[Month_key]],Expense_master[Month_Key],0))</f>
        <v>7241.3793103448279</v>
      </c>
      <c r="L422" s="10">
        <f>SUMIFS(Expense_master[Staff_Salary],Expense_master[Month_Key],Daily_Data[[#This Row],[Month_key]]) / SUMIFS(Expense_master[Days_in_Month],Expense_master[Month_Key],Daily_Data[[#This Row],[Month_key]])</f>
        <v>2413.7931034482758</v>
      </c>
      <c r="M422" s="10">
        <f>Daily_Data[[#This Row],[Rooms_Occupied]] * (SUMIFS(Expense_master[Housekeeping_Laundy],Expense_master[Month_Key],Daily_Data[[#This Row],[Month_key]]) / SUMIFS(Occupancy_table[Monthly_rooms_Occupied],Occupancy_table[Month_Key],Daily_Data[[#This Row],[Month_key]]))</f>
        <v>265.78073089700996</v>
      </c>
      <c r="N4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1493.4211937220757</v>
      </c>
      <c r="O422" s="10">
        <f>SUMIFS(Expense_master[Monthly_Maintenance],Expense_master[Month_Key],Daily_Data[[#This Row],[Month_key]]) / SUMIFS(Expense_master[Days_in_Month],Expense_master[Month_Key], Daily_Data[[#This Row],[Month_key]])</f>
        <v>689.65517241379314</v>
      </c>
      <c r="P422" s="10">
        <f xml:space="preserve"> Daily_Data[[#This Row],[OTA Commision]] + Daily_Data[[#This Row],[Daily_Rent]]+Daily_Data[[#This Row],[Daily_Staff]]+Daily_Data[[#This Row],[Daily_HK]]+Daily_Data[[#This Row],[Daily_Electricity]] + Daily_Data[[#This Row],[Daily Maintenance]]</f>
        <v>13908.029510825982</v>
      </c>
      <c r="Q422" s="10">
        <f>Daily_Data[[#This Row],[Total_Sales]]-Daily_Data[[#This Row],[Total_Daily_Expense]]</f>
        <v>-5708.0295108259816</v>
      </c>
      <c r="R422" s="10">
        <f>Daily_Data[[#This Row],[Total_Sales]]/Daily_Data[[#This Row],[Rooms_Occupied]]</f>
        <v>1025</v>
      </c>
      <c r="S422" s="10">
        <f>Daily_Data[[#This Row],[Total_Sales]] / Daily_Data[[#This Row],[Max_rooms]]</f>
        <v>585.71428571428567</v>
      </c>
    </row>
    <row r="423" spans="1:19" x14ac:dyDescent="0.25">
      <c r="A423" s="6">
        <v>45348</v>
      </c>
      <c r="B423" s="20">
        <f>DATE(YEAR(Daily_Data[[#This Row],[Date]]), MONTH(Daily_Data[[#This Row],[Date]]), 1)</f>
        <v>45323</v>
      </c>
      <c r="C423" s="20" t="str">
        <f>TEXT(Daily_Data[[#This Row],[Month_key]],"mmmm")</f>
        <v>February</v>
      </c>
      <c r="D423" s="20" t="str">
        <f>TEXT(Daily_Data[[#This Row],[Month_key]],"yyyy")</f>
        <v>2024</v>
      </c>
      <c r="E423" s="7">
        <v>10</v>
      </c>
      <c r="F423" s="7">
        <v>14</v>
      </c>
      <c r="G423" s="8">
        <f>Daily_Data[[#This Row],[Rooms_Occupied]]/F423</f>
        <v>0.7142857142857143</v>
      </c>
      <c r="H423" s="7">
        <v>1910</v>
      </c>
      <c r="I423" s="7">
        <f>Daily_Data[[#This Row],[Room_rate]]*Daily_Data[[#This Row],[Rooms_Occupied]]</f>
        <v>19100</v>
      </c>
      <c r="J423" s="10">
        <f>Daily_Data[[#This Row],[Total_Sales]] * 0.22</f>
        <v>4202</v>
      </c>
      <c r="K423" s="10">
        <f>INDEX(Expense_master[Monthly_Rent],MATCH(Daily_Data[[#This Row],[Month_key]],Expense_master[Month_Key],0)) / INDEX(Expense_master[Days_in_Month],MATCH(Daily_Data[[#This Row],[Month_key]],Expense_master[Month_Key],0))</f>
        <v>7241.3793103448279</v>
      </c>
      <c r="L423" s="10">
        <f>SUMIFS(Expense_master[Staff_Salary],Expense_master[Month_Key],Daily_Data[[#This Row],[Month_key]]) / SUMIFS(Expense_master[Days_in_Month],Expense_master[Month_Key],Daily_Data[[#This Row],[Month_key]])</f>
        <v>2413.7931034482758</v>
      </c>
      <c r="M423" s="10">
        <f>Daily_Data[[#This Row],[Rooms_Occupied]] * (SUMIFS(Expense_master[Housekeeping_Laundy],Expense_master[Month_Key],Daily_Data[[#This Row],[Month_key]]) / SUMIFS(Occupancy_table[Monthly_rooms_Occupied],Occupancy_table[Month_Key],Daily_Data[[#This Row],[Month_key]]))</f>
        <v>332.22591362126246</v>
      </c>
      <c r="N4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1693.6178714629395</v>
      </c>
      <c r="O423" s="10">
        <f>SUMIFS(Expense_master[Monthly_Maintenance],Expense_master[Month_Key],Daily_Data[[#This Row],[Month_key]]) / SUMIFS(Expense_master[Days_in_Month],Expense_master[Month_Key], Daily_Data[[#This Row],[Month_key]])</f>
        <v>689.65517241379314</v>
      </c>
      <c r="P423" s="10">
        <f xml:space="preserve"> Daily_Data[[#This Row],[OTA Commision]] + Daily_Data[[#This Row],[Daily_Rent]]+Daily_Data[[#This Row],[Daily_Staff]]+Daily_Data[[#This Row],[Daily_HK]]+Daily_Data[[#This Row],[Daily_Electricity]] + Daily_Data[[#This Row],[Daily Maintenance]]</f>
        <v>16572.671371291101</v>
      </c>
      <c r="Q423" s="10">
        <f>Daily_Data[[#This Row],[Total_Sales]]-Daily_Data[[#This Row],[Total_Daily_Expense]]</f>
        <v>2527.3286287088995</v>
      </c>
      <c r="R423" s="10">
        <f>Daily_Data[[#This Row],[Total_Sales]]/Daily_Data[[#This Row],[Rooms_Occupied]]</f>
        <v>1910</v>
      </c>
      <c r="S423" s="10">
        <f>Daily_Data[[#This Row],[Total_Sales]] / Daily_Data[[#This Row],[Max_rooms]]</f>
        <v>1364.2857142857142</v>
      </c>
    </row>
    <row r="424" spans="1:19" x14ac:dyDescent="0.25">
      <c r="A424" s="6">
        <v>45349</v>
      </c>
      <c r="B424" s="20">
        <f>DATE(YEAR(Daily_Data[[#This Row],[Date]]), MONTH(Daily_Data[[#This Row],[Date]]), 1)</f>
        <v>45323</v>
      </c>
      <c r="C424" s="20" t="str">
        <f>TEXT(Daily_Data[[#This Row],[Month_key]],"mmmm")</f>
        <v>February</v>
      </c>
      <c r="D424" s="20" t="str">
        <f>TEXT(Daily_Data[[#This Row],[Month_key]],"yyyy")</f>
        <v>2024</v>
      </c>
      <c r="E424" s="7">
        <v>12</v>
      </c>
      <c r="F424" s="7">
        <v>14</v>
      </c>
      <c r="G424" s="8">
        <f>Daily_Data[[#This Row],[Rooms_Occupied]]/F424</f>
        <v>0.8571428571428571</v>
      </c>
      <c r="H424" s="7">
        <v>1404</v>
      </c>
      <c r="I424" s="7">
        <f>Daily_Data[[#This Row],[Room_rate]]*Daily_Data[[#This Row],[Rooms_Occupied]]</f>
        <v>16848</v>
      </c>
      <c r="J424" s="10">
        <f>Daily_Data[[#This Row],[Total_Sales]] * 0.22</f>
        <v>3706.56</v>
      </c>
      <c r="K424" s="10">
        <f>INDEX(Expense_master[Monthly_Rent],MATCH(Daily_Data[[#This Row],[Month_key]],Expense_master[Month_Key],0)) / INDEX(Expense_master[Days_in_Month],MATCH(Daily_Data[[#This Row],[Month_key]],Expense_master[Month_Key],0))</f>
        <v>7241.3793103448279</v>
      </c>
      <c r="L424" s="10">
        <f>SUMIFS(Expense_master[Staff_Salary],Expense_master[Month_Key],Daily_Data[[#This Row],[Month_key]]) / SUMIFS(Expense_master[Days_in_Month],Expense_master[Month_Key],Daily_Data[[#This Row],[Month_key]])</f>
        <v>2413.7931034482758</v>
      </c>
      <c r="M424" s="10">
        <f>Daily_Data[[#This Row],[Rooms_Occupied]] * (SUMIFS(Expense_master[Housekeeping_Laundy],Expense_master[Month_Key],Daily_Data[[#This Row],[Month_key]]) / SUMIFS(Occupancy_table[Monthly_rooms_Occupied],Occupancy_table[Month_Key],Daily_Data[[#This Row],[Month_key]]))</f>
        <v>398.67109634551491</v>
      </c>
      <c r="N4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1893.8145492038034</v>
      </c>
      <c r="O424" s="10">
        <f>SUMIFS(Expense_master[Monthly_Maintenance],Expense_master[Month_Key],Daily_Data[[#This Row],[Month_key]]) / SUMIFS(Expense_master[Days_in_Month],Expense_master[Month_Key], Daily_Data[[#This Row],[Month_key]])</f>
        <v>689.65517241379314</v>
      </c>
      <c r="P424" s="10">
        <f xml:space="preserve"> Daily_Data[[#This Row],[OTA Commision]] + Daily_Data[[#This Row],[Daily_Rent]]+Daily_Data[[#This Row],[Daily_Staff]]+Daily_Data[[#This Row],[Daily_HK]]+Daily_Data[[#This Row],[Daily_Electricity]] + Daily_Data[[#This Row],[Daily Maintenance]]</f>
        <v>16343.873231756215</v>
      </c>
      <c r="Q424" s="10">
        <f>Daily_Data[[#This Row],[Total_Sales]]-Daily_Data[[#This Row],[Total_Daily_Expense]]</f>
        <v>504.12676824378468</v>
      </c>
      <c r="R424" s="10">
        <f>Daily_Data[[#This Row],[Total_Sales]]/Daily_Data[[#This Row],[Rooms_Occupied]]</f>
        <v>1404</v>
      </c>
      <c r="S424" s="10">
        <f>Daily_Data[[#This Row],[Total_Sales]] / Daily_Data[[#This Row],[Max_rooms]]</f>
        <v>1203.4285714285713</v>
      </c>
    </row>
    <row r="425" spans="1:19" x14ac:dyDescent="0.25">
      <c r="A425" s="6">
        <v>45350</v>
      </c>
      <c r="B425" s="20">
        <f>DATE(YEAR(Daily_Data[[#This Row],[Date]]), MONTH(Daily_Data[[#This Row],[Date]]), 1)</f>
        <v>45323</v>
      </c>
      <c r="C425" s="20" t="str">
        <f>TEXT(Daily_Data[[#This Row],[Month_key]],"mmmm")</f>
        <v>February</v>
      </c>
      <c r="D425" s="20" t="str">
        <f>TEXT(Daily_Data[[#This Row],[Month_key]],"yyyy")</f>
        <v>2024</v>
      </c>
      <c r="E425" s="7">
        <v>9</v>
      </c>
      <c r="F425" s="7">
        <v>14</v>
      </c>
      <c r="G425" s="8">
        <f>Daily_Data[[#This Row],[Rooms_Occupied]]/F425</f>
        <v>0.6428571428571429</v>
      </c>
      <c r="H425" s="7">
        <v>1777</v>
      </c>
      <c r="I425" s="7">
        <f>Daily_Data[[#This Row],[Room_rate]]*Daily_Data[[#This Row],[Rooms_Occupied]]</f>
        <v>15993</v>
      </c>
      <c r="J425" s="10">
        <f>Daily_Data[[#This Row],[Total_Sales]] * 0.22</f>
        <v>3518.46</v>
      </c>
      <c r="K425" s="10">
        <f>INDEX(Expense_master[Monthly_Rent],MATCH(Daily_Data[[#This Row],[Month_key]],Expense_master[Month_Key],0)) / INDEX(Expense_master[Days_in_Month],MATCH(Daily_Data[[#This Row],[Month_key]],Expense_master[Month_Key],0))</f>
        <v>7241.3793103448279</v>
      </c>
      <c r="L425" s="10">
        <f>SUMIFS(Expense_master[Staff_Salary],Expense_master[Month_Key],Daily_Data[[#This Row],[Month_key]]) / SUMIFS(Expense_master[Days_in_Month],Expense_master[Month_Key],Daily_Data[[#This Row],[Month_key]])</f>
        <v>2413.7931034482758</v>
      </c>
      <c r="M425" s="10">
        <f>Daily_Data[[#This Row],[Rooms_Occupied]] * (SUMIFS(Expense_master[Housekeeping_Laundy],Expense_master[Month_Key],Daily_Data[[#This Row],[Month_key]]) / SUMIFS(Occupancy_table[Monthly_rooms_Occupied],Occupancy_table[Month_Key],Daily_Data[[#This Row],[Month_key]]))</f>
        <v>299.00332225913621</v>
      </c>
      <c r="N4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1593.5195325925079</v>
      </c>
      <c r="O425" s="10">
        <f>SUMIFS(Expense_master[Monthly_Maintenance],Expense_master[Month_Key],Daily_Data[[#This Row],[Month_key]]) / SUMIFS(Expense_master[Days_in_Month],Expense_master[Month_Key], Daily_Data[[#This Row],[Month_key]])</f>
        <v>689.65517241379314</v>
      </c>
      <c r="P425" s="10">
        <f xml:space="preserve"> Daily_Data[[#This Row],[OTA Commision]] + Daily_Data[[#This Row],[Daily_Rent]]+Daily_Data[[#This Row],[Daily_Staff]]+Daily_Data[[#This Row],[Daily_HK]]+Daily_Data[[#This Row],[Daily_Electricity]] + Daily_Data[[#This Row],[Daily Maintenance]]</f>
        <v>15755.81044105854</v>
      </c>
      <c r="Q425" s="10">
        <f>Daily_Data[[#This Row],[Total_Sales]]-Daily_Data[[#This Row],[Total_Daily_Expense]]</f>
        <v>237.18955894145984</v>
      </c>
      <c r="R425" s="10">
        <f>Daily_Data[[#This Row],[Total_Sales]]/Daily_Data[[#This Row],[Rooms_Occupied]]</f>
        <v>1777</v>
      </c>
      <c r="S425" s="10">
        <f>Daily_Data[[#This Row],[Total_Sales]] / Daily_Data[[#This Row],[Max_rooms]]</f>
        <v>1142.3571428571429</v>
      </c>
    </row>
    <row r="426" spans="1:19" x14ac:dyDescent="0.25">
      <c r="A426" s="6">
        <v>45351</v>
      </c>
      <c r="B426" s="20">
        <f>DATE(YEAR(Daily_Data[[#This Row],[Date]]), MONTH(Daily_Data[[#This Row],[Date]]), 1)</f>
        <v>45323</v>
      </c>
      <c r="C426" s="20" t="str">
        <f>TEXT(Daily_Data[[#This Row],[Month_key]],"mmmm")</f>
        <v>February</v>
      </c>
      <c r="D426" s="20" t="str">
        <f>TEXT(Daily_Data[[#This Row],[Month_key]],"yyyy")</f>
        <v>2024</v>
      </c>
      <c r="E426" s="7">
        <v>13</v>
      </c>
      <c r="F426" s="7">
        <v>14</v>
      </c>
      <c r="G426" s="8">
        <f>Daily_Data[[#This Row],[Rooms_Occupied]]/F426</f>
        <v>0.9285714285714286</v>
      </c>
      <c r="H426" s="7">
        <v>1192</v>
      </c>
      <c r="I426" s="7">
        <f>Daily_Data[[#This Row],[Room_rate]]*Daily_Data[[#This Row],[Rooms_Occupied]]</f>
        <v>15496</v>
      </c>
      <c r="J426" s="10">
        <f>Daily_Data[[#This Row],[Total_Sales]] * 0.22</f>
        <v>3409.12</v>
      </c>
      <c r="K426" s="10">
        <f>INDEX(Expense_master[Monthly_Rent],MATCH(Daily_Data[[#This Row],[Month_key]],Expense_master[Month_Key],0)) / INDEX(Expense_master[Days_in_Month],MATCH(Daily_Data[[#This Row],[Month_key]],Expense_master[Month_Key],0))</f>
        <v>7241.3793103448279</v>
      </c>
      <c r="L426" s="10">
        <f>SUMIFS(Expense_master[Staff_Salary],Expense_master[Month_Key],Daily_Data[[#This Row],[Month_key]]) / SUMIFS(Expense_master[Days_in_Month],Expense_master[Month_Key],Daily_Data[[#This Row],[Month_key]])</f>
        <v>2413.7931034482758</v>
      </c>
      <c r="M426" s="10">
        <f>Daily_Data[[#This Row],[Rooms_Occupied]] * (SUMIFS(Expense_master[Housekeeping_Laundy],Expense_master[Month_Key],Daily_Data[[#This Row],[Month_key]]) / SUMIFS(Occupancy_table[Monthly_rooms_Occupied],Occupancy_table[Month_Key],Daily_Data[[#This Row],[Month_key]]))</f>
        <v>431.89368770764116</v>
      </c>
      <c r="N4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1993.9128880742351</v>
      </c>
      <c r="O426" s="10">
        <f>SUMIFS(Expense_master[Monthly_Maintenance],Expense_master[Month_Key],Daily_Data[[#This Row],[Month_key]]) / SUMIFS(Expense_master[Days_in_Month],Expense_master[Month_Key], Daily_Data[[#This Row],[Month_key]])</f>
        <v>689.65517241379314</v>
      </c>
      <c r="P426" s="10">
        <f xml:space="preserve"> Daily_Data[[#This Row],[OTA Commision]] + Daily_Data[[#This Row],[Daily_Rent]]+Daily_Data[[#This Row],[Daily_Staff]]+Daily_Data[[#This Row],[Daily_HK]]+Daily_Data[[#This Row],[Daily_Electricity]] + Daily_Data[[#This Row],[Daily Maintenance]]</f>
        <v>16179.754161988774</v>
      </c>
      <c r="Q426" s="10">
        <f>Daily_Data[[#This Row],[Total_Sales]]-Daily_Data[[#This Row],[Total_Daily_Expense]]</f>
        <v>-683.75416198877429</v>
      </c>
      <c r="R426" s="10">
        <f>Daily_Data[[#This Row],[Total_Sales]]/Daily_Data[[#This Row],[Rooms_Occupied]]</f>
        <v>1192</v>
      </c>
      <c r="S426" s="10">
        <f>Daily_Data[[#This Row],[Total_Sales]] / Daily_Data[[#This Row],[Max_rooms]]</f>
        <v>1106.8571428571429</v>
      </c>
    </row>
    <row r="427" spans="1:19" x14ac:dyDescent="0.25">
      <c r="A427" s="6">
        <v>45352</v>
      </c>
      <c r="B427" s="20">
        <f>DATE(YEAR(Daily_Data[[#This Row],[Date]]), MONTH(Daily_Data[[#This Row],[Date]]), 1)</f>
        <v>45352</v>
      </c>
      <c r="C427" s="20" t="str">
        <f>TEXT(Daily_Data[[#This Row],[Month_key]],"mmmm")</f>
        <v>March</v>
      </c>
      <c r="D427" s="20" t="str">
        <f>TEXT(Daily_Data[[#This Row],[Month_key]],"yyyy")</f>
        <v>2024</v>
      </c>
      <c r="E427" s="7">
        <v>10</v>
      </c>
      <c r="F427" s="7">
        <v>14</v>
      </c>
      <c r="G427" s="8">
        <f>Daily_Data[[#This Row],[Rooms_Occupied]]/F427</f>
        <v>0.7142857142857143</v>
      </c>
      <c r="H427" s="7">
        <v>1071</v>
      </c>
      <c r="I427" s="7">
        <f>Daily_Data[[#This Row],[Room_rate]]*Daily_Data[[#This Row],[Rooms_Occupied]]</f>
        <v>10710</v>
      </c>
      <c r="J427" s="10">
        <f>Daily_Data[[#This Row],[Total_Sales]] * 0.22</f>
        <v>2356.1999999999998</v>
      </c>
      <c r="K427" s="10">
        <f>INDEX(Expense_master[Monthly_Rent],MATCH(Daily_Data[[#This Row],[Month_key]],Expense_master[Month_Key],0)) / INDEX(Expense_master[Days_in_Month],MATCH(Daily_Data[[#This Row],[Month_key]],Expense_master[Month_Key],0))</f>
        <v>6774.1935483870966</v>
      </c>
      <c r="L427" s="10">
        <f>SUMIFS(Expense_master[Staff_Salary],Expense_master[Month_Key],Daily_Data[[#This Row],[Month_key]]) / SUMIFS(Expense_master[Days_in_Month],Expense_master[Month_Key],Daily_Data[[#This Row],[Month_key]])</f>
        <v>2258.0645161290322</v>
      </c>
      <c r="M427" s="10">
        <f>Daily_Data[[#This Row],[Rooms_Occupied]] * (SUMIFS(Expense_master[Housekeeping_Laundy],Expense_master[Month_Key],Daily_Data[[#This Row],[Month_key]]) / SUMIFS(Occupancy_table[Monthly_rooms_Occupied],Occupancy_table[Month_Key],Daily_Data[[#This Row],[Month_key]]))</f>
        <v>298.50746268656718</v>
      </c>
      <c r="N4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1640.5816080885893</v>
      </c>
      <c r="O427" s="10">
        <f>SUMIFS(Expense_master[Monthly_Maintenance],Expense_master[Month_Key],Daily_Data[[#This Row],[Month_key]]) / SUMIFS(Expense_master[Days_in_Month],Expense_master[Month_Key], Daily_Data[[#This Row],[Month_key]])</f>
        <v>645.16129032258061</v>
      </c>
      <c r="P427" s="10">
        <f xml:space="preserve"> Daily_Data[[#This Row],[OTA Commision]] + Daily_Data[[#This Row],[Daily_Rent]]+Daily_Data[[#This Row],[Daily_Staff]]+Daily_Data[[#This Row],[Daily_HK]]+Daily_Data[[#This Row],[Daily_Electricity]] + Daily_Data[[#This Row],[Daily Maintenance]]</f>
        <v>13972.708425613866</v>
      </c>
      <c r="Q427" s="10">
        <f>Daily_Data[[#This Row],[Total_Sales]]-Daily_Data[[#This Row],[Total_Daily_Expense]]</f>
        <v>-3262.708425613866</v>
      </c>
      <c r="R427" s="10">
        <f>Daily_Data[[#This Row],[Total_Sales]]/Daily_Data[[#This Row],[Rooms_Occupied]]</f>
        <v>1071</v>
      </c>
      <c r="S427" s="10">
        <f>Daily_Data[[#This Row],[Total_Sales]] / Daily_Data[[#This Row],[Max_rooms]]</f>
        <v>765</v>
      </c>
    </row>
    <row r="428" spans="1:19" x14ac:dyDescent="0.25">
      <c r="A428" s="6">
        <v>45353</v>
      </c>
      <c r="B428" s="20">
        <f>DATE(YEAR(Daily_Data[[#This Row],[Date]]), MONTH(Daily_Data[[#This Row],[Date]]), 1)</f>
        <v>45352</v>
      </c>
      <c r="C428" s="20" t="str">
        <f>TEXT(Daily_Data[[#This Row],[Month_key]],"mmmm")</f>
        <v>March</v>
      </c>
      <c r="D428" s="20" t="str">
        <f>TEXT(Daily_Data[[#This Row],[Month_key]],"yyyy")</f>
        <v>2024</v>
      </c>
      <c r="E428" s="7">
        <v>12</v>
      </c>
      <c r="F428" s="7">
        <v>14</v>
      </c>
      <c r="G428" s="8">
        <f>Daily_Data[[#This Row],[Rooms_Occupied]]/F428</f>
        <v>0.8571428571428571</v>
      </c>
      <c r="H428" s="7">
        <v>1524</v>
      </c>
      <c r="I428" s="7">
        <f>Daily_Data[[#This Row],[Room_rate]]*Daily_Data[[#This Row],[Rooms_Occupied]]</f>
        <v>18288</v>
      </c>
      <c r="J428" s="10">
        <f>Daily_Data[[#This Row],[Total_Sales]] * 0.22</f>
        <v>4023.36</v>
      </c>
      <c r="K428" s="10">
        <f>INDEX(Expense_master[Monthly_Rent],MATCH(Daily_Data[[#This Row],[Month_key]],Expense_master[Month_Key],0)) / INDEX(Expense_master[Days_in_Month],MATCH(Daily_Data[[#This Row],[Month_key]],Expense_master[Month_Key],0))</f>
        <v>6774.1935483870966</v>
      </c>
      <c r="L428" s="10">
        <f>SUMIFS(Expense_master[Staff_Salary],Expense_master[Month_Key],Daily_Data[[#This Row],[Month_key]]) / SUMIFS(Expense_master[Days_in_Month],Expense_master[Month_Key],Daily_Data[[#This Row],[Month_key]])</f>
        <v>2258.0645161290322</v>
      </c>
      <c r="M428" s="10">
        <f>Daily_Data[[#This Row],[Rooms_Occupied]] * (SUMIFS(Expense_master[Housekeeping_Laundy],Expense_master[Month_Key],Daily_Data[[#This Row],[Month_key]]) / SUMIFS(Occupancy_table[Monthly_rooms_Occupied],Occupancy_table[Month_Key],Daily_Data[[#This Row],[Month_key]]))</f>
        <v>358.20895522388059</v>
      </c>
      <c r="N4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1831.2992200288877</v>
      </c>
      <c r="O428" s="10">
        <f>SUMIFS(Expense_master[Monthly_Maintenance],Expense_master[Month_Key],Daily_Data[[#This Row],[Month_key]]) / SUMIFS(Expense_master[Days_in_Month],Expense_master[Month_Key], Daily_Data[[#This Row],[Month_key]])</f>
        <v>645.16129032258061</v>
      </c>
      <c r="P428" s="10">
        <f xml:space="preserve"> Daily_Data[[#This Row],[OTA Commision]] + Daily_Data[[#This Row],[Daily_Rent]]+Daily_Data[[#This Row],[Daily_Staff]]+Daily_Data[[#This Row],[Daily_HK]]+Daily_Data[[#This Row],[Daily_Electricity]] + Daily_Data[[#This Row],[Daily Maintenance]]</f>
        <v>15890.28753009148</v>
      </c>
      <c r="Q428" s="10">
        <f>Daily_Data[[#This Row],[Total_Sales]]-Daily_Data[[#This Row],[Total_Daily_Expense]]</f>
        <v>2397.7124699085198</v>
      </c>
      <c r="R428" s="10">
        <f>Daily_Data[[#This Row],[Total_Sales]]/Daily_Data[[#This Row],[Rooms_Occupied]]</f>
        <v>1524</v>
      </c>
      <c r="S428" s="10">
        <f>Daily_Data[[#This Row],[Total_Sales]] / Daily_Data[[#This Row],[Max_rooms]]</f>
        <v>1306.2857142857142</v>
      </c>
    </row>
    <row r="429" spans="1:19" x14ac:dyDescent="0.25">
      <c r="A429" s="6">
        <v>45354</v>
      </c>
      <c r="B429" s="20">
        <f>DATE(YEAR(Daily_Data[[#This Row],[Date]]), MONTH(Daily_Data[[#This Row],[Date]]), 1)</f>
        <v>45352</v>
      </c>
      <c r="C429" s="20" t="str">
        <f>TEXT(Daily_Data[[#This Row],[Month_key]],"mmmm")</f>
        <v>March</v>
      </c>
      <c r="D429" s="20" t="str">
        <f>TEXT(Daily_Data[[#This Row],[Month_key]],"yyyy")</f>
        <v>2024</v>
      </c>
      <c r="E429" s="7">
        <v>10</v>
      </c>
      <c r="F429" s="7">
        <v>14</v>
      </c>
      <c r="G429" s="8">
        <f>Daily_Data[[#This Row],[Rooms_Occupied]]/F429</f>
        <v>0.7142857142857143</v>
      </c>
      <c r="H429" s="7">
        <v>1072</v>
      </c>
      <c r="I429" s="7">
        <f>Daily_Data[[#This Row],[Room_rate]]*Daily_Data[[#This Row],[Rooms_Occupied]]</f>
        <v>10720</v>
      </c>
      <c r="J429" s="10">
        <f>Daily_Data[[#This Row],[Total_Sales]] * 0.22</f>
        <v>2358.4</v>
      </c>
      <c r="K429" s="10">
        <f>INDEX(Expense_master[Monthly_Rent],MATCH(Daily_Data[[#This Row],[Month_key]],Expense_master[Month_Key],0)) / INDEX(Expense_master[Days_in_Month],MATCH(Daily_Data[[#This Row],[Month_key]],Expense_master[Month_Key],0))</f>
        <v>6774.1935483870966</v>
      </c>
      <c r="L429" s="10">
        <f>SUMIFS(Expense_master[Staff_Salary],Expense_master[Month_Key],Daily_Data[[#This Row],[Month_key]]) / SUMIFS(Expense_master[Days_in_Month],Expense_master[Month_Key],Daily_Data[[#This Row],[Month_key]])</f>
        <v>2258.0645161290322</v>
      </c>
      <c r="M429" s="10">
        <f>Daily_Data[[#This Row],[Rooms_Occupied]] * (SUMIFS(Expense_master[Housekeeping_Laundy],Expense_master[Month_Key],Daily_Data[[#This Row],[Month_key]]) / SUMIFS(Occupancy_table[Monthly_rooms_Occupied],Occupancy_table[Month_Key],Daily_Data[[#This Row],[Month_key]]))</f>
        <v>298.50746268656718</v>
      </c>
      <c r="N4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1640.5816080885893</v>
      </c>
      <c r="O429" s="10">
        <f>SUMIFS(Expense_master[Monthly_Maintenance],Expense_master[Month_Key],Daily_Data[[#This Row],[Month_key]]) / SUMIFS(Expense_master[Days_in_Month],Expense_master[Month_Key], Daily_Data[[#This Row],[Month_key]])</f>
        <v>645.16129032258061</v>
      </c>
      <c r="P429" s="10">
        <f xml:space="preserve"> Daily_Data[[#This Row],[OTA Commision]] + Daily_Data[[#This Row],[Daily_Rent]]+Daily_Data[[#This Row],[Daily_Staff]]+Daily_Data[[#This Row],[Daily_HK]]+Daily_Data[[#This Row],[Daily_Electricity]] + Daily_Data[[#This Row],[Daily Maintenance]]</f>
        <v>13974.908425613867</v>
      </c>
      <c r="Q429" s="10">
        <f>Daily_Data[[#This Row],[Total_Sales]]-Daily_Data[[#This Row],[Total_Daily_Expense]]</f>
        <v>-3254.9084256138667</v>
      </c>
      <c r="R429" s="10">
        <f>Daily_Data[[#This Row],[Total_Sales]]/Daily_Data[[#This Row],[Rooms_Occupied]]</f>
        <v>1072</v>
      </c>
      <c r="S429" s="10">
        <f>Daily_Data[[#This Row],[Total_Sales]] / Daily_Data[[#This Row],[Max_rooms]]</f>
        <v>765.71428571428567</v>
      </c>
    </row>
    <row r="430" spans="1:19" x14ac:dyDescent="0.25">
      <c r="A430" s="6">
        <v>45355</v>
      </c>
      <c r="B430" s="20">
        <f>DATE(YEAR(Daily_Data[[#This Row],[Date]]), MONTH(Daily_Data[[#This Row],[Date]]), 1)</f>
        <v>45352</v>
      </c>
      <c r="C430" s="20" t="str">
        <f>TEXT(Daily_Data[[#This Row],[Month_key]],"mmmm")</f>
        <v>March</v>
      </c>
      <c r="D430" s="20" t="str">
        <f>TEXT(Daily_Data[[#This Row],[Month_key]],"yyyy")</f>
        <v>2024</v>
      </c>
      <c r="E430" s="7">
        <v>10</v>
      </c>
      <c r="F430" s="7">
        <v>14</v>
      </c>
      <c r="G430" s="8">
        <f>Daily_Data[[#This Row],[Rooms_Occupied]]/F430</f>
        <v>0.7142857142857143</v>
      </c>
      <c r="H430" s="7">
        <v>1911</v>
      </c>
      <c r="I430" s="7">
        <f>Daily_Data[[#This Row],[Room_rate]]*Daily_Data[[#This Row],[Rooms_Occupied]]</f>
        <v>19110</v>
      </c>
      <c r="J430" s="10">
        <f>Daily_Data[[#This Row],[Total_Sales]] * 0.22</f>
        <v>4204.2</v>
      </c>
      <c r="K430" s="10">
        <f>INDEX(Expense_master[Monthly_Rent],MATCH(Daily_Data[[#This Row],[Month_key]],Expense_master[Month_Key],0)) / INDEX(Expense_master[Days_in_Month],MATCH(Daily_Data[[#This Row],[Month_key]],Expense_master[Month_Key],0))</f>
        <v>6774.1935483870966</v>
      </c>
      <c r="L430" s="10">
        <f>SUMIFS(Expense_master[Staff_Salary],Expense_master[Month_Key],Daily_Data[[#This Row],[Month_key]]) / SUMIFS(Expense_master[Days_in_Month],Expense_master[Month_Key],Daily_Data[[#This Row],[Month_key]])</f>
        <v>2258.0645161290322</v>
      </c>
      <c r="M430" s="10">
        <f>Daily_Data[[#This Row],[Rooms_Occupied]] * (SUMIFS(Expense_master[Housekeeping_Laundy],Expense_master[Month_Key],Daily_Data[[#This Row],[Month_key]]) / SUMIFS(Occupancy_table[Monthly_rooms_Occupied],Occupancy_table[Month_Key],Daily_Data[[#This Row],[Month_key]]))</f>
        <v>298.50746268656718</v>
      </c>
      <c r="N4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1640.5816080885893</v>
      </c>
      <c r="O430" s="10">
        <f>SUMIFS(Expense_master[Monthly_Maintenance],Expense_master[Month_Key],Daily_Data[[#This Row],[Month_key]]) / SUMIFS(Expense_master[Days_in_Month],Expense_master[Month_Key], Daily_Data[[#This Row],[Month_key]])</f>
        <v>645.16129032258061</v>
      </c>
      <c r="P430" s="10">
        <f xml:space="preserve"> Daily_Data[[#This Row],[OTA Commision]] + Daily_Data[[#This Row],[Daily_Rent]]+Daily_Data[[#This Row],[Daily_Staff]]+Daily_Data[[#This Row],[Daily_HK]]+Daily_Data[[#This Row],[Daily_Electricity]] + Daily_Data[[#This Row],[Daily Maintenance]]</f>
        <v>15820.708425613866</v>
      </c>
      <c r="Q430" s="10">
        <f>Daily_Data[[#This Row],[Total_Sales]]-Daily_Data[[#This Row],[Total_Daily_Expense]]</f>
        <v>3289.291574386134</v>
      </c>
      <c r="R430" s="10">
        <f>Daily_Data[[#This Row],[Total_Sales]]/Daily_Data[[#This Row],[Rooms_Occupied]]</f>
        <v>1911</v>
      </c>
      <c r="S430" s="10">
        <f>Daily_Data[[#This Row],[Total_Sales]] / Daily_Data[[#This Row],[Max_rooms]]</f>
        <v>1365</v>
      </c>
    </row>
    <row r="431" spans="1:19" x14ac:dyDescent="0.25">
      <c r="A431" s="6">
        <v>45356</v>
      </c>
      <c r="B431" s="20">
        <f>DATE(YEAR(Daily_Data[[#This Row],[Date]]), MONTH(Daily_Data[[#This Row],[Date]]), 1)</f>
        <v>45352</v>
      </c>
      <c r="C431" s="20" t="str">
        <f>TEXT(Daily_Data[[#This Row],[Month_key]],"mmmm")</f>
        <v>March</v>
      </c>
      <c r="D431" s="20" t="str">
        <f>TEXT(Daily_Data[[#This Row],[Month_key]],"yyyy")</f>
        <v>2024</v>
      </c>
      <c r="E431" s="7">
        <v>10</v>
      </c>
      <c r="F431" s="7">
        <v>14</v>
      </c>
      <c r="G431" s="8">
        <f>Daily_Data[[#This Row],[Rooms_Occupied]]/F431</f>
        <v>0.7142857142857143</v>
      </c>
      <c r="H431" s="7">
        <v>1040</v>
      </c>
      <c r="I431" s="7">
        <f>Daily_Data[[#This Row],[Room_rate]]*Daily_Data[[#This Row],[Rooms_Occupied]]</f>
        <v>10400</v>
      </c>
      <c r="J431" s="10">
        <f>Daily_Data[[#This Row],[Total_Sales]] * 0.22</f>
        <v>2288</v>
      </c>
      <c r="K431" s="10">
        <f>INDEX(Expense_master[Monthly_Rent],MATCH(Daily_Data[[#This Row],[Month_key]],Expense_master[Month_Key],0)) / INDEX(Expense_master[Days_in_Month],MATCH(Daily_Data[[#This Row],[Month_key]],Expense_master[Month_Key],0))</f>
        <v>6774.1935483870966</v>
      </c>
      <c r="L431" s="10">
        <f>SUMIFS(Expense_master[Staff_Salary],Expense_master[Month_Key],Daily_Data[[#This Row],[Month_key]]) / SUMIFS(Expense_master[Days_in_Month],Expense_master[Month_Key],Daily_Data[[#This Row],[Month_key]])</f>
        <v>2258.0645161290322</v>
      </c>
      <c r="M431" s="10">
        <f>Daily_Data[[#This Row],[Rooms_Occupied]] * (SUMIFS(Expense_master[Housekeeping_Laundy],Expense_master[Month_Key],Daily_Data[[#This Row],[Month_key]]) / SUMIFS(Occupancy_table[Monthly_rooms_Occupied],Occupancy_table[Month_Key],Daily_Data[[#This Row],[Month_key]]))</f>
        <v>298.50746268656718</v>
      </c>
      <c r="N4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1640.5816080885893</v>
      </c>
      <c r="O431" s="10">
        <f>SUMIFS(Expense_master[Monthly_Maintenance],Expense_master[Month_Key],Daily_Data[[#This Row],[Month_key]]) / SUMIFS(Expense_master[Days_in_Month],Expense_master[Month_Key], Daily_Data[[#This Row],[Month_key]])</f>
        <v>645.16129032258061</v>
      </c>
      <c r="P431" s="10">
        <f xml:space="preserve"> Daily_Data[[#This Row],[OTA Commision]] + Daily_Data[[#This Row],[Daily_Rent]]+Daily_Data[[#This Row],[Daily_Staff]]+Daily_Data[[#This Row],[Daily_HK]]+Daily_Data[[#This Row],[Daily_Electricity]] + Daily_Data[[#This Row],[Daily Maintenance]]</f>
        <v>13904.508425613867</v>
      </c>
      <c r="Q431" s="10">
        <f>Daily_Data[[#This Row],[Total_Sales]]-Daily_Data[[#This Row],[Total_Daily_Expense]]</f>
        <v>-3504.5084256138671</v>
      </c>
      <c r="R431" s="10">
        <f>Daily_Data[[#This Row],[Total_Sales]]/Daily_Data[[#This Row],[Rooms_Occupied]]</f>
        <v>1040</v>
      </c>
      <c r="S431" s="10">
        <f>Daily_Data[[#This Row],[Total_Sales]] / Daily_Data[[#This Row],[Max_rooms]]</f>
        <v>742.85714285714289</v>
      </c>
    </row>
    <row r="432" spans="1:19" x14ac:dyDescent="0.25">
      <c r="A432" s="6">
        <v>45357</v>
      </c>
      <c r="B432" s="20">
        <f>DATE(YEAR(Daily_Data[[#This Row],[Date]]), MONTH(Daily_Data[[#This Row],[Date]]), 1)</f>
        <v>45352</v>
      </c>
      <c r="C432" s="20" t="str">
        <f>TEXT(Daily_Data[[#This Row],[Month_key]],"mmmm")</f>
        <v>March</v>
      </c>
      <c r="D432" s="20" t="str">
        <f>TEXT(Daily_Data[[#This Row],[Month_key]],"yyyy")</f>
        <v>2024</v>
      </c>
      <c r="E432" s="7">
        <v>11</v>
      </c>
      <c r="F432" s="7">
        <v>14</v>
      </c>
      <c r="G432" s="8">
        <f>Daily_Data[[#This Row],[Rooms_Occupied]]/F432</f>
        <v>0.7857142857142857</v>
      </c>
      <c r="H432" s="7">
        <v>1439</v>
      </c>
      <c r="I432" s="7">
        <f>Daily_Data[[#This Row],[Room_rate]]*Daily_Data[[#This Row],[Rooms_Occupied]]</f>
        <v>15829</v>
      </c>
      <c r="J432" s="10">
        <f>Daily_Data[[#This Row],[Total_Sales]] * 0.22</f>
        <v>3482.38</v>
      </c>
      <c r="K432" s="10">
        <f>INDEX(Expense_master[Monthly_Rent],MATCH(Daily_Data[[#This Row],[Month_key]],Expense_master[Month_Key],0)) / INDEX(Expense_master[Days_in_Month],MATCH(Daily_Data[[#This Row],[Month_key]],Expense_master[Month_Key],0))</f>
        <v>6774.1935483870966</v>
      </c>
      <c r="L432" s="10">
        <f>SUMIFS(Expense_master[Staff_Salary],Expense_master[Month_Key],Daily_Data[[#This Row],[Month_key]]) / SUMIFS(Expense_master[Days_in_Month],Expense_master[Month_Key],Daily_Data[[#This Row],[Month_key]])</f>
        <v>2258.0645161290322</v>
      </c>
      <c r="M432" s="10">
        <f>Daily_Data[[#This Row],[Rooms_Occupied]] * (SUMIFS(Expense_master[Housekeeping_Laundy],Expense_master[Month_Key],Daily_Data[[#This Row],[Month_key]]) / SUMIFS(Occupancy_table[Monthly_rooms_Occupied],Occupancy_table[Month_Key],Daily_Data[[#This Row],[Month_key]]))</f>
        <v>328.35820895522392</v>
      </c>
      <c r="N4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1735.9404140587385</v>
      </c>
      <c r="O432" s="10">
        <f>SUMIFS(Expense_master[Monthly_Maintenance],Expense_master[Month_Key],Daily_Data[[#This Row],[Month_key]]) / SUMIFS(Expense_master[Days_in_Month],Expense_master[Month_Key], Daily_Data[[#This Row],[Month_key]])</f>
        <v>645.16129032258061</v>
      </c>
      <c r="P432" s="10">
        <f xml:space="preserve"> Daily_Data[[#This Row],[OTA Commision]] + Daily_Data[[#This Row],[Daily_Rent]]+Daily_Data[[#This Row],[Daily_Staff]]+Daily_Data[[#This Row],[Daily_HK]]+Daily_Data[[#This Row],[Daily_Electricity]] + Daily_Data[[#This Row],[Daily Maintenance]]</f>
        <v>15224.097977852673</v>
      </c>
      <c r="Q432" s="10">
        <f>Daily_Data[[#This Row],[Total_Sales]]-Daily_Data[[#This Row],[Total_Daily_Expense]]</f>
        <v>604.90202214732744</v>
      </c>
      <c r="R432" s="10">
        <f>Daily_Data[[#This Row],[Total_Sales]]/Daily_Data[[#This Row],[Rooms_Occupied]]</f>
        <v>1439</v>
      </c>
      <c r="S432" s="10">
        <f>Daily_Data[[#This Row],[Total_Sales]] / Daily_Data[[#This Row],[Max_rooms]]</f>
        <v>1130.6428571428571</v>
      </c>
    </row>
    <row r="433" spans="1:19" x14ac:dyDescent="0.25">
      <c r="A433" s="6">
        <v>45358</v>
      </c>
      <c r="B433" s="20">
        <f>DATE(YEAR(Daily_Data[[#This Row],[Date]]), MONTH(Daily_Data[[#This Row],[Date]]), 1)</f>
        <v>45352</v>
      </c>
      <c r="C433" s="20" t="str">
        <f>TEXT(Daily_Data[[#This Row],[Month_key]],"mmmm")</f>
        <v>March</v>
      </c>
      <c r="D433" s="20" t="str">
        <f>TEXT(Daily_Data[[#This Row],[Month_key]],"yyyy")</f>
        <v>2024</v>
      </c>
      <c r="E433" s="7">
        <v>8</v>
      </c>
      <c r="F433" s="7">
        <v>14</v>
      </c>
      <c r="G433" s="8">
        <f>Daily_Data[[#This Row],[Rooms_Occupied]]/F433</f>
        <v>0.5714285714285714</v>
      </c>
      <c r="H433" s="7">
        <v>1194</v>
      </c>
      <c r="I433" s="7">
        <f>Daily_Data[[#This Row],[Room_rate]]*Daily_Data[[#This Row],[Rooms_Occupied]]</f>
        <v>9552</v>
      </c>
      <c r="J433" s="10">
        <f>Daily_Data[[#This Row],[Total_Sales]] * 0.22</f>
        <v>2101.44</v>
      </c>
      <c r="K433" s="10">
        <f>INDEX(Expense_master[Monthly_Rent],MATCH(Daily_Data[[#This Row],[Month_key]],Expense_master[Month_Key],0)) / INDEX(Expense_master[Days_in_Month],MATCH(Daily_Data[[#This Row],[Month_key]],Expense_master[Month_Key],0))</f>
        <v>6774.1935483870966</v>
      </c>
      <c r="L433" s="10">
        <f>SUMIFS(Expense_master[Staff_Salary],Expense_master[Month_Key],Daily_Data[[#This Row],[Month_key]]) / SUMIFS(Expense_master[Days_in_Month],Expense_master[Month_Key],Daily_Data[[#This Row],[Month_key]])</f>
        <v>2258.0645161290322</v>
      </c>
      <c r="M433" s="10">
        <f>Daily_Data[[#This Row],[Rooms_Occupied]] * (SUMIFS(Expense_master[Housekeeping_Laundy],Expense_master[Month_Key],Daily_Data[[#This Row],[Month_key]]) / SUMIFS(Occupancy_table[Monthly_rooms_Occupied],Occupancy_table[Month_Key],Daily_Data[[#This Row],[Month_key]]))</f>
        <v>238.80597014925374</v>
      </c>
      <c r="N4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1449.8639961482909</v>
      </c>
      <c r="O433" s="10">
        <f>SUMIFS(Expense_master[Monthly_Maintenance],Expense_master[Month_Key],Daily_Data[[#This Row],[Month_key]]) / SUMIFS(Expense_master[Days_in_Month],Expense_master[Month_Key], Daily_Data[[#This Row],[Month_key]])</f>
        <v>645.16129032258061</v>
      </c>
      <c r="P433" s="10">
        <f xml:space="preserve"> Daily_Data[[#This Row],[OTA Commision]] + Daily_Data[[#This Row],[Daily_Rent]]+Daily_Data[[#This Row],[Daily_Staff]]+Daily_Data[[#This Row],[Daily_HK]]+Daily_Data[[#This Row],[Daily_Electricity]] + Daily_Data[[#This Row],[Daily Maintenance]]</f>
        <v>13467.529321136255</v>
      </c>
      <c r="Q433" s="10">
        <f>Daily_Data[[#This Row],[Total_Sales]]-Daily_Data[[#This Row],[Total_Daily_Expense]]</f>
        <v>-3915.529321136255</v>
      </c>
      <c r="R433" s="10">
        <f>Daily_Data[[#This Row],[Total_Sales]]/Daily_Data[[#This Row],[Rooms_Occupied]]</f>
        <v>1194</v>
      </c>
      <c r="S433" s="10">
        <f>Daily_Data[[#This Row],[Total_Sales]] / Daily_Data[[#This Row],[Max_rooms]]</f>
        <v>682.28571428571433</v>
      </c>
    </row>
    <row r="434" spans="1:19" x14ac:dyDescent="0.25">
      <c r="A434" s="6">
        <v>45359</v>
      </c>
      <c r="B434" s="20">
        <f>DATE(YEAR(Daily_Data[[#This Row],[Date]]), MONTH(Daily_Data[[#This Row],[Date]]), 1)</f>
        <v>45352</v>
      </c>
      <c r="C434" s="20" t="str">
        <f>TEXT(Daily_Data[[#This Row],[Month_key]],"mmmm")</f>
        <v>March</v>
      </c>
      <c r="D434" s="20" t="str">
        <f>TEXT(Daily_Data[[#This Row],[Month_key]],"yyyy")</f>
        <v>2024</v>
      </c>
      <c r="E434" s="7">
        <v>9</v>
      </c>
      <c r="F434" s="7">
        <v>14</v>
      </c>
      <c r="G434" s="8">
        <f>Daily_Data[[#This Row],[Rooms_Occupied]]/F434</f>
        <v>0.6428571428571429</v>
      </c>
      <c r="H434" s="7">
        <v>1470</v>
      </c>
      <c r="I434" s="7">
        <f>Daily_Data[[#This Row],[Room_rate]]*Daily_Data[[#This Row],[Rooms_Occupied]]</f>
        <v>13230</v>
      </c>
      <c r="J434" s="10">
        <f>Daily_Data[[#This Row],[Total_Sales]] * 0.22</f>
        <v>2910.6</v>
      </c>
      <c r="K434" s="10">
        <f>INDEX(Expense_master[Monthly_Rent],MATCH(Daily_Data[[#This Row],[Month_key]],Expense_master[Month_Key],0)) / INDEX(Expense_master[Days_in_Month],MATCH(Daily_Data[[#This Row],[Month_key]],Expense_master[Month_Key],0))</f>
        <v>6774.1935483870966</v>
      </c>
      <c r="L434" s="10">
        <f>SUMIFS(Expense_master[Staff_Salary],Expense_master[Month_Key],Daily_Data[[#This Row],[Month_key]]) / SUMIFS(Expense_master[Days_in_Month],Expense_master[Month_Key],Daily_Data[[#This Row],[Month_key]])</f>
        <v>2258.0645161290322</v>
      </c>
      <c r="M434" s="10">
        <f>Daily_Data[[#This Row],[Rooms_Occupied]] * (SUMIFS(Expense_master[Housekeeping_Laundy],Expense_master[Month_Key],Daily_Data[[#This Row],[Month_key]]) / SUMIFS(Occupancy_table[Monthly_rooms_Occupied],Occupancy_table[Month_Key],Daily_Data[[#This Row],[Month_key]]))</f>
        <v>268.65671641791045</v>
      </c>
      <c r="N4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1545.2228021184401</v>
      </c>
      <c r="O434" s="10">
        <f>SUMIFS(Expense_master[Monthly_Maintenance],Expense_master[Month_Key],Daily_Data[[#This Row],[Month_key]]) / SUMIFS(Expense_master[Days_in_Month],Expense_master[Month_Key], Daily_Data[[#This Row],[Month_key]])</f>
        <v>645.16129032258061</v>
      </c>
      <c r="P434" s="10">
        <f xml:space="preserve"> Daily_Data[[#This Row],[OTA Commision]] + Daily_Data[[#This Row],[Daily_Rent]]+Daily_Data[[#This Row],[Daily_Staff]]+Daily_Data[[#This Row],[Daily_HK]]+Daily_Data[[#This Row],[Daily_Electricity]] + Daily_Data[[#This Row],[Daily Maintenance]]</f>
        <v>14401.898873375061</v>
      </c>
      <c r="Q434" s="10">
        <f>Daily_Data[[#This Row],[Total_Sales]]-Daily_Data[[#This Row],[Total_Daily_Expense]]</f>
        <v>-1171.8988733750612</v>
      </c>
      <c r="R434" s="10">
        <f>Daily_Data[[#This Row],[Total_Sales]]/Daily_Data[[#This Row],[Rooms_Occupied]]</f>
        <v>1470</v>
      </c>
      <c r="S434" s="10">
        <f>Daily_Data[[#This Row],[Total_Sales]] / Daily_Data[[#This Row],[Max_rooms]]</f>
        <v>945</v>
      </c>
    </row>
    <row r="435" spans="1:19" x14ac:dyDescent="0.25">
      <c r="A435" s="6">
        <v>45360</v>
      </c>
      <c r="B435" s="20">
        <f>DATE(YEAR(Daily_Data[[#This Row],[Date]]), MONTH(Daily_Data[[#This Row],[Date]]), 1)</f>
        <v>45352</v>
      </c>
      <c r="C435" s="20" t="str">
        <f>TEXT(Daily_Data[[#This Row],[Month_key]],"mmmm")</f>
        <v>March</v>
      </c>
      <c r="D435" s="20" t="str">
        <f>TEXT(Daily_Data[[#This Row],[Month_key]],"yyyy")</f>
        <v>2024</v>
      </c>
      <c r="E435" s="7">
        <v>11</v>
      </c>
      <c r="F435" s="7">
        <v>14</v>
      </c>
      <c r="G435" s="8">
        <f>Daily_Data[[#This Row],[Rooms_Occupied]]/F435</f>
        <v>0.7857142857142857</v>
      </c>
      <c r="H435" s="7">
        <v>1756</v>
      </c>
      <c r="I435" s="7">
        <f>Daily_Data[[#This Row],[Room_rate]]*Daily_Data[[#This Row],[Rooms_Occupied]]</f>
        <v>19316</v>
      </c>
      <c r="J435" s="10">
        <f>Daily_Data[[#This Row],[Total_Sales]] * 0.22</f>
        <v>4249.5200000000004</v>
      </c>
      <c r="K435" s="10">
        <f>INDEX(Expense_master[Monthly_Rent],MATCH(Daily_Data[[#This Row],[Month_key]],Expense_master[Month_Key],0)) / INDEX(Expense_master[Days_in_Month],MATCH(Daily_Data[[#This Row],[Month_key]],Expense_master[Month_Key],0))</f>
        <v>6774.1935483870966</v>
      </c>
      <c r="L435" s="10">
        <f>SUMIFS(Expense_master[Staff_Salary],Expense_master[Month_Key],Daily_Data[[#This Row],[Month_key]]) / SUMIFS(Expense_master[Days_in_Month],Expense_master[Month_Key],Daily_Data[[#This Row],[Month_key]])</f>
        <v>2258.0645161290322</v>
      </c>
      <c r="M435" s="10">
        <f>Daily_Data[[#This Row],[Rooms_Occupied]] * (SUMIFS(Expense_master[Housekeeping_Laundy],Expense_master[Month_Key],Daily_Data[[#This Row],[Month_key]]) / SUMIFS(Occupancy_table[Monthly_rooms_Occupied],Occupancy_table[Month_Key],Daily_Data[[#This Row],[Month_key]]))</f>
        <v>328.35820895522392</v>
      </c>
      <c r="N4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1735.9404140587385</v>
      </c>
      <c r="O435" s="10">
        <f>SUMIFS(Expense_master[Monthly_Maintenance],Expense_master[Month_Key],Daily_Data[[#This Row],[Month_key]]) / SUMIFS(Expense_master[Days_in_Month],Expense_master[Month_Key], Daily_Data[[#This Row],[Month_key]])</f>
        <v>645.16129032258061</v>
      </c>
      <c r="P435" s="10">
        <f xml:space="preserve"> Daily_Data[[#This Row],[OTA Commision]] + Daily_Data[[#This Row],[Daily_Rent]]+Daily_Data[[#This Row],[Daily_Staff]]+Daily_Data[[#This Row],[Daily_HK]]+Daily_Data[[#This Row],[Daily_Electricity]] + Daily_Data[[#This Row],[Daily Maintenance]]</f>
        <v>15991.237977852672</v>
      </c>
      <c r="Q435" s="10">
        <f>Daily_Data[[#This Row],[Total_Sales]]-Daily_Data[[#This Row],[Total_Daily_Expense]]</f>
        <v>3324.762022147328</v>
      </c>
      <c r="R435" s="10">
        <f>Daily_Data[[#This Row],[Total_Sales]]/Daily_Data[[#This Row],[Rooms_Occupied]]</f>
        <v>1756</v>
      </c>
      <c r="S435" s="10">
        <f>Daily_Data[[#This Row],[Total_Sales]] / Daily_Data[[#This Row],[Max_rooms]]</f>
        <v>1379.7142857142858</v>
      </c>
    </row>
    <row r="436" spans="1:19" x14ac:dyDescent="0.25">
      <c r="A436" s="6">
        <v>45361</v>
      </c>
      <c r="B436" s="20">
        <f>DATE(YEAR(Daily_Data[[#This Row],[Date]]), MONTH(Daily_Data[[#This Row],[Date]]), 1)</f>
        <v>45352</v>
      </c>
      <c r="C436" s="20" t="str">
        <f>TEXT(Daily_Data[[#This Row],[Month_key]],"mmmm")</f>
        <v>March</v>
      </c>
      <c r="D436" s="20" t="str">
        <f>TEXT(Daily_Data[[#This Row],[Month_key]],"yyyy")</f>
        <v>2024</v>
      </c>
      <c r="E436" s="7">
        <v>14</v>
      </c>
      <c r="F436" s="7">
        <v>14</v>
      </c>
      <c r="G436" s="8">
        <f>Daily_Data[[#This Row],[Rooms_Occupied]]/F436</f>
        <v>1</v>
      </c>
      <c r="H436" s="7">
        <v>1117</v>
      </c>
      <c r="I436" s="7">
        <f>Daily_Data[[#This Row],[Room_rate]]*Daily_Data[[#This Row],[Rooms_Occupied]]</f>
        <v>15638</v>
      </c>
      <c r="J436" s="10">
        <f>Daily_Data[[#This Row],[Total_Sales]] * 0.22</f>
        <v>3440.36</v>
      </c>
      <c r="K436" s="10">
        <f>INDEX(Expense_master[Monthly_Rent],MATCH(Daily_Data[[#This Row],[Month_key]],Expense_master[Month_Key],0)) / INDEX(Expense_master[Days_in_Month],MATCH(Daily_Data[[#This Row],[Month_key]],Expense_master[Month_Key],0))</f>
        <v>6774.1935483870966</v>
      </c>
      <c r="L436" s="10">
        <f>SUMIFS(Expense_master[Staff_Salary],Expense_master[Month_Key],Daily_Data[[#This Row],[Month_key]]) / SUMIFS(Expense_master[Days_in_Month],Expense_master[Month_Key],Daily_Data[[#This Row],[Month_key]])</f>
        <v>2258.0645161290322</v>
      </c>
      <c r="M436" s="10">
        <f>Daily_Data[[#This Row],[Rooms_Occupied]] * (SUMIFS(Expense_master[Housekeeping_Laundy],Expense_master[Month_Key],Daily_Data[[#This Row],[Month_key]]) / SUMIFS(Occupancy_table[Monthly_rooms_Occupied],Occupancy_table[Month_Key],Daily_Data[[#This Row],[Month_key]]))</f>
        <v>417.91044776119406</v>
      </c>
      <c r="N4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2022.0168319691863</v>
      </c>
      <c r="O436" s="10">
        <f>SUMIFS(Expense_master[Monthly_Maintenance],Expense_master[Month_Key],Daily_Data[[#This Row],[Month_key]]) / SUMIFS(Expense_master[Days_in_Month],Expense_master[Month_Key], Daily_Data[[#This Row],[Month_key]])</f>
        <v>645.16129032258061</v>
      </c>
      <c r="P436" s="10">
        <f xml:space="preserve"> Daily_Data[[#This Row],[OTA Commision]] + Daily_Data[[#This Row],[Daily_Rent]]+Daily_Data[[#This Row],[Daily_Staff]]+Daily_Data[[#This Row],[Daily_HK]]+Daily_Data[[#This Row],[Daily_Electricity]] + Daily_Data[[#This Row],[Daily Maintenance]]</f>
        <v>15557.706634569091</v>
      </c>
      <c r="Q436" s="10">
        <f>Daily_Data[[#This Row],[Total_Sales]]-Daily_Data[[#This Row],[Total_Daily_Expense]]</f>
        <v>80.293365430909034</v>
      </c>
      <c r="R436" s="10">
        <f>Daily_Data[[#This Row],[Total_Sales]]/Daily_Data[[#This Row],[Rooms_Occupied]]</f>
        <v>1117</v>
      </c>
      <c r="S436" s="10">
        <f>Daily_Data[[#This Row],[Total_Sales]] / Daily_Data[[#This Row],[Max_rooms]]</f>
        <v>1117</v>
      </c>
    </row>
    <row r="437" spans="1:19" x14ac:dyDescent="0.25">
      <c r="A437" s="6">
        <v>45362</v>
      </c>
      <c r="B437" s="20">
        <f>DATE(YEAR(Daily_Data[[#This Row],[Date]]), MONTH(Daily_Data[[#This Row],[Date]]), 1)</f>
        <v>45352</v>
      </c>
      <c r="C437" s="20" t="str">
        <f>TEXT(Daily_Data[[#This Row],[Month_key]],"mmmm")</f>
        <v>March</v>
      </c>
      <c r="D437" s="20" t="str">
        <f>TEXT(Daily_Data[[#This Row],[Month_key]],"yyyy")</f>
        <v>2024</v>
      </c>
      <c r="E437" s="7">
        <v>14</v>
      </c>
      <c r="F437" s="7">
        <v>14</v>
      </c>
      <c r="G437" s="8">
        <f>Daily_Data[[#This Row],[Rooms_Occupied]]/F437</f>
        <v>1</v>
      </c>
      <c r="H437" s="7">
        <v>1251</v>
      </c>
      <c r="I437" s="7">
        <f>Daily_Data[[#This Row],[Room_rate]]*Daily_Data[[#This Row],[Rooms_Occupied]]</f>
        <v>17514</v>
      </c>
      <c r="J437" s="10">
        <f>Daily_Data[[#This Row],[Total_Sales]] * 0.22</f>
        <v>3853.08</v>
      </c>
      <c r="K437" s="10">
        <f>INDEX(Expense_master[Monthly_Rent],MATCH(Daily_Data[[#This Row],[Month_key]],Expense_master[Month_Key],0)) / INDEX(Expense_master[Days_in_Month],MATCH(Daily_Data[[#This Row],[Month_key]],Expense_master[Month_Key],0))</f>
        <v>6774.1935483870966</v>
      </c>
      <c r="L437" s="10">
        <f>SUMIFS(Expense_master[Staff_Salary],Expense_master[Month_Key],Daily_Data[[#This Row],[Month_key]]) / SUMIFS(Expense_master[Days_in_Month],Expense_master[Month_Key],Daily_Data[[#This Row],[Month_key]])</f>
        <v>2258.0645161290322</v>
      </c>
      <c r="M437" s="10">
        <f>Daily_Data[[#This Row],[Rooms_Occupied]] * (SUMIFS(Expense_master[Housekeeping_Laundy],Expense_master[Month_Key],Daily_Data[[#This Row],[Month_key]]) / SUMIFS(Occupancy_table[Monthly_rooms_Occupied],Occupancy_table[Month_Key],Daily_Data[[#This Row],[Month_key]]))</f>
        <v>417.91044776119406</v>
      </c>
      <c r="N4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2022.0168319691863</v>
      </c>
      <c r="O437" s="10">
        <f>SUMIFS(Expense_master[Monthly_Maintenance],Expense_master[Month_Key],Daily_Data[[#This Row],[Month_key]]) / SUMIFS(Expense_master[Days_in_Month],Expense_master[Month_Key], Daily_Data[[#This Row],[Month_key]])</f>
        <v>645.16129032258061</v>
      </c>
      <c r="P437" s="10">
        <f xml:space="preserve"> Daily_Data[[#This Row],[OTA Commision]] + Daily_Data[[#This Row],[Daily_Rent]]+Daily_Data[[#This Row],[Daily_Staff]]+Daily_Data[[#This Row],[Daily_HK]]+Daily_Data[[#This Row],[Daily_Electricity]] + Daily_Data[[#This Row],[Daily Maintenance]]</f>
        <v>15970.42663456909</v>
      </c>
      <c r="Q437" s="10">
        <f>Daily_Data[[#This Row],[Total_Sales]]-Daily_Data[[#This Row],[Total_Daily_Expense]]</f>
        <v>1543.5733654309097</v>
      </c>
      <c r="R437" s="10">
        <f>Daily_Data[[#This Row],[Total_Sales]]/Daily_Data[[#This Row],[Rooms_Occupied]]</f>
        <v>1251</v>
      </c>
      <c r="S437" s="10">
        <f>Daily_Data[[#This Row],[Total_Sales]] / Daily_Data[[#This Row],[Max_rooms]]</f>
        <v>1251</v>
      </c>
    </row>
    <row r="438" spans="1:19" x14ac:dyDescent="0.25">
      <c r="A438" s="6">
        <v>45363</v>
      </c>
      <c r="B438" s="20">
        <f>DATE(YEAR(Daily_Data[[#This Row],[Date]]), MONTH(Daily_Data[[#This Row],[Date]]), 1)</f>
        <v>45352</v>
      </c>
      <c r="C438" s="20" t="str">
        <f>TEXT(Daily_Data[[#This Row],[Month_key]],"mmmm")</f>
        <v>March</v>
      </c>
      <c r="D438" s="20" t="str">
        <f>TEXT(Daily_Data[[#This Row],[Month_key]],"yyyy")</f>
        <v>2024</v>
      </c>
      <c r="E438" s="7">
        <v>9</v>
      </c>
      <c r="F438" s="7">
        <v>14</v>
      </c>
      <c r="G438" s="8">
        <f>Daily_Data[[#This Row],[Rooms_Occupied]]/F438</f>
        <v>0.6428571428571429</v>
      </c>
      <c r="H438" s="7">
        <v>1165</v>
      </c>
      <c r="I438" s="7">
        <f>Daily_Data[[#This Row],[Room_rate]]*Daily_Data[[#This Row],[Rooms_Occupied]]</f>
        <v>10485</v>
      </c>
      <c r="J438" s="10">
        <f>Daily_Data[[#This Row],[Total_Sales]] * 0.22</f>
        <v>2306.6999999999998</v>
      </c>
      <c r="K438" s="10">
        <f>INDEX(Expense_master[Monthly_Rent],MATCH(Daily_Data[[#This Row],[Month_key]],Expense_master[Month_Key],0)) / INDEX(Expense_master[Days_in_Month],MATCH(Daily_Data[[#This Row],[Month_key]],Expense_master[Month_Key],0))</f>
        <v>6774.1935483870966</v>
      </c>
      <c r="L438" s="10">
        <f>SUMIFS(Expense_master[Staff_Salary],Expense_master[Month_Key],Daily_Data[[#This Row],[Month_key]]) / SUMIFS(Expense_master[Days_in_Month],Expense_master[Month_Key],Daily_Data[[#This Row],[Month_key]])</f>
        <v>2258.0645161290322</v>
      </c>
      <c r="M438" s="10">
        <f>Daily_Data[[#This Row],[Rooms_Occupied]] * (SUMIFS(Expense_master[Housekeeping_Laundy],Expense_master[Month_Key],Daily_Data[[#This Row],[Month_key]]) / SUMIFS(Occupancy_table[Monthly_rooms_Occupied],Occupancy_table[Month_Key],Daily_Data[[#This Row],[Month_key]]))</f>
        <v>268.65671641791045</v>
      </c>
      <c r="N4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1545.2228021184401</v>
      </c>
      <c r="O438" s="10">
        <f>SUMIFS(Expense_master[Monthly_Maintenance],Expense_master[Month_Key],Daily_Data[[#This Row],[Month_key]]) / SUMIFS(Expense_master[Days_in_Month],Expense_master[Month_Key], Daily_Data[[#This Row],[Month_key]])</f>
        <v>645.16129032258061</v>
      </c>
      <c r="P438" s="10">
        <f xml:space="preserve"> Daily_Data[[#This Row],[OTA Commision]] + Daily_Data[[#This Row],[Daily_Rent]]+Daily_Data[[#This Row],[Daily_Staff]]+Daily_Data[[#This Row],[Daily_HK]]+Daily_Data[[#This Row],[Daily_Electricity]] + Daily_Data[[#This Row],[Daily Maintenance]]</f>
        <v>13797.99887337506</v>
      </c>
      <c r="Q438" s="10">
        <f>Daily_Data[[#This Row],[Total_Sales]]-Daily_Data[[#This Row],[Total_Daily_Expense]]</f>
        <v>-3312.9988733750597</v>
      </c>
      <c r="R438" s="10">
        <f>Daily_Data[[#This Row],[Total_Sales]]/Daily_Data[[#This Row],[Rooms_Occupied]]</f>
        <v>1165</v>
      </c>
      <c r="S438" s="10">
        <f>Daily_Data[[#This Row],[Total_Sales]] / Daily_Data[[#This Row],[Max_rooms]]</f>
        <v>748.92857142857144</v>
      </c>
    </row>
    <row r="439" spans="1:19" x14ac:dyDescent="0.25">
      <c r="A439" s="6">
        <v>45364</v>
      </c>
      <c r="B439" s="20">
        <f>DATE(YEAR(Daily_Data[[#This Row],[Date]]), MONTH(Daily_Data[[#This Row],[Date]]), 1)</f>
        <v>45352</v>
      </c>
      <c r="C439" s="20" t="str">
        <f>TEXT(Daily_Data[[#This Row],[Month_key]],"mmmm")</f>
        <v>March</v>
      </c>
      <c r="D439" s="20" t="str">
        <f>TEXT(Daily_Data[[#This Row],[Month_key]],"yyyy")</f>
        <v>2024</v>
      </c>
      <c r="E439" s="7">
        <v>9</v>
      </c>
      <c r="F439" s="7">
        <v>14</v>
      </c>
      <c r="G439" s="8">
        <f>Daily_Data[[#This Row],[Rooms_Occupied]]/F439</f>
        <v>0.6428571428571429</v>
      </c>
      <c r="H439" s="7">
        <v>1182</v>
      </c>
      <c r="I439" s="7">
        <f>Daily_Data[[#This Row],[Room_rate]]*Daily_Data[[#This Row],[Rooms_Occupied]]</f>
        <v>10638</v>
      </c>
      <c r="J439" s="10">
        <f>Daily_Data[[#This Row],[Total_Sales]] * 0.22</f>
        <v>2340.36</v>
      </c>
      <c r="K439" s="10">
        <f>INDEX(Expense_master[Monthly_Rent],MATCH(Daily_Data[[#This Row],[Month_key]],Expense_master[Month_Key],0)) / INDEX(Expense_master[Days_in_Month],MATCH(Daily_Data[[#This Row],[Month_key]],Expense_master[Month_Key],0))</f>
        <v>6774.1935483870966</v>
      </c>
      <c r="L439" s="10">
        <f>SUMIFS(Expense_master[Staff_Salary],Expense_master[Month_Key],Daily_Data[[#This Row],[Month_key]]) / SUMIFS(Expense_master[Days_in_Month],Expense_master[Month_Key],Daily_Data[[#This Row],[Month_key]])</f>
        <v>2258.0645161290322</v>
      </c>
      <c r="M439" s="10">
        <f>Daily_Data[[#This Row],[Rooms_Occupied]] * (SUMIFS(Expense_master[Housekeeping_Laundy],Expense_master[Month_Key],Daily_Data[[#This Row],[Month_key]]) / SUMIFS(Occupancy_table[Monthly_rooms_Occupied],Occupancy_table[Month_Key],Daily_Data[[#This Row],[Month_key]]))</f>
        <v>268.65671641791045</v>
      </c>
      <c r="N4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1545.2228021184401</v>
      </c>
      <c r="O439" s="10">
        <f>SUMIFS(Expense_master[Monthly_Maintenance],Expense_master[Month_Key],Daily_Data[[#This Row],[Month_key]]) / SUMIFS(Expense_master[Days_in_Month],Expense_master[Month_Key], Daily_Data[[#This Row],[Month_key]])</f>
        <v>645.16129032258061</v>
      </c>
      <c r="P439" s="10">
        <f xml:space="preserve"> Daily_Data[[#This Row],[OTA Commision]] + Daily_Data[[#This Row],[Daily_Rent]]+Daily_Data[[#This Row],[Daily_Staff]]+Daily_Data[[#This Row],[Daily_HK]]+Daily_Data[[#This Row],[Daily_Electricity]] + Daily_Data[[#This Row],[Daily Maintenance]]</f>
        <v>13831.658873375061</v>
      </c>
      <c r="Q439" s="10">
        <f>Daily_Data[[#This Row],[Total_Sales]]-Daily_Data[[#This Row],[Total_Daily_Expense]]</f>
        <v>-3193.6588733750614</v>
      </c>
      <c r="R439" s="10">
        <f>Daily_Data[[#This Row],[Total_Sales]]/Daily_Data[[#This Row],[Rooms_Occupied]]</f>
        <v>1182</v>
      </c>
      <c r="S439" s="10">
        <f>Daily_Data[[#This Row],[Total_Sales]] / Daily_Data[[#This Row],[Max_rooms]]</f>
        <v>759.85714285714289</v>
      </c>
    </row>
    <row r="440" spans="1:19" x14ac:dyDescent="0.25">
      <c r="A440" s="6">
        <v>45365</v>
      </c>
      <c r="B440" s="20">
        <f>DATE(YEAR(Daily_Data[[#This Row],[Date]]), MONTH(Daily_Data[[#This Row],[Date]]), 1)</f>
        <v>45352</v>
      </c>
      <c r="C440" s="20" t="str">
        <f>TEXT(Daily_Data[[#This Row],[Month_key]],"mmmm")</f>
        <v>March</v>
      </c>
      <c r="D440" s="20" t="str">
        <f>TEXT(Daily_Data[[#This Row],[Month_key]],"yyyy")</f>
        <v>2024</v>
      </c>
      <c r="E440" s="7">
        <v>11</v>
      </c>
      <c r="F440" s="7">
        <v>14</v>
      </c>
      <c r="G440" s="8">
        <f>Daily_Data[[#This Row],[Rooms_Occupied]]/F440</f>
        <v>0.7857142857142857</v>
      </c>
      <c r="H440" s="7">
        <v>1828</v>
      </c>
      <c r="I440" s="7">
        <f>Daily_Data[[#This Row],[Room_rate]]*Daily_Data[[#This Row],[Rooms_Occupied]]</f>
        <v>20108</v>
      </c>
      <c r="J440" s="10">
        <f>Daily_Data[[#This Row],[Total_Sales]] * 0.22</f>
        <v>4423.76</v>
      </c>
      <c r="K440" s="10">
        <f>INDEX(Expense_master[Monthly_Rent],MATCH(Daily_Data[[#This Row],[Month_key]],Expense_master[Month_Key],0)) / INDEX(Expense_master[Days_in_Month],MATCH(Daily_Data[[#This Row],[Month_key]],Expense_master[Month_Key],0))</f>
        <v>6774.1935483870966</v>
      </c>
      <c r="L440" s="10">
        <f>SUMIFS(Expense_master[Staff_Salary],Expense_master[Month_Key],Daily_Data[[#This Row],[Month_key]]) / SUMIFS(Expense_master[Days_in_Month],Expense_master[Month_Key],Daily_Data[[#This Row],[Month_key]])</f>
        <v>2258.0645161290322</v>
      </c>
      <c r="M440" s="10">
        <f>Daily_Data[[#This Row],[Rooms_Occupied]] * (SUMIFS(Expense_master[Housekeeping_Laundy],Expense_master[Month_Key],Daily_Data[[#This Row],[Month_key]]) / SUMIFS(Occupancy_table[Monthly_rooms_Occupied],Occupancy_table[Month_Key],Daily_Data[[#This Row],[Month_key]]))</f>
        <v>328.35820895522392</v>
      </c>
      <c r="N4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1735.9404140587385</v>
      </c>
      <c r="O440" s="10">
        <f>SUMIFS(Expense_master[Monthly_Maintenance],Expense_master[Month_Key],Daily_Data[[#This Row],[Month_key]]) / SUMIFS(Expense_master[Days_in_Month],Expense_master[Month_Key], Daily_Data[[#This Row],[Month_key]])</f>
        <v>645.16129032258061</v>
      </c>
      <c r="P440" s="10">
        <f xml:space="preserve"> Daily_Data[[#This Row],[OTA Commision]] + Daily_Data[[#This Row],[Daily_Rent]]+Daily_Data[[#This Row],[Daily_Staff]]+Daily_Data[[#This Row],[Daily_HK]]+Daily_Data[[#This Row],[Daily_Electricity]] + Daily_Data[[#This Row],[Daily Maintenance]]</f>
        <v>16165.477977852674</v>
      </c>
      <c r="Q440" s="10">
        <f>Daily_Data[[#This Row],[Total_Sales]]-Daily_Data[[#This Row],[Total_Daily_Expense]]</f>
        <v>3942.5220221473264</v>
      </c>
      <c r="R440" s="10">
        <f>Daily_Data[[#This Row],[Total_Sales]]/Daily_Data[[#This Row],[Rooms_Occupied]]</f>
        <v>1828</v>
      </c>
      <c r="S440" s="10">
        <f>Daily_Data[[#This Row],[Total_Sales]] / Daily_Data[[#This Row],[Max_rooms]]</f>
        <v>1436.2857142857142</v>
      </c>
    </row>
    <row r="441" spans="1:19" x14ac:dyDescent="0.25">
      <c r="A441" s="6">
        <v>45366</v>
      </c>
      <c r="B441" s="20">
        <f>DATE(YEAR(Daily_Data[[#This Row],[Date]]), MONTH(Daily_Data[[#This Row],[Date]]), 1)</f>
        <v>45352</v>
      </c>
      <c r="C441" s="20" t="str">
        <f>TEXT(Daily_Data[[#This Row],[Month_key]],"mmmm")</f>
        <v>March</v>
      </c>
      <c r="D441" s="20" t="str">
        <f>TEXT(Daily_Data[[#This Row],[Month_key]],"yyyy")</f>
        <v>2024</v>
      </c>
      <c r="E441" s="7">
        <v>9</v>
      </c>
      <c r="F441" s="7">
        <v>14</v>
      </c>
      <c r="G441" s="8">
        <f>Daily_Data[[#This Row],[Rooms_Occupied]]/F441</f>
        <v>0.6428571428571429</v>
      </c>
      <c r="H441" s="7">
        <v>1471</v>
      </c>
      <c r="I441" s="7">
        <f>Daily_Data[[#This Row],[Room_rate]]*Daily_Data[[#This Row],[Rooms_Occupied]]</f>
        <v>13239</v>
      </c>
      <c r="J441" s="10">
        <f>Daily_Data[[#This Row],[Total_Sales]] * 0.22</f>
        <v>2912.58</v>
      </c>
      <c r="K441" s="10">
        <f>INDEX(Expense_master[Monthly_Rent],MATCH(Daily_Data[[#This Row],[Month_key]],Expense_master[Month_Key],0)) / INDEX(Expense_master[Days_in_Month],MATCH(Daily_Data[[#This Row],[Month_key]],Expense_master[Month_Key],0))</f>
        <v>6774.1935483870966</v>
      </c>
      <c r="L441" s="10">
        <f>SUMIFS(Expense_master[Staff_Salary],Expense_master[Month_Key],Daily_Data[[#This Row],[Month_key]]) / SUMIFS(Expense_master[Days_in_Month],Expense_master[Month_Key],Daily_Data[[#This Row],[Month_key]])</f>
        <v>2258.0645161290322</v>
      </c>
      <c r="M441" s="10">
        <f>Daily_Data[[#This Row],[Rooms_Occupied]] * (SUMIFS(Expense_master[Housekeeping_Laundy],Expense_master[Month_Key],Daily_Data[[#This Row],[Month_key]]) / SUMIFS(Occupancy_table[Monthly_rooms_Occupied],Occupancy_table[Month_Key],Daily_Data[[#This Row],[Month_key]]))</f>
        <v>268.65671641791045</v>
      </c>
      <c r="N4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1545.2228021184401</v>
      </c>
      <c r="O441" s="10">
        <f>SUMIFS(Expense_master[Monthly_Maintenance],Expense_master[Month_Key],Daily_Data[[#This Row],[Month_key]]) / SUMIFS(Expense_master[Days_in_Month],Expense_master[Month_Key], Daily_Data[[#This Row],[Month_key]])</f>
        <v>645.16129032258061</v>
      </c>
      <c r="P441" s="10">
        <f xml:space="preserve"> Daily_Data[[#This Row],[OTA Commision]] + Daily_Data[[#This Row],[Daily_Rent]]+Daily_Data[[#This Row],[Daily_Staff]]+Daily_Data[[#This Row],[Daily_HK]]+Daily_Data[[#This Row],[Daily_Electricity]] + Daily_Data[[#This Row],[Daily Maintenance]]</f>
        <v>14403.878873375061</v>
      </c>
      <c r="Q441" s="10">
        <f>Daily_Data[[#This Row],[Total_Sales]]-Daily_Data[[#This Row],[Total_Daily_Expense]]</f>
        <v>-1164.8788733750607</v>
      </c>
      <c r="R441" s="10">
        <f>Daily_Data[[#This Row],[Total_Sales]]/Daily_Data[[#This Row],[Rooms_Occupied]]</f>
        <v>1471</v>
      </c>
      <c r="S441" s="10">
        <f>Daily_Data[[#This Row],[Total_Sales]] / Daily_Data[[#This Row],[Max_rooms]]</f>
        <v>945.64285714285711</v>
      </c>
    </row>
    <row r="442" spans="1:19" x14ac:dyDescent="0.25">
      <c r="A442" s="6">
        <v>45367</v>
      </c>
      <c r="B442" s="20">
        <f>DATE(YEAR(Daily_Data[[#This Row],[Date]]), MONTH(Daily_Data[[#This Row],[Date]]), 1)</f>
        <v>45352</v>
      </c>
      <c r="C442" s="20" t="str">
        <f>TEXT(Daily_Data[[#This Row],[Month_key]],"mmmm")</f>
        <v>March</v>
      </c>
      <c r="D442" s="20" t="str">
        <f>TEXT(Daily_Data[[#This Row],[Month_key]],"yyyy")</f>
        <v>2024</v>
      </c>
      <c r="E442" s="7">
        <v>10</v>
      </c>
      <c r="F442" s="7">
        <v>14</v>
      </c>
      <c r="G442" s="8">
        <f>Daily_Data[[#This Row],[Rooms_Occupied]]/F442</f>
        <v>0.7142857142857143</v>
      </c>
      <c r="H442" s="7">
        <v>1259</v>
      </c>
      <c r="I442" s="7">
        <f>Daily_Data[[#This Row],[Room_rate]]*Daily_Data[[#This Row],[Rooms_Occupied]]</f>
        <v>12590</v>
      </c>
      <c r="J442" s="10">
        <f>Daily_Data[[#This Row],[Total_Sales]] * 0.22</f>
        <v>2769.8</v>
      </c>
      <c r="K442" s="10">
        <f>INDEX(Expense_master[Monthly_Rent],MATCH(Daily_Data[[#This Row],[Month_key]],Expense_master[Month_Key],0)) / INDEX(Expense_master[Days_in_Month],MATCH(Daily_Data[[#This Row],[Month_key]],Expense_master[Month_Key],0))</f>
        <v>6774.1935483870966</v>
      </c>
      <c r="L442" s="10">
        <f>SUMIFS(Expense_master[Staff_Salary],Expense_master[Month_Key],Daily_Data[[#This Row],[Month_key]]) / SUMIFS(Expense_master[Days_in_Month],Expense_master[Month_Key],Daily_Data[[#This Row],[Month_key]])</f>
        <v>2258.0645161290322</v>
      </c>
      <c r="M442" s="10">
        <f>Daily_Data[[#This Row],[Rooms_Occupied]] * (SUMIFS(Expense_master[Housekeeping_Laundy],Expense_master[Month_Key],Daily_Data[[#This Row],[Month_key]]) / SUMIFS(Occupancy_table[Monthly_rooms_Occupied],Occupancy_table[Month_Key],Daily_Data[[#This Row],[Month_key]]))</f>
        <v>298.50746268656718</v>
      </c>
      <c r="N4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1640.5816080885893</v>
      </c>
      <c r="O442" s="10">
        <f>SUMIFS(Expense_master[Monthly_Maintenance],Expense_master[Month_Key],Daily_Data[[#This Row],[Month_key]]) / SUMIFS(Expense_master[Days_in_Month],Expense_master[Month_Key], Daily_Data[[#This Row],[Month_key]])</f>
        <v>645.16129032258061</v>
      </c>
      <c r="P442" s="10">
        <f xml:space="preserve"> Daily_Data[[#This Row],[OTA Commision]] + Daily_Data[[#This Row],[Daily_Rent]]+Daily_Data[[#This Row],[Daily_Staff]]+Daily_Data[[#This Row],[Daily_HK]]+Daily_Data[[#This Row],[Daily_Electricity]] + Daily_Data[[#This Row],[Daily Maintenance]]</f>
        <v>14386.308425613868</v>
      </c>
      <c r="Q442" s="10">
        <f>Daily_Data[[#This Row],[Total_Sales]]-Daily_Data[[#This Row],[Total_Daily_Expense]]</f>
        <v>-1796.3084256138682</v>
      </c>
      <c r="R442" s="10">
        <f>Daily_Data[[#This Row],[Total_Sales]]/Daily_Data[[#This Row],[Rooms_Occupied]]</f>
        <v>1259</v>
      </c>
      <c r="S442" s="10">
        <f>Daily_Data[[#This Row],[Total_Sales]] / Daily_Data[[#This Row],[Max_rooms]]</f>
        <v>899.28571428571433</v>
      </c>
    </row>
    <row r="443" spans="1:19" x14ac:dyDescent="0.25">
      <c r="A443" s="6">
        <v>45368</v>
      </c>
      <c r="B443" s="20">
        <f>DATE(YEAR(Daily_Data[[#This Row],[Date]]), MONTH(Daily_Data[[#This Row],[Date]]), 1)</f>
        <v>45352</v>
      </c>
      <c r="C443" s="20" t="str">
        <f>TEXT(Daily_Data[[#This Row],[Month_key]],"mmmm")</f>
        <v>March</v>
      </c>
      <c r="D443" s="20" t="str">
        <f>TEXT(Daily_Data[[#This Row],[Month_key]],"yyyy")</f>
        <v>2024</v>
      </c>
      <c r="E443" s="7">
        <v>13</v>
      </c>
      <c r="F443" s="7">
        <v>14</v>
      </c>
      <c r="G443" s="8">
        <f>Daily_Data[[#This Row],[Rooms_Occupied]]/F443</f>
        <v>0.9285714285714286</v>
      </c>
      <c r="H443" s="7">
        <v>1865</v>
      </c>
      <c r="I443" s="7">
        <f>Daily_Data[[#This Row],[Room_rate]]*Daily_Data[[#This Row],[Rooms_Occupied]]</f>
        <v>24245</v>
      </c>
      <c r="J443" s="10">
        <f>Daily_Data[[#This Row],[Total_Sales]] * 0.22</f>
        <v>5333.9</v>
      </c>
      <c r="K443" s="10">
        <f>INDEX(Expense_master[Monthly_Rent],MATCH(Daily_Data[[#This Row],[Month_key]],Expense_master[Month_Key],0)) / INDEX(Expense_master[Days_in_Month],MATCH(Daily_Data[[#This Row],[Month_key]],Expense_master[Month_Key],0))</f>
        <v>6774.1935483870966</v>
      </c>
      <c r="L443" s="10">
        <f>SUMIFS(Expense_master[Staff_Salary],Expense_master[Month_Key],Daily_Data[[#This Row],[Month_key]]) / SUMIFS(Expense_master[Days_in_Month],Expense_master[Month_Key],Daily_Data[[#This Row],[Month_key]])</f>
        <v>2258.0645161290322</v>
      </c>
      <c r="M443" s="10">
        <f>Daily_Data[[#This Row],[Rooms_Occupied]] * (SUMIFS(Expense_master[Housekeeping_Laundy],Expense_master[Month_Key],Daily_Data[[#This Row],[Month_key]]) / SUMIFS(Occupancy_table[Monthly_rooms_Occupied],Occupancy_table[Month_Key],Daily_Data[[#This Row],[Month_key]]))</f>
        <v>388.05970149253733</v>
      </c>
      <c r="N4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1926.6580259990369</v>
      </c>
      <c r="O443" s="10">
        <f>SUMIFS(Expense_master[Monthly_Maintenance],Expense_master[Month_Key],Daily_Data[[#This Row],[Month_key]]) / SUMIFS(Expense_master[Days_in_Month],Expense_master[Month_Key], Daily_Data[[#This Row],[Month_key]])</f>
        <v>645.16129032258061</v>
      </c>
      <c r="P443" s="10">
        <f xml:space="preserve"> Daily_Data[[#This Row],[OTA Commision]] + Daily_Data[[#This Row],[Daily_Rent]]+Daily_Data[[#This Row],[Daily_Staff]]+Daily_Data[[#This Row],[Daily_HK]]+Daily_Data[[#This Row],[Daily_Electricity]] + Daily_Data[[#This Row],[Daily Maintenance]]</f>
        <v>17326.037082330284</v>
      </c>
      <c r="Q443" s="10">
        <f>Daily_Data[[#This Row],[Total_Sales]]-Daily_Data[[#This Row],[Total_Daily_Expense]]</f>
        <v>6918.9629176697163</v>
      </c>
      <c r="R443" s="10">
        <f>Daily_Data[[#This Row],[Total_Sales]]/Daily_Data[[#This Row],[Rooms_Occupied]]</f>
        <v>1865</v>
      </c>
      <c r="S443" s="10">
        <f>Daily_Data[[#This Row],[Total_Sales]] / Daily_Data[[#This Row],[Max_rooms]]</f>
        <v>1731.7857142857142</v>
      </c>
    </row>
    <row r="444" spans="1:19" x14ac:dyDescent="0.25">
      <c r="A444" s="6">
        <v>45369</v>
      </c>
      <c r="B444" s="20">
        <f>DATE(YEAR(Daily_Data[[#This Row],[Date]]), MONTH(Daily_Data[[#This Row],[Date]]), 1)</f>
        <v>45352</v>
      </c>
      <c r="C444" s="20" t="str">
        <f>TEXT(Daily_Data[[#This Row],[Month_key]],"mmmm")</f>
        <v>March</v>
      </c>
      <c r="D444" s="20" t="str">
        <f>TEXT(Daily_Data[[#This Row],[Month_key]],"yyyy")</f>
        <v>2024</v>
      </c>
      <c r="E444" s="7">
        <v>9</v>
      </c>
      <c r="F444" s="7">
        <v>14</v>
      </c>
      <c r="G444" s="8">
        <f>Daily_Data[[#This Row],[Rooms_Occupied]]/F444</f>
        <v>0.6428571428571429</v>
      </c>
      <c r="H444" s="7">
        <v>1549</v>
      </c>
      <c r="I444" s="7">
        <f>Daily_Data[[#This Row],[Room_rate]]*Daily_Data[[#This Row],[Rooms_Occupied]]</f>
        <v>13941</v>
      </c>
      <c r="J444" s="10">
        <f>Daily_Data[[#This Row],[Total_Sales]] * 0.22</f>
        <v>3067.02</v>
      </c>
      <c r="K444" s="10">
        <f>INDEX(Expense_master[Monthly_Rent],MATCH(Daily_Data[[#This Row],[Month_key]],Expense_master[Month_Key],0)) / INDEX(Expense_master[Days_in_Month],MATCH(Daily_Data[[#This Row],[Month_key]],Expense_master[Month_Key],0))</f>
        <v>6774.1935483870966</v>
      </c>
      <c r="L444" s="10">
        <f>SUMIFS(Expense_master[Staff_Salary],Expense_master[Month_Key],Daily_Data[[#This Row],[Month_key]]) / SUMIFS(Expense_master[Days_in_Month],Expense_master[Month_Key],Daily_Data[[#This Row],[Month_key]])</f>
        <v>2258.0645161290322</v>
      </c>
      <c r="M444" s="10">
        <f>Daily_Data[[#This Row],[Rooms_Occupied]] * (SUMIFS(Expense_master[Housekeeping_Laundy],Expense_master[Month_Key],Daily_Data[[#This Row],[Month_key]]) / SUMIFS(Occupancy_table[Monthly_rooms_Occupied],Occupancy_table[Month_Key],Daily_Data[[#This Row],[Month_key]]))</f>
        <v>268.65671641791045</v>
      </c>
      <c r="N4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1545.2228021184401</v>
      </c>
      <c r="O444" s="10">
        <f>SUMIFS(Expense_master[Monthly_Maintenance],Expense_master[Month_Key],Daily_Data[[#This Row],[Month_key]]) / SUMIFS(Expense_master[Days_in_Month],Expense_master[Month_Key], Daily_Data[[#This Row],[Month_key]])</f>
        <v>645.16129032258061</v>
      </c>
      <c r="P444" s="10">
        <f xml:space="preserve"> Daily_Data[[#This Row],[OTA Commision]] + Daily_Data[[#This Row],[Daily_Rent]]+Daily_Data[[#This Row],[Daily_Staff]]+Daily_Data[[#This Row],[Daily_HK]]+Daily_Data[[#This Row],[Daily_Electricity]] + Daily_Data[[#This Row],[Daily Maintenance]]</f>
        <v>14558.318873375061</v>
      </c>
      <c r="Q444" s="10">
        <f>Daily_Data[[#This Row],[Total_Sales]]-Daily_Data[[#This Row],[Total_Daily_Expense]]</f>
        <v>-617.31887337506123</v>
      </c>
      <c r="R444" s="10">
        <f>Daily_Data[[#This Row],[Total_Sales]]/Daily_Data[[#This Row],[Rooms_Occupied]]</f>
        <v>1549</v>
      </c>
      <c r="S444" s="10">
        <f>Daily_Data[[#This Row],[Total_Sales]] / Daily_Data[[#This Row],[Max_rooms]]</f>
        <v>995.78571428571433</v>
      </c>
    </row>
    <row r="445" spans="1:19" x14ac:dyDescent="0.25">
      <c r="A445" s="6">
        <v>45370</v>
      </c>
      <c r="B445" s="20">
        <f>DATE(YEAR(Daily_Data[[#This Row],[Date]]), MONTH(Daily_Data[[#This Row],[Date]]), 1)</f>
        <v>45352</v>
      </c>
      <c r="C445" s="20" t="str">
        <f>TEXT(Daily_Data[[#This Row],[Month_key]],"mmmm")</f>
        <v>March</v>
      </c>
      <c r="D445" s="20" t="str">
        <f>TEXT(Daily_Data[[#This Row],[Month_key]],"yyyy")</f>
        <v>2024</v>
      </c>
      <c r="E445" s="7">
        <v>8</v>
      </c>
      <c r="F445" s="7">
        <v>14</v>
      </c>
      <c r="G445" s="8">
        <f>Daily_Data[[#This Row],[Rooms_Occupied]]/F445</f>
        <v>0.5714285714285714</v>
      </c>
      <c r="H445" s="7">
        <v>1559</v>
      </c>
      <c r="I445" s="7">
        <f>Daily_Data[[#This Row],[Room_rate]]*Daily_Data[[#This Row],[Rooms_Occupied]]</f>
        <v>12472</v>
      </c>
      <c r="J445" s="10">
        <f>Daily_Data[[#This Row],[Total_Sales]] * 0.22</f>
        <v>2743.84</v>
      </c>
      <c r="K445" s="10">
        <f>INDEX(Expense_master[Monthly_Rent],MATCH(Daily_Data[[#This Row],[Month_key]],Expense_master[Month_Key],0)) / INDEX(Expense_master[Days_in_Month],MATCH(Daily_Data[[#This Row],[Month_key]],Expense_master[Month_Key],0))</f>
        <v>6774.1935483870966</v>
      </c>
      <c r="L445" s="10">
        <f>SUMIFS(Expense_master[Staff_Salary],Expense_master[Month_Key],Daily_Data[[#This Row],[Month_key]]) / SUMIFS(Expense_master[Days_in_Month],Expense_master[Month_Key],Daily_Data[[#This Row],[Month_key]])</f>
        <v>2258.0645161290322</v>
      </c>
      <c r="M445" s="10">
        <f>Daily_Data[[#This Row],[Rooms_Occupied]] * (SUMIFS(Expense_master[Housekeeping_Laundy],Expense_master[Month_Key],Daily_Data[[#This Row],[Month_key]]) / SUMIFS(Occupancy_table[Monthly_rooms_Occupied],Occupancy_table[Month_Key],Daily_Data[[#This Row],[Month_key]]))</f>
        <v>238.80597014925374</v>
      </c>
      <c r="N4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1449.8639961482909</v>
      </c>
      <c r="O445" s="10">
        <f>SUMIFS(Expense_master[Monthly_Maintenance],Expense_master[Month_Key],Daily_Data[[#This Row],[Month_key]]) / SUMIFS(Expense_master[Days_in_Month],Expense_master[Month_Key], Daily_Data[[#This Row],[Month_key]])</f>
        <v>645.16129032258061</v>
      </c>
      <c r="P445" s="10">
        <f xml:space="preserve"> Daily_Data[[#This Row],[OTA Commision]] + Daily_Data[[#This Row],[Daily_Rent]]+Daily_Data[[#This Row],[Daily_Staff]]+Daily_Data[[#This Row],[Daily_HK]]+Daily_Data[[#This Row],[Daily_Electricity]] + Daily_Data[[#This Row],[Daily Maintenance]]</f>
        <v>14109.929321136255</v>
      </c>
      <c r="Q445" s="10">
        <f>Daily_Data[[#This Row],[Total_Sales]]-Daily_Data[[#This Row],[Total_Daily_Expense]]</f>
        <v>-1637.9293211362547</v>
      </c>
      <c r="R445" s="10">
        <f>Daily_Data[[#This Row],[Total_Sales]]/Daily_Data[[#This Row],[Rooms_Occupied]]</f>
        <v>1559</v>
      </c>
      <c r="S445" s="10">
        <f>Daily_Data[[#This Row],[Total_Sales]] / Daily_Data[[#This Row],[Max_rooms]]</f>
        <v>890.85714285714289</v>
      </c>
    </row>
    <row r="446" spans="1:19" x14ac:dyDescent="0.25">
      <c r="A446" s="6">
        <v>45371</v>
      </c>
      <c r="B446" s="20">
        <f>DATE(YEAR(Daily_Data[[#This Row],[Date]]), MONTH(Daily_Data[[#This Row],[Date]]), 1)</f>
        <v>45352</v>
      </c>
      <c r="C446" s="20" t="str">
        <f>TEXT(Daily_Data[[#This Row],[Month_key]],"mmmm")</f>
        <v>March</v>
      </c>
      <c r="D446" s="20" t="str">
        <f>TEXT(Daily_Data[[#This Row],[Month_key]],"yyyy")</f>
        <v>2024</v>
      </c>
      <c r="E446" s="7">
        <v>8</v>
      </c>
      <c r="F446" s="7">
        <v>14</v>
      </c>
      <c r="G446" s="8">
        <f>Daily_Data[[#This Row],[Rooms_Occupied]]/F446</f>
        <v>0.5714285714285714</v>
      </c>
      <c r="H446" s="7">
        <v>1473</v>
      </c>
      <c r="I446" s="7">
        <f>Daily_Data[[#This Row],[Room_rate]]*Daily_Data[[#This Row],[Rooms_Occupied]]</f>
        <v>11784</v>
      </c>
      <c r="J446" s="10">
        <f>Daily_Data[[#This Row],[Total_Sales]] * 0.22</f>
        <v>2592.48</v>
      </c>
      <c r="K446" s="10">
        <f>INDEX(Expense_master[Monthly_Rent],MATCH(Daily_Data[[#This Row],[Month_key]],Expense_master[Month_Key],0)) / INDEX(Expense_master[Days_in_Month],MATCH(Daily_Data[[#This Row],[Month_key]],Expense_master[Month_Key],0))</f>
        <v>6774.1935483870966</v>
      </c>
      <c r="L446" s="10">
        <f>SUMIFS(Expense_master[Staff_Salary],Expense_master[Month_Key],Daily_Data[[#This Row],[Month_key]]) / SUMIFS(Expense_master[Days_in_Month],Expense_master[Month_Key],Daily_Data[[#This Row],[Month_key]])</f>
        <v>2258.0645161290322</v>
      </c>
      <c r="M446" s="10">
        <f>Daily_Data[[#This Row],[Rooms_Occupied]] * (SUMIFS(Expense_master[Housekeeping_Laundy],Expense_master[Month_Key],Daily_Data[[#This Row],[Month_key]]) / SUMIFS(Occupancy_table[Monthly_rooms_Occupied],Occupancy_table[Month_Key],Daily_Data[[#This Row],[Month_key]]))</f>
        <v>238.80597014925374</v>
      </c>
      <c r="N4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1449.8639961482909</v>
      </c>
      <c r="O446" s="10">
        <f>SUMIFS(Expense_master[Monthly_Maintenance],Expense_master[Month_Key],Daily_Data[[#This Row],[Month_key]]) / SUMIFS(Expense_master[Days_in_Month],Expense_master[Month_Key], Daily_Data[[#This Row],[Month_key]])</f>
        <v>645.16129032258061</v>
      </c>
      <c r="P446" s="10">
        <f xml:space="preserve"> Daily_Data[[#This Row],[OTA Commision]] + Daily_Data[[#This Row],[Daily_Rent]]+Daily_Data[[#This Row],[Daily_Staff]]+Daily_Data[[#This Row],[Daily_HK]]+Daily_Data[[#This Row],[Daily_Electricity]] + Daily_Data[[#This Row],[Daily Maintenance]]</f>
        <v>13958.569321136254</v>
      </c>
      <c r="Q446" s="10">
        <f>Daily_Data[[#This Row],[Total_Sales]]-Daily_Data[[#This Row],[Total_Daily_Expense]]</f>
        <v>-2174.5693211362541</v>
      </c>
      <c r="R446" s="10">
        <f>Daily_Data[[#This Row],[Total_Sales]]/Daily_Data[[#This Row],[Rooms_Occupied]]</f>
        <v>1473</v>
      </c>
      <c r="S446" s="10">
        <f>Daily_Data[[#This Row],[Total_Sales]] / Daily_Data[[#This Row],[Max_rooms]]</f>
        <v>841.71428571428567</v>
      </c>
    </row>
    <row r="447" spans="1:19" x14ac:dyDescent="0.25">
      <c r="A447" s="6">
        <v>45372</v>
      </c>
      <c r="B447" s="20">
        <f>DATE(YEAR(Daily_Data[[#This Row],[Date]]), MONTH(Daily_Data[[#This Row],[Date]]), 1)</f>
        <v>45352</v>
      </c>
      <c r="C447" s="20" t="str">
        <f>TEXT(Daily_Data[[#This Row],[Month_key]],"mmmm")</f>
        <v>March</v>
      </c>
      <c r="D447" s="20" t="str">
        <f>TEXT(Daily_Data[[#This Row],[Month_key]],"yyyy")</f>
        <v>2024</v>
      </c>
      <c r="E447" s="7">
        <v>13</v>
      </c>
      <c r="F447" s="7">
        <v>14</v>
      </c>
      <c r="G447" s="8">
        <f>Daily_Data[[#This Row],[Rooms_Occupied]]/F447</f>
        <v>0.9285714285714286</v>
      </c>
      <c r="H447" s="7">
        <v>1192</v>
      </c>
      <c r="I447" s="7">
        <f>Daily_Data[[#This Row],[Room_rate]]*Daily_Data[[#This Row],[Rooms_Occupied]]</f>
        <v>15496</v>
      </c>
      <c r="J447" s="10">
        <f>Daily_Data[[#This Row],[Total_Sales]] * 0.22</f>
        <v>3409.12</v>
      </c>
      <c r="K447" s="10">
        <f>INDEX(Expense_master[Monthly_Rent],MATCH(Daily_Data[[#This Row],[Month_key]],Expense_master[Month_Key],0)) / INDEX(Expense_master[Days_in_Month],MATCH(Daily_Data[[#This Row],[Month_key]],Expense_master[Month_Key],0))</f>
        <v>6774.1935483870966</v>
      </c>
      <c r="L447" s="10">
        <f>SUMIFS(Expense_master[Staff_Salary],Expense_master[Month_Key],Daily_Data[[#This Row],[Month_key]]) / SUMIFS(Expense_master[Days_in_Month],Expense_master[Month_Key],Daily_Data[[#This Row],[Month_key]])</f>
        <v>2258.0645161290322</v>
      </c>
      <c r="M447" s="10">
        <f>Daily_Data[[#This Row],[Rooms_Occupied]] * (SUMIFS(Expense_master[Housekeeping_Laundy],Expense_master[Month_Key],Daily_Data[[#This Row],[Month_key]]) / SUMIFS(Occupancy_table[Monthly_rooms_Occupied],Occupancy_table[Month_Key],Daily_Data[[#This Row],[Month_key]]))</f>
        <v>388.05970149253733</v>
      </c>
      <c r="N4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1926.6580259990369</v>
      </c>
      <c r="O447" s="10">
        <f>SUMIFS(Expense_master[Monthly_Maintenance],Expense_master[Month_Key],Daily_Data[[#This Row],[Month_key]]) / SUMIFS(Expense_master[Days_in_Month],Expense_master[Month_Key], Daily_Data[[#This Row],[Month_key]])</f>
        <v>645.16129032258061</v>
      </c>
      <c r="P447" s="10">
        <f xml:space="preserve"> Daily_Data[[#This Row],[OTA Commision]] + Daily_Data[[#This Row],[Daily_Rent]]+Daily_Data[[#This Row],[Daily_Staff]]+Daily_Data[[#This Row],[Daily_HK]]+Daily_Data[[#This Row],[Daily_Electricity]] + Daily_Data[[#This Row],[Daily Maintenance]]</f>
        <v>15401.257082330285</v>
      </c>
      <c r="Q447" s="10">
        <f>Daily_Data[[#This Row],[Total_Sales]]-Daily_Data[[#This Row],[Total_Daily_Expense]]</f>
        <v>94.742917669715098</v>
      </c>
      <c r="R447" s="10">
        <f>Daily_Data[[#This Row],[Total_Sales]]/Daily_Data[[#This Row],[Rooms_Occupied]]</f>
        <v>1192</v>
      </c>
      <c r="S447" s="10">
        <f>Daily_Data[[#This Row],[Total_Sales]] / Daily_Data[[#This Row],[Max_rooms]]</f>
        <v>1106.8571428571429</v>
      </c>
    </row>
    <row r="448" spans="1:19" x14ac:dyDescent="0.25">
      <c r="A448" s="6">
        <v>45373</v>
      </c>
      <c r="B448" s="20">
        <f>DATE(YEAR(Daily_Data[[#This Row],[Date]]), MONTH(Daily_Data[[#This Row],[Date]]), 1)</f>
        <v>45352</v>
      </c>
      <c r="C448" s="20" t="str">
        <f>TEXT(Daily_Data[[#This Row],[Month_key]],"mmmm")</f>
        <v>March</v>
      </c>
      <c r="D448" s="20" t="str">
        <f>TEXT(Daily_Data[[#This Row],[Month_key]],"yyyy")</f>
        <v>2024</v>
      </c>
      <c r="E448" s="7">
        <v>12</v>
      </c>
      <c r="F448" s="7">
        <v>14</v>
      </c>
      <c r="G448" s="8">
        <f>Daily_Data[[#This Row],[Rooms_Occupied]]/F448</f>
        <v>0.8571428571428571</v>
      </c>
      <c r="H448" s="7">
        <v>1370</v>
      </c>
      <c r="I448" s="7">
        <f>Daily_Data[[#This Row],[Room_rate]]*Daily_Data[[#This Row],[Rooms_Occupied]]</f>
        <v>16440</v>
      </c>
      <c r="J448" s="10">
        <f>Daily_Data[[#This Row],[Total_Sales]] * 0.22</f>
        <v>3616.8</v>
      </c>
      <c r="K448" s="10">
        <f>INDEX(Expense_master[Monthly_Rent],MATCH(Daily_Data[[#This Row],[Month_key]],Expense_master[Month_Key],0)) / INDEX(Expense_master[Days_in_Month],MATCH(Daily_Data[[#This Row],[Month_key]],Expense_master[Month_Key],0))</f>
        <v>6774.1935483870966</v>
      </c>
      <c r="L448" s="10">
        <f>SUMIFS(Expense_master[Staff_Salary],Expense_master[Month_Key],Daily_Data[[#This Row],[Month_key]]) / SUMIFS(Expense_master[Days_in_Month],Expense_master[Month_Key],Daily_Data[[#This Row],[Month_key]])</f>
        <v>2258.0645161290322</v>
      </c>
      <c r="M448" s="10">
        <f>Daily_Data[[#This Row],[Rooms_Occupied]] * (SUMIFS(Expense_master[Housekeeping_Laundy],Expense_master[Month_Key],Daily_Data[[#This Row],[Month_key]]) / SUMIFS(Occupancy_table[Monthly_rooms_Occupied],Occupancy_table[Month_Key],Daily_Data[[#This Row],[Month_key]]))</f>
        <v>358.20895522388059</v>
      </c>
      <c r="N4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1831.2992200288877</v>
      </c>
      <c r="O448" s="10">
        <f>SUMIFS(Expense_master[Monthly_Maintenance],Expense_master[Month_Key],Daily_Data[[#This Row],[Month_key]]) / SUMIFS(Expense_master[Days_in_Month],Expense_master[Month_Key], Daily_Data[[#This Row],[Month_key]])</f>
        <v>645.16129032258061</v>
      </c>
      <c r="P448" s="10">
        <f xml:space="preserve"> Daily_Data[[#This Row],[OTA Commision]] + Daily_Data[[#This Row],[Daily_Rent]]+Daily_Data[[#This Row],[Daily_Staff]]+Daily_Data[[#This Row],[Daily_HK]]+Daily_Data[[#This Row],[Daily_Electricity]] + Daily_Data[[#This Row],[Daily Maintenance]]</f>
        <v>15483.727530091481</v>
      </c>
      <c r="Q448" s="10">
        <f>Daily_Data[[#This Row],[Total_Sales]]-Daily_Data[[#This Row],[Total_Daily_Expense]]</f>
        <v>956.27246990851927</v>
      </c>
      <c r="R448" s="10">
        <f>Daily_Data[[#This Row],[Total_Sales]]/Daily_Data[[#This Row],[Rooms_Occupied]]</f>
        <v>1370</v>
      </c>
      <c r="S448" s="10">
        <f>Daily_Data[[#This Row],[Total_Sales]] / Daily_Data[[#This Row],[Max_rooms]]</f>
        <v>1174.2857142857142</v>
      </c>
    </row>
    <row r="449" spans="1:19" x14ac:dyDescent="0.25">
      <c r="A449" s="6">
        <v>45374</v>
      </c>
      <c r="B449" s="20">
        <f>DATE(YEAR(Daily_Data[[#This Row],[Date]]), MONTH(Daily_Data[[#This Row],[Date]]), 1)</f>
        <v>45352</v>
      </c>
      <c r="C449" s="20" t="str">
        <f>TEXT(Daily_Data[[#This Row],[Month_key]],"mmmm")</f>
        <v>March</v>
      </c>
      <c r="D449" s="20" t="str">
        <f>TEXT(Daily_Data[[#This Row],[Month_key]],"yyyy")</f>
        <v>2024</v>
      </c>
      <c r="E449" s="7">
        <v>13</v>
      </c>
      <c r="F449" s="7">
        <v>14</v>
      </c>
      <c r="G449" s="8">
        <f>Daily_Data[[#This Row],[Rooms_Occupied]]/F449</f>
        <v>0.9285714285714286</v>
      </c>
      <c r="H449" s="7">
        <v>1578</v>
      </c>
      <c r="I449" s="7">
        <f>Daily_Data[[#This Row],[Room_rate]]*Daily_Data[[#This Row],[Rooms_Occupied]]</f>
        <v>20514</v>
      </c>
      <c r="J449" s="10">
        <f>Daily_Data[[#This Row],[Total_Sales]] * 0.22</f>
        <v>4513.08</v>
      </c>
      <c r="K449" s="10">
        <f>INDEX(Expense_master[Monthly_Rent],MATCH(Daily_Data[[#This Row],[Month_key]],Expense_master[Month_Key],0)) / INDEX(Expense_master[Days_in_Month],MATCH(Daily_Data[[#This Row],[Month_key]],Expense_master[Month_Key],0))</f>
        <v>6774.1935483870966</v>
      </c>
      <c r="L449" s="10">
        <f>SUMIFS(Expense_master[Staff_Salary],Expense_master[Month_Key],Daily_Data[[#This Row],[Month_key]]) / SUMIFS(Expense_master[Days_in_Month],Expense_master[Month_Key],Daily_Data[[#This Row],[Month_key]])</f>
        <v>2258.0645161290322</v>
      </c>
      <c r="M449" s="10">
        <f>Daily_Data[[#This Row],[Rooms_Occupied]] * (SUMIFS(Expense_master[Housekeeping_Laundy],Expense_master[Month_Key],Daily_Data[[#This Row],[Month_key]]) / SUMIFS(Occupancy_table[Monthly_rooms_Occupied],Occupancy_table[Month_Key],Daily_Data[[#This Row],[Month_key]]))</f>
        <v>388.05970149253733</v>
      </c>
      <c r="N4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1926.6580259990369</v>
      </c>
      <c r="O449" s="10">
        <f>SUMIFS(Expense_master[Monthly_Maintenance],Expense_master[Month_Key],Daily_Data[[#This Row],[Month_key]]) / SUMIFS(Expense_master[Days_in_Month],Expense_master[Month_Key], Daily_Data[[#This Row],[Month_key]])</f>
        <v>645.16129032258061</v>
      </c>
      <c r="P449" s="10">
        <f xml:space="preserve"> Daily_Data[[#This Row],[OTA Commision]] + Daily_Data[[#This Row],[Daily_Rent]]+Daily_Data[[#This Row],[Daily_Staff]]+Daily_Data[[#This Row],[Daily_HK]]+Daily_Data[[#This Row],[Daily_Electricity]] + Daily_Data[[#This Row],[Daily Maintenance]]</f>
        <v>16505.217082330284</v>
      </c>
      <c r="Q449" s="10">
        <f>Daily_Data[[#This Row],[Total_Sales]]-Daily_Data[[#This Row],[Total_Daily_Expense]]</f>
        <v>4008.782917669716</v>
      </c>
      <c r="R449" s="10">
        <f>Daily_Data[[#This Row],[Total_Sales]]/Daily_Data[[#This Row],[Rooms_Occupied]]</f>
        <v>1578</v>
      </c>
      <c r="S449" s="10">
        <f>Daily_Data[[#This Row],[Total_Sales]] / Daily_Data[[#This Row],[Max_rooms]]</f>
        <v>1465.2857142857142</v>
      </c>
    </row>
    <row r="450" spans="1:19" x14ac:dyDescent="0.25">
      <c r="A450" s="6">
        <v>45375</v>
      </c>
      <c r="B450" s="20">
        <f>DATE(YEAR(Daily_Data[[#This Row],[Date]]), MONTH(Daily_Data[[#This Row],[Date]]), 1)</f>
        <v>45352</v>
      </c>
      <c r="C450" s="20" t="str">
        <f>TEXT(Daily_Data[[#This Row],[Month_key]],"mmmm")</f>
        <v>March</v>
      </c>
      <c r="D450" s="20" t="str">
        <f>TEXT(Daily_Data[[#This Row],[Month_key]],"yyyy")</f>
        <v>2024</v>
      </c>
      <c r="E450" s="7">
        <v>12</v>
      </c>
      <c r="F450" s="7">
        <v>14</v>
      </c>
      <c r="G450" s="8">
        <f>Daily_Data[[#This Row],[Rooms_Occupied]]/F450</f>
        <v>0.8571428571428571</v>
      </c>
      <c r="H450" s="7">
        <v>1831</v>
      </c>
      <c r="I450" s="7">
        <f>Daily_Data[[#This Row],[Room_rate]]*Daily_Data[[#This Row],[Rooms_Occupied]]</f>
        <v>21972</v>
      </c>
      <c r="J450" s="10">
        <f>Daily_Data[[#This Row],[Total_Sales]] * 0.22</f>
        <v>4833.84</v>
      </c>
      <c r="K450" s="10">
        <f>INDEX(Expense_master[Monthly_Rent],MATCH(Daily_Data[[#This Row],[Month_key]],Expense_master[Month_Key],0)) / INDEX(Expense_master[Days_in_Month],MATCH(Daily_Data[[#This Row],[Month_key]],Expense_master[Month_Key],0))</f>
        <v>6774.1935483870966</v>
      </c>
      <c r="L450" s="10">
        <f>SUMIFS(Expense_master[Staff_Salary],Expense_master[Month_Key],Daily_Data[[#This Row],[Month_key]]) / SUMIFS(Expense_master[Days_in_Month],Expense_master[Month_Key],Daily_Data[[#This Row],[Month_key]])</f>
        <v>2258.0645161290322</v>
      </c>
      <c r="M450" s="10">
        <f>Daily_Data[[#This Row],[Rooms_Occupied]] * (SUMIFS(Expense_master[Housekeeping_Laundy],Expense_master[Month_Key],Daily_Data[[#This Row],[Month_key]]) / SUMIFS(Occupancy_table[Monthly_rooms_Occupied],Occupancy_table[Month_Key],Daily_Data[[#This Row],[Month_key]]))</f>
        <v>358.20895522388059</v>
      </c>
      <c r="N4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1831.2992200288877</v>
      </c>
      <c r="O450" s="10">
        <f>SUMIFS(Expense_master[Monthly_Maintenance],Expense_master[Month_Key],Daily_Data[[#This Row],[Month_key]]) / SUMIFS(Expense_master[Days_in_Month],Expense_master[Month_Key], Daily_Data[[#This Row],[Month_key]])</f>
        <v>645.16129032258061</v>
      </c>
      <c r="P450" s="10">
        <f xml:space="preserve"> Daily_Data[[#This Row],[OTA Commision]] + Daily_Data[[#This Row],[Daily_Rent]]+Daily_Data[[#This Row],[Daily_Staff]]+Daily_Data[[#This Row],[Daily_HK]]+Daily_Data[[#This Row],[Daily_Electricity]] + Daily_Data[[#This Row],[Daily Maintenance]]</f>
        <v>16700.767530091478</v>
      </c>
      <c r="Q450" s="10">
        <f>Daily_Data[[#This Row],[Total_Sales]]-Daily_Data[[#This Row],[Total_Daily_Expense]]</f>
        <v>5271.232469908522</v>
      </c>
      <c r="R450" s="10">
        <f>Daily_Data[[#This Row],[Total_Sales]]/Daily_Data[[#This Row],[Rooms_Occupied]]</f>
        <v>1831</v>
      </c>
      <c r="S450" s="10">
        <f>Daily_Data[[#This Row],[Total_Sales]] / Daily_Data[[#This Row],[Max_rooms]]</f>
        <v>1569.4285714285713</v>
      </c>
    </row>
    <row r="451" spans="1:19" x14ac:dyDescent="0.25">
      <c r="A451" s="6">
        <v>45376</v>
      </c>
      <c r="B451" s="20">
        <f>DATE(YEAR(Daily_Data[[#This Row],[Date]]), MONTH(Daily_Data[[#This Row],[Date]]), 1)</f>
        <v>45352</v>
      </c>
      <c r="C451" s="20" t="str">
        <f>TEXT(Daily_Data[[#This Row],[Month_key]],"mmmm")</f>
        <v>March</v>
      </c>
      <c r="D451" s="20" t="str">
        <f>TEXT(Daily_Data[[#This Row],[Month_key]],"yyyy")</f>
        <v>2024</v>
      </c>
      <c r="E451" s="7">
        <v>11</v>
      </c>
      <c r="F451" s="7">
        <v>14</v>
      </c>
      <c r="G451" s="8">
        <f>Daily_Data[[#This Row],[Rooms_Occupied]]/F451</f>
        <v>0.7857142857142857</v>
      </c>
      <c r="H451" s="7">
        <v>1889</v>
      </c>
      <c r="I451" s="7">
        <f>Daily_Data[[#This Row],[Room_rate]]*Daily_Data[[#This Row],[Rooms_Occupied]]</f>
        <v>20779</v>
      </c>
      <c r="J451" s="10">
        <f>Daily_Data[[#This Row],[Total_Sales]] * 0.22</f>
        <v>4571.38</v>
      </c>
      <c r="K451" s="10">
        <f>INDEX(Expense_master[Monthly_Rent],MATCH(Daily_Data[[#This Row],[Month_key]],Expense_master[Month_Key],0)) / INDEX(Expense_master[Days_in_Month],MATCH(Daily_Data[[#This Row],[Month_key]],Expense_master[Month_Key],0))</f>
        <v>6774.1935483870966</v>
      </c>
      <c r="L451" s="10">
        <f>SUMIFS(Expense_master[Staff_Salary],Expense_master[Month_Key],Daily_Data[[#This Row],[Month_key]]) / SUMIFS(Expense_master[Days_in_Month],Expense_master[Month_Key],Daily_Data[[#This Row],[Month_key]])</f>
        <v>2258.0645161290322</v>
      </c>
      <c r="M451" s="10">
        <f>Daily_Data[[#This Row],[Rooms_Occupied]] * (SUMIFS(Expense_master[Housekeeping_Laundy],Expense_master[Month_Key],Daily_Data[[#This Row],[Month_key]]) / SUMIFS(Occupancy_table[Monthly_rooms_Occupied],Occupancy_table[Month_Key],Daily_Data[[#This Row],[Month_key]]))</f>
        <v>328.35820895522392</v>
      </c>
      <c r="N4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1735.9404140587385</v>
      </c>
      <c r="O451" s="10">
        <f>SUMIFS(Expense_master[Monthly_Maintenance],Expense_master[Month_Key],Daily_Data[[#This Row],[Month_key]]) / SUMIFS(Expense_master[Days_in_Month],Expense_master[Month_Key], Daily_Data[[#This Row],[Month_key]])</f>
        <v>645.16129032258061</v>
      </c>
      <c r="P451" s="10">
        <f xml:space="preserve"> Daily_Data[[#This Row],[OTA Commision]] + Daily_Data[[#This Row],[Daily_Rent]]+Daily_Data[[#This Row],[Daily_Staff]]+Daily_Data[[#This Row],[Daily_HK]]+Daily_Data[[#This Row],[Daily_Electricity]] + Daily_Data[[#This Row],[Daily Maintenance]]</f>
        <v>16313.097977852673</v>
      </c>
      <c r="Q451" s="10">
        <f>Daily_Data[[#This Row],[Total_Sales]]-Daily_Data[[#This Row],[Total_Daily_Expense]]</f>
        <v>4465.9020221473274</v>
      </c>
      <c r="R451" s="10">
        <f>Daily_Data[[#This Row],[Total_Sales]]/Daily_Data[[#This Row],[Rooms_Occupied]]</f>
        <v>1889</v>
      </c>
      <c r="S451" s="10">
        <f>Daily_Data[[#This Row],[Total_Sales]] / Daily_Data[[#This Row],[Max_rooms]]</f>
        <v>1484.2142857142858</v>
      </c>
    </row>
    <row r="452" spans="1:19" x14ac:dyDescent="0.25">
      <c r="A452" s="6">
        <v>45377</v>
      </c>
      <c r="B452" s="20">
        <f>DATE(YEAR(Daily_Data[[#This Row],[Date]]), MONTH(Daily_Data[[#This Row],[Date]]), 1)</f>
        <v>45352</v>
      </c>
      <c r="C452" s="20" t="str">
        <f>TEXT(Daily_Data[[#This Row],[Month_key]],"mmmm")</f>
        <v>March</v>
      </c>
      <c r="D452" s="20" t="str">
        <f>TEXT(Daily_Data[[#This Row],[Month_key]],"yyyy")</f>
        <v>2024</v>
      </c>
      <c r="E452" s="7">
        <v>13</v>
      </c>
      <c r="F452" s="7">
        <v>14</v>
      </c>
      <c r="G452" s="8">
        <f>Daily_Data[[#This Row],[Rooms_Occupied]]/F452</f>
        <v>0.9285714285714286</v>
      </c>
      <c r="H452" s="7">
        <v>1232</v>
      </c>
      <c r="I452" s="7">
        <f>Daily_Data[[#This Row],[Room_rate]]*Daily_Data[[#This Row],[Rooms_Occupied]]</f>
        <v>16016</v>
      </c>
      <c r="J452" s="10">
        <f>Daily_Data[[#This Row],[Total_Sales]] * 0.22</f>
        <v>3523.52</v>
      </c>
      <c r="K452" s="10">
        <f>INDEX(Expense_master[Monthly_Rent],MATCH(Daily_Data[[#This Row],[Month_key]],Expense_master[Month_Key],0)) / INDEX(Expense_master[Days_in_Month],MATCH(Daily_Data[[#This Row],[Month_key]],Expense_master[Month_Key],0))</f>
        <v>6774.1935483870966</v>
      </c>
      <c r="L452" s="10">
        <f>SUMIFS(Expense_master[Staff_Salary],Expense_master[Month_Key],Daily_Data[[#This Row],[Month_key]]) / SUMIFS(Expense_master[Days_in_Month],Expense_master[Month_Key],Daily_Data[[#This Row],[Month_key]])</f>
        <v>2258.0645161290322</v>
      </c>
      <c r="M452" s="10">
        <f>Daily_Data[[#This Row],[Rooms_Occupied]] * (SUMIFS(Expense_master[Housekeeping_Laundy],Expense_master[Month_Key],Daily_Data[[#This Row],[Month_key]]) / SUMIFS(Occupancy_table[Monthly_rooms_Occupied],Occupancy_table[Month_Key],Daily_Data[[#This Row],[Month_key]]))</f>
        <v>388.05970149253733</v>
      </c>
      <c r="N4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1926.6580259990369</v>
      </c>
      <c r="O452" s="10">
        <f>SUMIFS(Expense_master[Monthly_Maintenance],Expense_master[Month_Key],Daily_Data[[#This Row],[Month_key]]) / SUMIFS(Expense_master[Days_in_Month],Expense_master[Month_Key], Daily_Data[[#This Row],[Month_key]])</f>
        <v>645.16129032258061</v>
      </c>
      <c r="P452" s="10">
        <f xml:space="preserve"> Daily_Data[[#This Row],[OTA Commision]] + Daily_Data[[#This Row],[Daily_Rent]]+Daily_Data[[#This Row],[Daily_Staff]]+Daily_Data[[#This Row],[Daily_HK]]+Daily_Data[[#This Row],[Daily_Electricity]] + Daily_Data[[#This Row],[Daily Maintenance]]</f>
        <v>15515.657082330285</v>
      </c>
      <c r="Q452" s="10">
        <f>Daily_Data[[#This Row],[Total_Sales]]-Daily_Data[[#This Row],[Total_Daily_Expense]]</f>
        <v>500.34291766971546</v>
      </c>
      <c r="R452" s="10">
        <f>Daily_Data[[#This Row],[Total_Sales]]/Daily_Data[[#This Row],[Rooms_Occupied]]</f>
        <v>1232</v>
      </c>
      <c r="S452" s="10">
        <f>Daily_Data[[#This Row],[Total_Sales]] / Daily_Data[[#This Row],[Max_rooms]]</f>
        <v>1144</v>
      </c>
    </row>
    <row r="453" spans="1:19" x14ac:dyDescent="0.25">
      <c r="A453" s="6">
        <v>45378</v>
      </c>
      <c r="B453" s="20">
        <f>DATE(YEAR(Daily_Data[[#This Row],[Date]]), MONTH(Daily_Data[[#This Row],[Date]]), 1)</f>
        <v>45352</v>
      </c>
      <c r="C453" s="20" t="str">
        <f>TEXT(Daily_Data[[#This Row],[Month_key]],"mmmm")</f>
        <v>March</v>
      </c>
      <c r="D453" s="20" t="str">
        <f>TEXT(Daily_Data[[#This Row],[Month_key]],"yyyy")</f>
        <v>2024</v>
      </c>
      <c r="E453" s="7">
        <v>11</v>
      </c>
      <c r="F453" s="7">
        <v>14</v>
      </c>
      <c r="G453" s="8">
        <f>Daily_Data[[#This Row],[Rooms_Occupied]]/F453</f>
        <v>0.7857142857142857</v>
      </c>
      <c r="H453" s="7">
        <v>1725</v>
      </c>
      <c r="I453" s="7">
        <f>Daily_Data[[#This Row],[Room_rate]]*Daily_Data[[#This Row],[Rooms_Occupied]]</f>
        <v>18975</v>
      </c>
      <c r="J453" s="10">
        <f>Daily_Data[[#This Row],[Total_Sales]] * 0.22</f>
        <v>4174.5</v>
      </c>
      <c r="K453" s="10">
        <f>INDEX(Expense_master[Monthly_Rent],MATCH(Daily_Data[[#This Row],[Month_key]],Expense_master[Month_Key],0)) / INDEX(Expense_master[Days_in_Month],MATCH(Daily_Data[[#This Row],[Month_key]],Expense_master[Month_Key],0))</f>
        <v>6774.1935483870966</v>
      </c>
      <c r="L453" s="10">
        <f>SUMIFS(Expense_master[Staff_Salary],Expense_master[Month_Key],Daily_Data[[#This Row],[Month_key]]) / SUMIFS(Expense_master[Days_in_Month],Expense_master[Month_Key],Daily_Data[[#This Row],[Month_key]])</f>
        <v>2258.0645161290322</v>
      </c>
      <c r="M453" s="10">
        <f>Daily_Data[[#This Row],[Rooms_Occupied]] * (SUMIFS(Expense_master[Housekeeping_Laundy],Expense_master[Month_Key],Daily_Data[[#This Row],[Month_key]]) / SUMIFS(Occupancy_table[Monthly_rooms_Occupied],Occupancy_table[Month_Key],Daily_Data[[#This Row],[Month_key]]))</f>
        <v>328.35820895522392</v>
      </c>
      <c r="N4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1735.9404140587385</v>
      </c>
      <c r="O453" s="10">
        <f>SUMIFS(Expense_master[Monthly_Maintenance],Expense_master[Month_Key],Daily_Data[[#This Row],[Month_key]]) / SUMIFS(Expense_master[Days_in_Month],Expense_master[Month_Key], Daily_Data[[#This Row],[Month_key]])</f>
        <v>645.16129032258061</v>
      </c>
      <c r="P453" s="10">
        <f xml:space="preserve"> Daily_Data[[#This Row],[OTA Commision]] + Daily_Data[[#This Row],[Daily_Rent]]+Daily_Data[[#This Row],[Daily_Staff]]+Daily_Data[[#This Row],[Daily_HK]]+Daily_Data[[#This Row],[Daily_Electricity]] + Daily_Data[[#This Row],[Daily Maintenance]]</f>
        <v>15916.217977852672</v>
      </c>
      <c r="Q453" s="10">
        <f>Daily_Data[[#This Row],[Total_Sales]]-Daily_Data[[#This Row],[Total_Daily_Expense]]</f>
        <v>3058.7820221473285</v>
      </c>
      <c r="R453" s="10">
        <f>Daily_Data[[#This Row],[Total_Sales]]/Daily_Data[[#This Row],[Rooms_Occupied]]</f>
        <v>1725</v>
      </c>
      <c r="S453" s="10">
        <f>Daily_Data[[#This Row],[Total_Sales]] / Daily_Data[[#This Row],[Max_rooms]]</f>
        <v>1355.3571428571429</v>
      </c>
    </row>
    <row r="454" spans="1:19" x14ac:dyDescent="0.25">
      <c r="A454" s="6">
        <v>45379</v>
      </c>
      <c r="B454" s="20">
        <f>DATE(YEAR(Daily_Data[[#This Row],[Date]]), MONTH(Daily_Data[[#This Row],[Date]]), 1)</f>
        <v>45352</v>
      </c>
      <c r="C454" s="20" t="str">
        <f>TEXT(Daily_Data[[#This Row],[Month_key]],"mmmm")</f>
        <v>March</v>
      </c>
      <c r="D454" s="20" t="str">
        <f>TEXT(Daily_Data[[#This Row],[Month_key]],"yyyy")</f>
        <v>2024</v>
      </c>
      <c r="E454" s="7">
        <v>12</v>
      </c>
      <c r="F454" s="7">
        <v>14</v>
      </c>
      <c r="G454" s="8">
        <f>Daily_Data[[#This Row],[Rooms_Occupied]]/F454</f>
        <v>0.8571428571428571</v>
      </c>
      <c r="H454" s="7">
        <v>1421</v>
      </c>
      <c r="I454" s="7">
        <f>Daily_Data[[#This Row],[Room_rate]]*Daily_Data[[#This Row],[Rooms_Occupied]]</f>
        <v>17052</v>
      </c>
      <c r="J454" s="10">
        <f>Daily_Data[[#This Row],[Total_Sales]] * 0.22</f>
        <v>3751.44</v>
      </c>
      <c r="K454" s="10">
        <f>INDEX(Expense_master[Monthly_Rent],MATCH(Daily_Data[[#This Row],[Month_key]],Expense_master[Month_Key],0)) / INDEX(Expense_master[Days_in_Month],MATCH(Daily_Data[[#This Row],[Month_key]],Expense_master[Month_Key],0))</f>
        <v>6774.1935483870966</v>
      </c>
      <c r="L454" s="10">
        <f>SUMIFS(Expense_master[Staff_Salary],Expense_master[Month_Key],Daily_Data[[#This Row],[Month_key]]) / SUMIFS(Expense_master[Days_in_Month],Expense_master[Month_Key],Daily_Data[[#This Row],[Month_key]])</f>
        <v>2258.0645161290322</v>
      </c>
      <c r="M454" s="10">
        <f>Daily_Data[[#This Row],[Rooms_Occupied]] * (SUMIFS(Expense_master[Housekeeping_Laundy],Expense_master[Month_Key],Daily_Data[[#This Row],[Month_key]]) / SUMIFS(Occupancy_table[Monthly_rooms_Occupied],Occupancy_table[Month_Key],Daily_Data[[#This Row],[Month_key]]))</f>
        <v>358.20895522388059</v>
      </c>
      <c r="N4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1831.2992200288877</v>
      </c>
      <c r="O454" s="10">
        <f>SUMIFS(Expense_master[Monthly_Maintenance],Expense_master[Month_Key],Daily_Data[[#This Row],[Month_key]]) / SUMIFS(Expense_master[Days_in_Month],Expense_master[Month_Key], Daily_Data[[#This Row],[Month_key]])</f>
        <v>645.16129032258061</v>
      </c>
      <c r="P454" s="10">
        <f xml:space="preserve"> Daily_Data[[#This Row],[OTA Commision]] + Daily_Data[[#This Row],[Daily_Rent]]+Daily_Data[[#This Row],[Daily_Staff]]+Daily_Data[[#This Row],[Daily_HK]]+Daily_Data[[#This Row],[Daily_Electricity]] + Daily_Data[[#This Row],[Daily Maintenance]]</f>
        <v>15618.36753009148</v>
      </c>
      <c r="Q454" s="10">
        <f>Daily_Data[[#This Row],[Total_Sales]]-Daily_Data[[#This Row],[Total_Daily_Expense]]</f>
        <v>1433.6324699085199</v>
      </c>
      <c r="R454" s="10">
        <f>Daily_Data[[#This Row],[Total_Sales]]/Daily_Data[[#This Row],[Rooms_Occupied]]</f>
        <v>1421</v>
      </c>
      <c r="S454" s="10">
        <f>Daily_Data[[#This Row],[Total_Sales]] / Daily_Data[[#This Row],[Max_rooms]]</f>
        <v>1218</v>
      </c>
    </row>
    <row r="455" spans="1:19" x14ac:dyDescent="0.25">
      <c r="A455" s="6">
        <v>45380</v>
      </c>
      <c r="B455" s="20">
        <f>DATE(YEAR(Daily_Data[[#This Row],[Date]]), MONTH(Daily_Data[[#This Row],[Date]]), 1)</f>
        <v>45352</v>
      </c>
      <c r="C455" s="20" t="str">
        <f>TEXT(Daily_Data[[#This Row],[Month_key]],"mmmm")</f>
        <v>March</v>
      </c>
      <c r="D455" s="20" t="str">
        <f>TEXT(Daily_Data[[#This Row],[Month_key]],"yyyy")</f>
        <v>2024</v>
      </c>
      <c r="E455" s="7">
        <v>14</v>
      </c>
      <c r="F455" s="7">
        <v>14</v>
      </c>
      <c r="G455" s="8">
        <f>Daily_Data[[#This Row],[Rooms_Occupied]]/F455</f>
        <v>1</v>
      </c>
      <c r="H455" s="7">
        <v>1872</v>
      </c>
      <c r="I455" s="7">
        <f>Daily_Data[[#This Row],[Room_rate]]*Daily_Data[[#This Row],[Rooms_Occupied]]</f>
        <v>26208</v>
      </c>
      <c r="J455" s="10">
        <f>Daily_Data[[#This Row],[Total_Sales]] * 0.22</f>
        <v>5765.76</v>
      </c>
      <c r="K455" s="10">
        <f>INDEX(Expense_master[Monthly_Rent],MATCH(Daily_Data[[#This Row],[Month_key]],Expense_master[Month_Key],0)) / INDEX(Expense_master[Days_in_Month],MATCH(Daily_Data[[#This Row],[Month_key]],Expense_master[Month_Key],0))</f>
        <v>6774.1935483870966</v>
      </c>
      <c r="L455" s="10">
        <f>SUMIFS(Expense_master[Staff_Salary],Expense_master[Month_Key],Daily_Data[[#This Row],[Month_key]]) / SUMIFS(Expense_master[Days_in_Month],Expense_master[Month_Key],Daily_Data[[#This Row],[Month_key]])</f>
        <v>2258.0645161290322</v>
      </c>
      <c r="M455" s="10">
        <f>Daily_Data[[#This Row],[Rooms_Occupied]] * (SUMIFS(Expense_master[Housekeeping_Laundy],Expense_master[Month_Key],Daily_Data[[#This Row],[Month_key]]) / SUMIFS(Occupancy_table[Monthly_rooms_Occupied],Occupancy_table[Month_Key],Daily_Data[[#This Row],[Month_key]]))</f>
        <v>417.91044776119406</v>
      </c>
      <c r="N4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2022.0168319691863</v>
      </c>
      <c r="O455" s="10">
        <f>SUMIFS(Expense_master[Monthly_Maintenance],Expense_master[Month_Key],Daily_Data[[#This Row],[Month_key]]) / SUMIFS(Expense_master[Days_in_Month],Expense_master[Month_Key], Daily_Data[[#This Row],[Month_key]])</f>
        <v>645.16129032258061</v>
      </c>
      <c r="P455" s="10">
        <f xml:space="preserve"> Daily_Data[[#This Row],[OTA Commision]] + Daily_Data[[#This Row],[Daily_Rent]]+Daily_Data[[#This Row],[Daily_Staff]]+Daily_Data[[#This Row],[Daily_HK]]+Daily_Data[[#This Row],[Daily_Electricity]] + Daily_Data[[#This Row],[Daily Maintenance]]</f>
        <v>17883.106634569089</v>
      </c>
      <c r="Q455" s="10">
        <f>Daily_Data[[#This Row],[Total_Sales]]-Daily_Data[[#This Row],[Total_Daily_Expense]]</f>
        <v>8324.8933654309112</v>
      </c>
      <c r="R455" s="10">
        <f>Daily_Data[[#This Row],[Total_Sales]]/Daily_Data[[#This Row],[Rooms_Occupied]]</f>
        <v>1872</v>
      </c>
      <c r="S455" s="10">
        <f>Daily_Data[[#This Row],[Total_Sales]] / Daily_Data[[#This Row],[Max_rooms]]</f>
        <v>1872</v>
      </c>
    </row>
    <row r="456" spans="1:19" x14ac:dyDescent="0.25">
      <c r="A456" s="6">
        <v>45381</v>
      </c>
      <c r="B456" s="20">
        <f>DATE(YEAR(Daily_Data[[#This Row],[Date]]), MONTH(Daily_Data[[#This Row],[Date]]), 1)</f>
        <v>45352</v>
      </c>
      <c r="C456" s="20" t="str">
        <f>TEXT(Daily_Data[[#This Row],[Month_key]],"mmmm")</f>
        <v>March</v>
      </c>
      <c r="D456" s="20" t="str">
        <f>TEXT(Daily_Data[[#This Row],[Month_key]],"yyyy")</f>
        <v>2024</v>
      </c>
      <c r="E456" s="7">
        <v>8</v>
      </c>
      <c r="F456" s="7">
        <v>14</v>
      </c>
      <c r="G456" s="8">
        <f>Daily_Data[[#This Row],[Rooms_Occupied]]/F456</f>
        <v>0.5714285714285714</v>
      </c>
      <c r="H456" s="7">
        <v>1638</v>
      </c>
      <c r="I456" s="7">
        <f>Daily_Data[[#This Row],[Room_rate]]*Daily_Data[[#This Row],[Rooms_Occupied]]</f>
        <v>13104</v>
      </c>
      <c r="J456" s="10">
        <f>Daily_Data[[#This Row],[Total_Sales]] * 0.22</f>
        <v>2882.88</v>
      </c>
      <c r="K456" s="10">
        <f>INDEX(Expense_master[Monthly_Rent],MATCH(Daily_Data[[#This Row],[Month_key]],Expense_master[Month_Key],0)) / INDEX(Expense_master[Days_in_Month],MATCH(Daily_Data[[#This Row],[Month_key]],Expense_master[Month_Key],0))</f>
        <v>6774.1935483870966</v>
      </c>
      <c r="L456" s="10">
        <f>SUMIFS(Expense_master[Staff_Salary],Expense_master[Month_Key],Daily_Data[[#This Row],[Month_key]]) / SUMIFS(Expense_master[Days_in_Month],Expense_master[Month_Key],Daily_Data[[#This Row],[Month_key]])</f>
        <v>2258.0645161290322</v>
      </c>
      <c r="M456" s="10">
        <f>Daily_Data[[#This Row],[Rooms_Occupied]] * (SUMIFS(Expense_master[Housekeeping_Laundy],Expense_master[Month_Key],Daily_Data[[#This Row],[Month_key]]) / SUMIFS(Occupancy_table[Monthly_rooms_Occupied],Occupancy_table[Month_Key],Daily_Data[[#This Row],[Month_key]]))</f>
        <v>238.80597014925374</v>
      </c>
      <c r="N4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1449.8639961482909</v>
      </c>
      <c r="O456" s="10">
        <f>SUMIFS(Expense_master[Monthly_Maintenance],Expense_master[Month_Key],Daily_Data[[#This Row],[Month_key]]) / SUMIFS(Expense_master[Days_in_Month],Expense_master[Month_Key], Daily_Data[[#This Row],[Month_key]])</f>
        <v>645.16129032258061</v>
      </c>
      <c r="P456" s="10">
        <f xml:space="preserve"> Daily_Data[[#This Row],[OTA Commision]] + Daily_Data[[#This Row],[Daily_Rent]]+Daily_Data[[#This Row],[Daily_Staff]]+Daily_Data[[#This Row],[Daily_HK]]+Daily_Data[[#This Row],[Daily_Electricity]] + Daily_Data[[#This Row],[Daily Maintenance]]</f>
        <v>14248.969321136254</v>
      </c>
      <c r="Q456" s="10">
        <f>Daily_Data[[#This Row],[Total_Sales]]-Daily_Data[[#This Row],[Total_Daily_Expense]]</f>
        <v>-1144.9693211362537</v>
      </c>
      <c r="R456" s="10">
        <f>Daily_Data[[#This Row],[Total_Sales]]/Daily_Data[[#This Row],[Rooms_Occupied]]</f>
        <v>1638</v>
      </c>
      <c r="S456" s="10">
        <f>Daily_Data[[#This Row],[Total_Sales]] / Daily_Data[[#This Row],[Max_rooms]]</f>
        <v>936</v>
      </c>
    </row>
    <row r="457" spans="1:19" x14ac:dyDescent="0.25">
      <c r="A457" s="6">
        <v>45382</v>
      </c>
      <c r="B457" s="20">
        <f>DATE(YEAR(Daily_Data[[#This Row],[Date]]), MONTH(Daily_Data[[#This Row],[Date]]), 1)</f>
        <v>45352</v>
      </c>
      <c r="C457" s="20" t="str">
        <f>TEXT(Daily_Data[[#This Row],[Month_key]],"mmmm")</f>
        <v>March</v>
      </c>
      <c r="D457" s="20" t="str">
        <f>TEXT(Daily_Data[[#This Row],[Month_key]],"yyyy")</f>
        <v>2024</v>
      </c>
      <c r="E457" s="7">
        <v>11</v>
      </c>
      <c r="F457" s="7">
        <v>14</v>
      </c>
      <c r="G457" s="8">
        <f>Daily_Data[[#This Row],[Rooms_Occupied]]/F457</f>
        <v>0.7857142857142857</v>
      </c>
      <c r="H457" s="7">
        <v>1719</v>
      </c>
      <c r="I457" s="7">
        <f>Daily_Data[[#This Row],[Room_rate]]*Daily_Data[[#This Row],[Rooms_Occupied]]</f>
        <v>18909</v>
      </c>
      <c r="J457" s="10">
        <f>Daily_Data[[#This Row],[Total_Sales]] * 0.22</f>
        <v>4159.9800000000005</v>
      </c>
      <c r="K457" s="10">
        <f>INDEX(Expense_master[Monthly_Rent],MATCH(Daily_Data[[#This Row],[Month_key]],Expense_master[Month_Key],0)) / INDEX(Expense_master[Days_in_Month],MATCH(Daily_Data[[#This Row],[Month_key]],Expense_master[Month_Key],0))</f>
        <v>6774.1935483870966</v>
      </c>
      <c r="L457" s="10">
        <f>SUMIFS(Expense_master[Staff_Salary],Expense_master[Month_Key],Daily_Data[[#This Row],[Month_key]]) / SUMIFS(Expense_master[Days_in_Month],Expense_master[Month_Key],Daily_Data[[#This Row],[Month_key]])</f>
        <v>2258.0645161290322</v>
      </c>
      <c r="M457" s="10">
        <f>Daily_Data[[#This Row],[Rooms_Occupied]] * (SUMIFS(Expense_master[Housekeeping_Laundy],Expense_master[Month_Key],Daily_Data[[#This Row],[Month_key]]) / SUMIFS(Occupancy_table[Monthly_rooms_Occupied],Occupancy_table[Month_Key],Daily_Data[[#This Row],[Month_key]]))</f>
        <v>328.35820895522392</v>
      </c>
      <c r="N4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1735.9404140587385</v>
      </c>
      <c r="O457" s="10">
        <f>SUMIFS(Expense_master[Monthly_Maintenance],Expense_master[Month_Key],Daily_Data[[#This Row],[Month_key]]) / SUMIFS(Expense_master[Days_in_Month],Expense_master[Month_Key], Daily_Data[[#This Row],[Month_key]])</f>
        <v>645.16129032258061</v>
      </c>
      <c r="P457" s="10">
        <f xml:space="preserve"> Daily_Data[[#This Row],[OTA Commision]] + Daily_Data[[#This Row],[Daily_Rent]]+Daily_Data[[#This Row],[Daily_Staff]]+Daily_Data[[#This Row],[Daily_HK]]+Daily_Data[[#This Row],[Daily_Electricity]] + Daily_Data[[#This Row],[Daily Maintenance]]</f>
        <v>15901.697977852675</v>
      </c>
      <c r="Q457" s="10">
        <f>Daily_Data[[#This Row],[Total_Sales]]-Daily_Data[[#This Row],[Total_Daily_Expense]]</f>
        <v>3007.3020221473253</v>
      </c>
      <c r="R457" s="10">
        <f>Daily_Data[[#This Row],[Total_Sales]]/Daily_Data[[#This Row],[Rooms_Occupied]]</f>
        <v>1719</v>
      </c>
      <c r="S457" s="10">
        <f>Daily_Data[[#This Row],[Total_Sales]] / Daily_Data[[#This Row],[Max_rooms]]</f>
        <v>1350.6428571428571</v>
      </c>
    </row>
    <row r="458" spans="1:19" x14ac:dyDescent="0.25">
      <c r="A458" s="6">
        <v>45383</v>
      </c>
      <c r="B458" s="20">
        <f>DATE(YEAR(Daily_Data[[#This Row],[Date]]), MONTH(Daily_Data[[#This Row],[Date]]), 1)</f>
        <v>45383</v>
      </c>
      <c r="C458" s="20" t="str">
        <f>TEXT(Daily_Data[[#This Row],[Month_key]],"mmmm")</f>
        <v>April</v>
      </c>
      <c r="D458" s="20" t="str">
        <f>TEXT(Daily_Data[[#This Row],[Month_key]],"yyyy")</f>
        <v>2024</v>
      </c>
      <c r="E458" s="7">
        <v>13</v>
      </c>
      <c r="F458" s="7">
        <v>14</v>
      </c>
      <c r="G458" s="8">
        <f>Daily_Data[[#This Row],[Rooms_Occupied]]/F458</f>
        <v>0.9285714285714286</v>
      </c>
      <c r="H458" s="7">
        <v>1691</v>
      </c>
      <c r="I458" s="7">
        <f>Daily_Data[[#This Row],[Room_rate]]*Daily_Data[[#This Row],[Rooms_Occupied]]</f>
        <v>21983</v>
      </c>
      <c r="J458" s="10">
        <f>Daily_Data[[#This Row],[Total_Sales]] * 0.22</f>
        <v>4836.26</v>
      </c>
      <c r="K458" s="10">
        <f>INDEX(Expense_master[Monthly_Rent],MATCH(Daily_Data[[#This Row],[Month_key]],Expense_master[Month_Key],0)) / INDEX(Expense_master[Days_in_Month],MATCH(Daily_Data[[#This Row],[Month_key]],Expense_master[Month_Key],0))</f>
        <v>8333.3333333333339</v>
      </c>
      <c r="L458" s="10">
        <f>SUMIFS(Expense_master[Staff_Salary],Expense_master[Month_Key],Daily_Data[[#This Row],[Month_key]]) / SUMIFS(Expense_master[Days_in_Month],Expense_master[Month_Key],Daily_Data[[#This Row],[Month_key]])</f>
        <v>2333.3333333333335</v>
      </c>
      <c r="M458" s="10">
        <f>Daily_Data[[#This Row],[Rooms_Occupied]] * (SUMIFS(Expense_master[Housekeeping_Laundy],Expense_master[Month_Key],Daily_Data[[#This Row],[Month_key]]) / SUMIFS(Occupancy_table[Monthly_rooms_Occupied],Occupancy_table[Month_Key],Daily_Data[[#This Row],[Month_key]]))</f>
        <v>392.7492447129909</v>
      </c>
      <c r="N4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1929.0424974823768</v>
      </c>
      <c r="O458" s="10">
        <f>SUMIFS(Expense_master[Monthly_Maintenance],Expense_master[Month_Key],Daily_Data[[#This Row],[Month_key]]) / SUMIFS(Expense_master[Days_in_Month],Expense_master[Month_Key], Daily_Data[[#This Row],[Month_key]])</f>
        <v>666.66666666666663</v>
      </c>
      <c r="P458" s="10">
        <f xml:space="preserve"> Daily_Data[[#This Row],[OTA Commision]] + Daily_Data[[#This Row],[Daily_Rent]]+Daily_Data[[#This Row],[Daily_Staff]]+Daily_Data[[#This Row],[Daily_HK]]+Daily_Data[[#This Row],[Daily_Electricity]] + Daily_Data[[#This Row],[Daily Maintenance]]</f>
        <v>18491.385075528706</v>
      </c>
      <c r="Q458" s="10">
        <f>Daily_Data[[#This Row],[Total_Sales]]-Daily_Data[[#This Row],[Total_Daily_Expense]]</f>
        <v>3491.6149244712942</v>
      </c>
      <c r="R458" s="10">
        <f>Daily_Data[[#This Row],[Total_Sales]]/Daily_Data[[#This Row],[Rooms_Occupied]]</f>
        <v>1691</v>
      </c>
      <c r="S458" s="10">
        <f>Daily_Data[[#This Row],[Total_Sales]] / Daily_Data[[#This Row],[Max_rooms]]</f>
        <v>1570.2142857142858</v>
      </c>
    </row>
    <row r="459" spans="1:19" x14ac:dyDescent="0.25">
      <c r="A459" s="6">
        <v>45384</v>
      </c>
      <c r="B459" s="20">
        <f>DATE(YEAR(Daily_Data[[#This Row],[Date]]), MONTH(Daily_Data[[#This Row],[Date]]), 1)</f>
        <v>45383</v>
      </c>
      <c r="C459" s="20" t="str">
        <f>TEXT(Daily_Data[[#This Row],[Month_key]],"mmmm")</f>
        <v>April</v>
      </c>
      <c r="D459" s="20" t="str">
        <f>TEXT(Daily_Data[[#This Row],[Month_key]],"yyyy")</f>
        <v>2024</v>
      </c>
      <c r="E459" s="7">
        <v>12</v>
      </c>
      <c r="F459" s="7">
        <v>14</v>
      </c>
      <c r="G459" s="8">
        <f>Daily_Data[[#This Row],[Rooms_Occupied]]/F459</f>
        <v>0.8571428571428571</v>
      </c>
      <c r="H459" s="7">
        <v>1688</v>
      </c>
      <c r="I459" s="7">
        <f>Daily_Data[[#This Row],[Room_rate]]*Daily_Data[[#This Row],[Rooms_Occupied]]</f>
        <v>20256</v>
      </c>
      <c r="J459" s="10">
        <f>Daily_Data[[#This Row],[Total_Sales]] * 0.22</f>
        <v>4456.32</v>
      </c>
      <c r="K459" s="10">
        <f>INDEX(Expense_master[Monthly_Rent],MATCH(Daily_Data[[#This Row],[Month_key]],Expense_master[Month_Key],0)) / INDEX(Expense_master[Days_in_Month],MATCH(Daily_Data[[#This Row],[Month_key]],Expense_master[Month_Key],0))</f>
        <v>8333.3333333333339</v>
      </c>
      <c r="L459" s="10">
        <f>SUMIFS(Expense_master[Staff_Salary],Expense_master[Month_Key],Daily_Data[[#This Row],[Month_key]]) / SUMIFS(Expense_master[Days_in_Month],Expense_master[Month_Key],Daily_Data[[#This Row],[Month_key]])</f>
        <v>2333.3333333333335</v>
      </c>
      <c r="M459" s="10">
        <f>Daily_Data[[#This Row],[Rooms_Occupied]] * (SUMIFS(Expense_master[Housekeeping_Laundy],Expense_master[Month_Key],Daily_Data[[#This Row],[Month_key]]) / SUMIFS(Occupancy_table[Monthly_rooms_Occupied],Occupancy_table[Month_Key],Daily_Data[[#This Row],[Month_key]]))</f>
        <v>362.53776435045313</v>
      </c>
      <c r="N4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1834.2751258811682</v>
      </c>
      <c r="O459" s="10">
        <f>SUMIFS(Expense_master[Monthly_Maintenance],Expense_master[Month_Key],Daily_Data[[#This Row],[Month_key]]) / SUMIFS(Expense_master[Days_in_Month],Expense_master[Month_Key], Daily_Data[[#This Row],[Month_key]])</f>
        <v>666.66666666666663</v>
      </c>
      <c r="P459" s="10">
        <f xml:space="preserve"> Daily_Data[[#This Row],[OTA Commision]] + Daily_Data[[#This Row],[Daily_Rent]]+Daily_Data[[#This Row],[Daily_Staff]]+Daily_Data[[#This Row],[Daily_HK]]+Daily_Data[[#This Row],[Daily_Electricity]] + Daily_Data[[#This Row],[Daily Maintenance]]</f>
        <v>17986.466223564956</v>
      </c>
      <c r="Q459" s="10">
        <f>Daily_Data[[#This Row],[Total_Sales]]-Daily_Data[[#This Row],[Total_Daily_Expense]]</f>
        <v>2269.5337764350443</v>
      </c>
      <c r="R459" s="10">
        <f>Daily_Data[[#This Row],[Total_Sales]]/Daily_Data[[#This Row],[Rooms_Occupied]]</f>
        <v>1688</v>
      </c>
      <c r="S459" s="10">
        <f>Daily_Data[[#This Row],[Total_Sales]] / Daily_Data[[#This Row],[Max_rooms]]</f>
        <v>1446.8571428571429</v>
      </c>
    </row>
    <row r="460" spans="1:19" x14ac:dyDescent="0.25">
      <c r="A460" s="6">
        <v>45385</v>
      </c>
      <c r="B460" s="20">
        <f>DATE(YEAR(Daily_Data[[#This Row],[Date]]), MONTH(Daily_Data[[#This Row],[Date]]), 1)</f>
        <v>45383</v>
      </c>
      <c r="C460" s="20" t="str">
        <f>TEXT(Daily_Data[[#This Row],[Month_key]],"mmmm")</f>
        <v>April</v>
      </c>
      <c r="D460" s="20" t="str">
        <f>TEXT(Daily_Data[[#This Row],[Month_key]],"yyyy")</f>
        <v>2024</v>
      </c>
      <c r="E460" s="7">
        <v>11</v>
      </c>
      <c r="F460" s="7">
        <v>14</v>
      </c>
      <c r="G460" s="8">
        <f>Daily_Data[[#This Row],[Rooms_Occupied]]/F460</f>
        <v>0.7857142857142857</v>
      </c>
      <c r="H460" s="7">
        <v>1579</v>
      </c>
      <c r="I460" s="7">
        <f>Daily_Data[[#This Row],[Room_rate]]*Daily_Data[[#This Row],[Rooms_Occupied]]</f>
        <v>17369</v>
      </c>
      <c r="J460" s="10">
        <f>Daily_Data[[#This Row],[Total_Sales]] * 0.22</f>
        <v>3821.18</v>
      </c>
      <c r="K460" s="10">
        <f>INDEX(Expense_master[Monthly_Rent],MATCH(Daily_Data[[#This Row],[Month_key]],Expense_master[Month_Key],0)) / INDEX(Expense_master[Days_in_Month],MATCH(Daily_Data[[#This Row],[Month_key]],Expense_master[Month_Key],0))</f>
        <v>8333.3333333333339</v>
      </c>
      <c r="L460" s="10">
        <f>SUMIFS(Expense_master[Staff_Salary],Expense_master[Month_Key],Daily_Data[[#This Row],[Month_key]]) / SUMIFS(Expense_master[Days_in_Month],Expense_master[Month_Key],Daily_Data[[#This Row],[Month_key]])</f>
        <v>2333.3333333333335</v>
      </c>
      <c r="M460" s="10">
        <f>Daily_Data[[#This Row],[Rooms_Occupied]] * (SUMIFS(Expense_master[Housekeeping_Laundy],Expense_master[Month_Key],Daily_Data[[#This Row],[Month_key]]) / SUMIFS(Occupancy_table[Monthly_rooms_Occupied],Occupancy_table[Month_Key],Daily_Data[[#This Row],[Month_key]]))</f>
        <v>332.32628398791542</v>
      </c>
      <c r="N4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1739.5077542799595</v>
      </c>
      <c r="O460" s="10">
        <f>SUMIFS(Expense_master[Monthly_Maintenance],Expense_master[Month_Key],Daily_Data[[#This Row],[Month_key]]) / SUMIFS(Expense_master[Days_in_Month],Expense_master[Month_Key], Daily_Data[[#This Row],[Month_key]])</f>
        <v>666.66666666666663</v>
      </c>
      <c r="P460" s="10">
        <f xml:space="preserve"> Daily_Data[[#This Row],[OTA Commision]] + Daily_Data[[#This Row],[Daily_Rent]]+Daily_Data[[#This Row],[Daily_Staff]]+Daily_Data[[#This Row],[Daily_HK]]+Daily_Data[[#This Row],[Daily_Electricity]] + Daily_Data[[#This Row],[Daily Maintenance]]</f>
        <v>17226.347371601212</v>
      </c>
      <c r="Q460" s="10">
        <f>Daily_Data[[#This Row],[Total_Sales]]-Daily_Data[[#This Row],[Total_Daily_Expense]]</f>
        <v>142.65262839878778</v>
      </c>
      <c r="R460" s="10">
        <f>Daily_Data[[#This Row],[Total_Sales]]/Daily_Data[[#This Row],[Rooms_Occupied]]</f>
        <v>1579</v>
      </c>
      <c r="S460" s="10">
        <f>Daily_Data[[#This Row],[Total_Sales]] / Daily_Data[[#This Row],[Max_rooms]]</f>
        <v>1240.6428571428571</v>
      </c>
    </row>
    <row r="461" spans="1:19" x14ac:dyDescent="0.25">
      <c r="A461" s="6">
        <v>45386</v>
      </c>
      <c r="B461" s="20">
        <f>DATE(YEAR(Daily_Data[[#This Row],[Date]]), MONTH(Daily_Data[[#This Row],[Date]]), 1)</f>
        <v>45383</v>
      </c>
      <c r="C461" s="20" t="str">
        <f>TEXT(Daily_Data[[#This Row],[Month_key]],"mmmm")</f>
        <v>April</v>
      </c>
      <c r="D461" s="20" t="str">
        <f>TEXT(Daily_Data[[#This Row],[Month_key]],"yyyy")</f>
        <v>2024</v>
      </c>
      <c r="E461" s="7">
        <v>10</v>
      </c>
      <c r="F461" s="7">
        <v>14</v>
      </c>
      <c r="G461" s="8">
        <f>Daily_Data[[#This Row],[Rooms_Occupied]]/F461</f>
        <v>0.7142857142857143</v>
      </c>
      <c r="H461" s="7">
        <v>1211</v>
      </c>
      <c r="I461" s="7">
        <f>Daily_Data[[#This Row],[Room_rate]]*Daily_Data[[#This Row],[Rooms_Occupied]]</f>
        <v>12110</v>
      </c>
      <c r="J461" s="10">
        <f>Daily_Data[[#This Row],[Total_Sales]] * 0.22</f>
        <v>2664.2</v>
      </c>
      <c r="K461" s="10">
        <f>INDEX(Expense_master[Monthly_Rent],MATCH(Daily_Data[[#This Row],[Month_key]],Expense_master[Month_Key],0)) / INDEX(Expense_master[Days_in_Month],MATCH(Daily_Data[[#This Row],[Month_key]],Expense_master[Month_Key],0))</f>
        <v>8333.3333333333339</v>
      </c>
      <c r="L461" s="10">
        <f>SUMIFS(Expense_master[Staff_Salary],Expense_master[Month_Key],Daily_Data[[#This Row],[Month_key]]) / SUMIFS(Expense_master[Days_in_Month],Expense_master[Month_Key],Daily_Data[[#This Row],[Month_key]])</f>
        <v>2333.3333333333335</v>
      </c>
      <c r="M461" s="10">
        <f>Daily_Data[[#This Row],[Rooms_Occupied]] * (SUMIFS(Expense_master[Housekeeping_Laundy],Expense_master[Month_Key],Daily_Data[[#This Row],[Month_key]]) / SUMIFS(Occupancy_table[Monthly_rooms_Occupied],Occupancy_table[Month_Key],Daily_Data[[#This Row],[Month_key]]))</f>
        <v>302.11480362537765</v>
      </c>
      <c r="N4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1644.7403826787513</v>
      </c>
      <c r="O461" s="10">
        <f>SUMIFS(Expense_master[Monthly_Maintenance],Expense_master[Month_Key],Daily_Data[[#This Row],[Month_key]]) / SUMIFS(Expense_master[Days_in_Month],Expense_master[Month_Key], Daily_Data[[#This Row],[Month_key]])</f>
        <v>666.66666666666663</v>
      </c>
      <c r="P461" s="10">
        <f xml:space="preserve"> Daily_Data[[#This Row],[OTA Commision]] + Daily_Data[[#This Row],[Daily_Rent]]+Daily_Data[[#This Row],[Daily_Staff]]+Daily_Data[[#This Row],[Daily_HK]]+Daily_Data[[#This Row],[Daily_Electricity]] + Daily_Data[[#This Row],[Daily Maintenance]]</f>
        <v>15944.388519637463</v>
      </c>
      <c r="Q461" s="10">
        <f>Daily_Data[[#This Row],[Total_Sales]]-Daily_Data[[#This Row],[Total_Daily_Expense]]</f>
        <v>-3834.3885196374631</v>
      </c>
      <c r="R461" s="10">
        <f>Daily_Data[[#This Row],[Total_Sales]]/Daily_Data[[#This Row],[Rooms_Occupied]]</f>
        <v>1211</v>
      </c>
      <c r="S461" s="10">
        <f>Daily_Data[[#This Row],[Total_Sales]] / Daily_Data[[#This Row],[Max_rooms]]</f>
        <v>865</v>
      </c>
    </row>
    <row r="462" spans="1:19" x14ac:dyDescent="0.25">
      <c r="A462" s="6">
        <v>45387</v>
      </c>
      <c r="B462" s="20">
        <f>DATE(YEAR(Daily_Data[[#This Row],[Date]]), MONTH(Daily_Data[[#This Row],[Date]]), 1)</f>
        <v>45383</v>
      </c>
      <c r="C462" s="20" t="str">
        <f>TEXT(Daily_Data[[#This Row],[Month_key]],"mmmm")</f>
        <v>April</v>
      </c>
      <c r="D462" s="20" t="str">
        <f>TEXT(Daily_Data[[#This Row],[Month_key]],"yyyy")</f>
        <v>2024</v>
      </c>
      <c r="E462" s="7">
        <v>10</v>
      </c>
      <c r="F462" s="7">
        <v>14</v>
      </c>
      <c r="G462" s="8">
        <f>Daily_Data[[#This Row],[Rooms_Occupied]]/F462</f>
        <v>0.7142857142857143</v>
      </c>
      <c r="H462" s="7">
        <v>1832</v>
      </c>
      <c r="I462" s="7">
        <f>Daily_Data[[#This Row],[Room_rate]]*Daily_Data[[#This Row],[Rooms_Occupied]]</f>
        <v>18320</v>
      </c>
      <c r="J462" s="10">
        <f>Daily_Data[[#This Row],[Total_Sales]] * 0.22</f>
        <v>4030.4</v>
      </c>
      <c r="K462" s="10">
        <f>INDEX(Expense_master[Monthly_Rent],MATCH(Daily_Data[[#This Row],[Month_key]],Expense_master[Month_Key],0)) / INDEX(Expense_master[Days_in_Month],MATCH(Daily_Data[[#This Row],[Month_key]],Expense_master[Month_Key],0))</f>
        <v>8333.3333333333339</v>
      </c>
      <c r="L462" s="10">
        <f>SUMIFS(Expense_master[Staff_Salary],Expense_master[Month_Key],Daily_Data[[#This Row],[Month_key]]) / SUMIFS(Expense_master[Days_in_Month],Expense_master[Month_Key],Daily_Data[[#This Row],[Month_key]])</f>
        <v>2333.3333333333335</v>
      </c>
      <c r="M462" s="10">
        <f>Daily_Data[[#This Row],[Rooms_Occupied]] * (SUMIFS(Expense_master[Housekeeping_Laundy],Expense_master[Month_Key],Daily_Data[[#This Row],[Month_key]]) / SUMIFS(Occupancy_table[Monthly_rooms_Occupied],Occupancy_table[Month_Key],Daily_Data[[#This Row],[Month_key]]))</f>
        <v>302.11480362537765</v>
      </c>
      <c r="N4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1644.7403826787513</v>
      </c>
      <c r="O462" s="10">
        <f>SUMIFS(Expense_master[Monthly_Maintenance],Expense_master[Month_Key],Daily_Data[[#This Row],[Month_key]]) / SUMIFS(Expense_master[Days_in_Month],Expense_master[Month_Key], Daily_Data[[#This Row],[Month_key]])</f>
        <v>666.66666666666663</v>
      </c>
      <c r="P462" s="10">
        <f xml:space="preserve"> Daily_Data[[#This Row],[OTA Commision]] + Daily_Data[[#This Row],[Daily_Rent]]+Daily_Data[[#This Row],[Daily_Staff]]+Daily_Data[[#This Row],[Daily_HK]]+Daily_Data[[#This Row],[Daily_Electricity]] + Daily_Data[[#This Row],[Daily Maintenance]]</f>
        <v>17310.588519637466</v>
      </c>
      <c r="Q462" s="10">
        <f>Daily_Data[[#This Row],[Total_Sales]]-Daily_Data[[#This Row],[Total_Daily_Expense]]</f>
        <v>1009.4114803625343</v>
      </c>
      <c r="R462" s="10">
        <f>Daily_Data[[#This Row],[Total_Sales]]/Daily_Data[[#This Row],[Rooms_Occupied]]</f>
        <v>1832</v>
      </c>
      <c r="S462" s="10">
        <f>Daily_Data[[#This Row],[Total_Sales]] / Daily_Data[[#This Row],[Max_rooms]]</f>
        <v>1308.5714285714287</v>
      </c>
    </row>
    <row r="463" spans="1:19" x14ac:dyDescent="0.25">
      <c r="A463" s="6">
        <v>45388</v>
      </c>
      <c r="B463" s="20">
        <f>DATE(YEAR(Daily_Data[[#This Row],[Date]]), MONTH(Daily_Data[[#This Row],[Date]]), 1)</f>
        <v>45383</v>
      </c>
      <c r="C463" s="20" t="str">
        <f>TEXT(Daily_Data[[#This Row],[Month_key]],"mmmm")</f>
        <v>April</v>
      </c>
      <c r="D463" s="20" t="str">
        <f>TEXT(Daily_Data[[#This Row],[Month_key]],"yyyy")</f>
        <v>2024</v>
      </c>
      <c r="E463" s="7">
        <v>9</v>
      </c>
      <c r="F463" s="7">
        <v>14</v>
      </c>
      <c r="G463" s="8">
        <f>Daily_Data[[#This Row],[Rooms_Occupied]]/F463</f>
        <v>0.6428571428571429</v>
      </c>
      <c r="H463" s="7">
        <v>1834</v>
      </c>
      <c r="I463" s="7">
        <f>Daily_Data[[#This Row],[Room_rate]]*Daily_Data[[#This Row],[Rooms_Occupied]]</f>
        <v>16506</v>
      </c>
      <c r="J463" s="10">
        <f>Daily_Data[[#This Row],[Total_Sales]] * 0.22</f>
        <v>3631.32</v>
      </c>
      <c r="K463" s="10">
        <f>INDEX(Expense_master[Monthly_Rent],MATCH(Daily_Data[[#This Row],[Month_key]],Expense_master[Month_Key],0)) / INDEX(Expense_master[Days_in_Month],MATCH(Daily_Data[[#This Row],[Month_key]],Expense_master[Month_Key],0))</f>
        <v>8333.3333333333339</v>
      </c>
      <c r="L463" s="10">
        <f>SUMIFS(Expense_master[Staff_Salary],Expense_master[Month_Key],Daily_Data[[#This Row],[Month_key]]) / SUMIFS(Expense_master[Days_in_Month],Expense_master[Month_Key],Daily_Data[[#This Row],[Month_key]])</f>
        <v>2333.3333333333335</v>
      </c>
      <c r="M463" s="10">
        <f>Daily_Data[[#This Row],[Rooms_Occupied]] * (SUMIFS(Expense_master[Housekeeping_Laundy],Expense_master[Month_Key],Daily_Data[[#This Row],[Month_key]]) / SUMIFS(Occupancy_table[Monthly_rooms_Occupied],Occupancy_table[Month_Key],Daily_Data[[#This Row],[Month_key]]))</f>
        <v>271.90332326283988</v>
      </c>
      <c r="N4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1549.9730110775427</v>
      </c>
      <c r="O463" s="10">
        <f>SUMIFS(Expense_master[Monthly_Maintenance],Expense_master[Month_Key],Daily_Data[[#This Row],[Month_key]]) / SUMIFS(Expense_master[Days_in_Month],Expense_master[Month_Key], Daily_Data[[#This Row],[Month_key]])</f>
        <v>666.66666666666663</v>
      </c>
      <c r="P463" s="10">
        <f xml:space="preserve"> Daily_Data[[#This Row],[OTA Commision]] + Daily_Data[[#This Row],[Daily_Rent]]+Daily_Data[[#This Row],[Daily_Staff]]+Daily_Data[[#This Row],[Daily_HK]]+Daily_Data[[#This Row],[Daily_Electricity]] + Daily_Data[[#This Row],[Daily Maintenance]]</f>
        <v>16786.529667673716</v>
      </c>
      <c r="Q463" s="10">
        <f>Daily_Data[[#This Row],[Total_Sales]]-Daily_Data[[#This Row],[Total_Daily_Expense]]</f>
        <v>-280.52966767371618</v>
      </c>
      <c r="R463" s="10">
        <f>Daily_Data[[#This Row],[Total_Sales]]/Daily_Data[[#This Row],[Rooms_Occupied]]</f>
        <v>1834</v>
      </c>
      <c r="S463" s="10">
        <f>Daily_Data[[#This Row],[Total_Sales]] / Daily_Data[[#This Row],[Max_rooms]]</f>
        <v>1179</v>
      </c>
    </row>
    <row r="464" spans="1:19" x14ac:dyDescent="0.25">
      <c r="A464" s="6">
        <v>45389</v>
      </c>
      <c r="B464" s="20">
        <f>DATE(YEAR(Daily_Data[[#This Row],[Date]]), MONTH(Daily_Data[[#This Row],[Date]]), 1)</f>
        <v>45383</v>
      </c>
      <c r="C464" s="20" t="str">
        <f>TEXT(Daily_Data[[#This Row],[Month_key]],"mmmm")</f>
        <v>April</v>
      </c>
      <c r="D464" s="20" t="str">
        <f>TEXT(Daily_Data[[#This Row],[Month_key]],"yyyy")</f>
        <v>2024</v>
      </c>
      <c r="E464" s="7">
        <v>9</v>
      </c>
      <c r="F464" s="7">
        <v>14</v>
      </c>
      <c r="G464" s="8">
        <f>Daily_Data[[#This Row],[Rooms_Occupied]]/F464</f>
        <v>0.6428571428571429</v>
      </c>
      <c r="H464" s="7">
        <v>1080</v>
      </c>
      <c r="I464" s="7">
        <f>Daily_Data[[#This Row],[Room_rate]]*Daily_Data[[#This Row],[Rooms_Occupied]]</f>
        <v>9720</v>
      </c>
      <c r="J464" s="10">
        <f>Daily_Data[[#This Row],[Total_Sales]] * 0.22</f>
        <v>2138.4</v>
      </c>
      <c r="K464" s="10">
        <f>INDEX(Expense_master[Monthly_Rent],MATCH(Daily_Data[[#This Row],[Month_key]],Expense_master[Month_Key],0)) / INDEX(Expense_master[Days_in_Month],MATCH(Daily_Data[[#This Row],[Month_key]],Expense_master[Month_Key],0))</f>
        <v>8333.3333333333339</v>
      </c>
      <c r="L464" s="10">
        <f>SUMIFS(Expense_master[Staff_Salary],Expense_master[Month_Key],Daily_Data[[#This Row],[Month_key]]) / SUMIFS(Expense_master[Days_in_Month],Expense_master[Month_Key],Daily_Data[[#This Row],[Month_key]])</f>
        <v>2333.3333333333335</v>
      </c>
      <c r="M464" s="10">
        <f>Daily_Data[[#This Row],[Rooms_Occupied]] * (SUMIFS(Expense_master[Housekeeping_Laundy],Expense_master[Month_Key],Daily_Data[[#This Row],[Month_key]]) / SUMIFS(Occupancy_table[Monthly_rooms_Occupied],Occupancy_table[Month_Key],Daily_Data[[#This Row],[Month_key]]))</f>
        <v>271.90332326283988</v>
      </c>
      <c r="N4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1549.9730110775427</v>
      </c>
      <c r="O464" s="10">
        <f>SUMIFS(Expense_master[Monthly_Maintenance],Expense_master[Month_Key],Daily_Data[[#This Row],[Month_key]]) / SUMIFS(Expense_master[Days_in_Month],Expense_master[Month_Key], Daily_Data[[#This Row],[Month_key]])</f>
        <v>666.66666666666663</v>
      </c>
      <c r="P464" s="10">
        <f xml:space="preserve"> Daily_Data[[#This Row],[OTA Commision]] + Daily_Data[[#This Row],[Daily_Rent]]+Daily_Data[[#This Row],[Daily_Staff]]+Daily_Data[[#This Row],[Daily_HK]]+Daily_Data[[#This Row],[Daily_Electricity]] + Daily_Data[[#This Row],[Daily Maintenance]]</f>
        <v>15293.609667673716</v>
      </c>
      <c r="Q464" s="10">
        <f>Daily_Data[[#This Row],[Total_Sales]]-Daily_Data[[#This Row],[Total_Daily_Expense]]</f>
        <v>-5573.6096676737161</v>
      </c>
      <c r="R464" s="10">
        <f>Daily_Data[[#This Row],[Total_Sales]]/Daily_Data[[#This Row],[Rooms_Occupied]]</f>
        <v>1080</v>
      </c>
      <c r="S464" s="10">
        <f>Daily_Data[[#This Row],[Total_Sales]] / Daily_Data[[#This Row],[Max_rooms]]</f>
        <v>694.28571428571433</v>
      </c>
    </row>
    <row r="465" spans="1:19" x14ac:dyDescent="0.25">
      <c r="A465" s="6">
        <v>45390</v>
      </c>
      <c r="B465" s="20">
        <f>DATE(YEAR(Daily_Data[[#This Row],[Date]]), MONTH(Daily_Data[[#This Row],[Date]]), 1)</f>
        <v>45383</v>
      </c>
      <c r="C465" s="20" t="str">
        <f>TEXT(Daily_Data[[#This Row],[Month_key]],"mmmm")</f>
        <v>April</v>
      </c>
      <c r="D465" s="20" t="str">
        <f>TEXT(Daily_Data[[#This Row],[Month_key]],"yyyy")</f>
        <v>2024</v>
      </c>
      <c r="E465" s="7">
        <v>8</v>
      </c>
      <c r="F465" s="7">
        <v>14</v>
      </c>
      <c r="G465" s="8">
        <f>Daily_Data[[#This Row],[Rooms_Occupied]]/F465</f>
        <v>0.5714285714285714</v>
      </c>
      <c r="H465" s="7">
        <v>1673</v>
      </c>
      <c r="I465" s="7">
        <f>Daily_Data[[#This Row],[Room_rate]]*Daily_Data[[#This Row],[Rooms_Occupied]]</f>
        <v>13384</v>
      </c>
      <c r="J465" s="10">
        <f>Daily_Data[[#This Row],[Total_Sales]] * 0.22</f>
        <v>2944.48</v>
      </c>
      <c r="K465" s="10">
        <f>INDEX(Expense_master[Monthly_Rent],MATCH(Daily_Data[[#This Row],[Month_key]],Expense_master[Month_Key],0)) / INDEX(Expense_master[Days_in_Month],MATCH(Daily_Data[[#This Row],[Month_key]],Expense_master[Month_Key],0))</f>
        <v>8333.3333333333339</v>
      </c>
      <c r="L465" s="10">
        <f>SUMIFS(Expense_master[Staff_Salary],Expense_master[Month_Key],Daily_Data[[#This Row],[Month_key]]) / SUMIFS(Expense_master[Days_in_Month],Expense_master[Month_Key],Daily_Data[[#This Row],[Month_key]])</f>
        <v>2333.3333333333335</v>
      </c>
      <c r="M465" s="10">
        <f>Daily_Data[[#This Row],[Rooms_Occupied]] * (SUMIFS(Expense_master[Housekeeping_Laundy],Expense_master[Month_Key],Daily_Data[[#This Row],[Month_key]]) / SUMIFS(Occupancy_table[Monthly_rooms_Occupied],Occupancy_table[Month_Key],Daily_Data[[#This Row],[Month_key]]))</f>
        <v>241.69184290030211</v>
      </c>
      <c r="N4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1455.2056394763345</v>
      </c>
      <c r="O465" s="10">
        <f>SUMIFS(Expense_master[Monthly_Maintenance],Expense_master[Month_Key],Daily_Data[[#This Row],[Month_key]]) / SUMIFS(Expense_master[Days_in_Month],Expense_master[Month_Key], Daily_Data[[#This Row],[Month_key]])</f>
        <v>666.66666666666663</v>
      </c>
      <c r="P465" s="10">
        <f xml:space="preserve"> Daily_Data[[#This Row],[OTA Commision]] + Daily_Data[[#This Row],[Daily_Rent]]+Daily_Data[[#This Row],[Daily_Staff]]+Daily_Data[[#This Row],[Daily_HK]]+Daily_Data[[#This Row],[Daily_Electricity]] + Daily_Data[[#This Row],[Daily Maintenance]]</f>
        <v>15974.71081570997</v>
      </c>
      <c r="Q465" s="10">
        <f>Daily_Data[[#This Row],[Total_Sales]]-Daily_Data[[#This Row],[Total_Daily_Expense]]</f>
        <v>-2590.7108157099701</v>
      </c>
      <c r="R465" s="10">
        <f>Daily_Data[[#This Row],[Total_Sales]]/Daily_Data[[#This Row],[Rooms_Occupied]]</f>
        <v>1673</v>
      </c>
      <c r="S465" s="10">
        <f>Daily_Data[[#This Row],[Total_Sales]] / Daily_Data[[#This Row],[Max_rooms]]</f>
        <v>956</v>
      </c>
    </row>
    <row r="466" spans="1:19" x14ac:dyDescent="0.25">
      <c r="A466" s="6">
        <v>45391</v>
      </c>
      <c r="B466" s="20">
        <f>DATE(YEAR(Daily_Data[[#This Row],[Date]]), MONTH(Daily_Data[[#This Row],[Date]]), 1)</f>
        <v>45383</v>
      </c>
      <c r="C466" s="20" t="str">
        <f>TEXT(Daily_Data[[#This Row],[Month_key]],"mmmm")</f>
        <v>April</v>
      </c>
      <c r="D466" s="20" t="str">
        <f>TEXT(Daily_Data[[#This Row],[Month_key]],"yyyy")</f>
        <v>2024</v>
      </c>
      <c r="E466" s="7">
        <v>12</v>
      </c>
      <c r="F466" s="7">
        <v>14</v>
      </c>
      <c r="G466" s="8">
        <f>Daily_Data[[#This Row],[Rooms_Occupied]]/F466</f>
        <v>0.8571428571428571</v>
      </c>
      <c r="H466" s="7">
        <v>1175</v>
      </c>
      <c r="I466" s="7">
        <f>Daily_Data[[#This Row],[Room_rate]]*Daily_Data[[#This Row],[Rooms_Occupied]]</f>
        <v>14100</v>
      </c>
      <c r="J466" s="10">
        <f>Daily_Data[[#This Row],[Total_Sales]] * 0.22</f>
        <v>3102</v>
      </c>
      <c r="K466" s="10">
        <f>INDEX(Expense_master[Monthly_Rent],MATCH(Daily_Data[[#This Row],[Month_key]],Expense_master[Month_Key],0)) / INDEX(Expense_master[Days_in_Month],MATCH(Daily_Data[[#This Row],[Month_key]],Expense_master[Month_Key],0))</f>
        <v>8333.3333333333339</v>
      </c>
      <c r="L466" s="10">
        <f>SUMIFS(Expense_master[Staff_Salary],Expense_master[Month_Key],Daily_Data[[#This Row],[Month_key]]) / SUMIFS(Expense_master[Days_in_Month],Expense_master[Month_Key],Daily_Data[[#This Row],[Month_key]])</f>
        <v>2333.3333333333335</v>
      </c>
      <c r="M466" s="10">
        <f>Daily_Data[[#This Row],[Rooms_Occupied]] * (SUMIFS(Expense_master[Housekeeping_Laundy],Expense_master[Month_Key],Daily_Data[[#This Row],[Month_key]]) / SUMIFS(Occupancy_table[Monthly_rooms_Occupied],Occupancy_table[Month_Key],Daily_Data[[#This Row],[Month_key]]))</f>
        <v>362.53776435045313</v>
      </c>
      <c r="N4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1834.2751258811682</v>
      </c>
      <c r="O466" s="10">
        <f>SUMIFS(Expense_master[Monthly_Maintenance],Expense_master[Month_Key],Daily_Data[[#This Row],[Month_key]]) / SUMIFS(Expense_master[Days_in_Month],Expense_master[Month_Key], Daily_Data[[#This Row],[Month_key]])</f>
        <v>666.66666666666663</v>
      </c>
      <c r="P466" s="10">
        <f xml:space="preserve"> Daily_Data[[#This Row],[OTA Commision]] + Daily_Data[[#This Row],[Daily_Rent]]+Daily_Data[[#This Row],[Daily_Staff]]+Daily_Data[[#This Row],[Daily_HK]]+Daily_Data[[#This Row],[Daily_Electricity]] + Daily_Data[[#This Row],[Daily Maintenance]]</f>
        <v>16632.146223564956</v>
      </c>
      <c r="Q466" s="10">
        <f>Daily_Data[[#This Row],[Total_Sales]]-Daily_Data[[#This Row],[Total_Daily_Expense]]</f>
        <v>-2532.146223564956</v>
      </c>
      <c r="R466" s="10">
        <f>Daily_Data[[#This Row],[Total_Sales]]/Daily_Data[[#This Row],[Rooms_Occupied]]</f>
        <v>1175</v>
      </c>
      <c r="S466" s="10">
        <f>Daily_Data[[#This Row],[Total_Sales]] / Daily_Data[[#This Row],[Max_rooms]]</f>
        <v>1007.1428571428571</v>
      </c>
    </row>
    <row r="467" spans="1:19" x14ac:dyDescent="0.25">
      <c r="A467" s="6">
        <v>45392</v>
      </c>
      <c r="B467" s="20">
        <f>DATE(YEAR(Daily_Data[[#This Row],[Date]]), MONTH(Daily_Data[[#This Row],[Date]]), 1)</f>
        <v>45383</v>
      </c>
      <c r="C467" s="20" t="str">
        <f>TEXT(Daily_Data[[#This Row],[Month_key]],"mmmm")</f>
        <v>April</v>
      </c>
      <c r="D467" s="20" t="str">
        <f>TEXT(Daily_Data[[#This Row],[Month_key]],"yyyy")</f>
        <v>2024</v>
      </c>
      <c r="E467" s="7">
        <v>12</v>
      </c>
      <c r="F467" s="7">
        <v>14</v>
      </c>
      <c r="G467" s="8">
        <f>Daily_Data[[#This Row],[Rooms_Occupied]]/F467</f>
        <v>0.8571428571428571</v>
      </c>
      <c r="H467" s="7">
        <v>1177</v>
      </c>
      <c r="I467" s="7">
        <f>Daily_Data[[#This Row],[Room_rate]]*Daily_Data[[#This Row],[Rooms_Occupied]]</f>
        <v>14124</v>
      </c>
      <c r="J467" s="10">
        <f>Daily_Data[[#This Row],[Total_Sales]] * 0.22</f>
        <v>3107.28</v>
      </c>
      <c r="K467" s="10">
        <f>INDEX(Expense_master[Monthly_Rent],MATCH(Daily_Data[[#This Row],[Month_key]],Expense_master[Month_Key],0)) / INDEX(Expense_master[Days_in_Month],MATCH(Daily_Data[[#This Row],[Month_key]],Expense_master[Month_Key],0))</f>
        <v>8333.3333333333339</v>
      </c>
      <c r="L467" s="10">
        <f>SUMIFS(Expense_master[Staff_Salary],Expense_master[Month_Key],Daily_Data[[#This Row],[Month_key]]) / SUMIFS(Expense_master[Days_in_Month],Expense_master[Month_Key],Daily_Data[[#This Row],[Month_key]])</f>
        <v>2333.3333333333335</v>
      </c>
      <c r="M467" s="10">
        <f>Daily_Data[[#This Row],[Rooms_Occupied]] * (SUMIFS(Expense_master[Housekeeping_Laundy],Expense_master[Month_Key],Daily_Data[[#This Row],[Month_key]]) / SUMIFS(Occupancy_table[Monthly_rooms_Occupied],Occupancy_table[Month_Key],Daily_Data[[#This Row],[Month_key]]))</f>
        <v>362.53776435045313</v>
      </c>
      <c r="N4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1834.2751258811682</v>
      </c>
      <c r="O467" s="10">
        <f>SUMIFS(Expense_master[Monthly_Maintenance],Expense_master[Month_Key],Daily_Data[[#This Row],[Month_key]]) / SUMIFS(Expense_master[Days_in_Month],Expense_master[Month_Key], Daily_Data[[#This Row],[Month_key]])</f>
        <v>666.66666666666663</v>
      </c>
      <c r="P467" s="10">
        <f xml:space="preserve"> Daily_Data[[#This Row],[OTA Commision]] + Daily_Data[[#This Row],[Daily_Rent]]+Daily_Data[[#This Row],[Daily_Staff]]+Daily_Data[[#This Row],[Daily_HK]]+Daily_Data[[#This Row],[Daily_Electricity]] + Daily_Data[[#This Row],[Daily Maintenance]]</f>
        <v>16637.426223564955</v>
      </c>
      <c r="Q467" s="10">
        <f>Daily_Data[[#This Row],[Total_Sales]]-Daily_Data[[#This Row],[Total_Daily_Expense]]</f>
        <v>-2513.4262235649549</v>
      </c>
      <c r="R467" s="10">
        <f>Daily_Data[[#This Row],[Total_Sales]]/Daily_Data[[#This Row],[Rooms_Occupied]]</f>
        <v>1177</v>
      </c>
      <c r="S467" s="10">
        <f>Daily_Data[[#This Row],[Total_Sales]] / Daily_Data[[#This Row],[Max_rooms]]</f>
        <v>1008.8571428571429</v>
      </c>
    </row>
    <row r="468" spans="1:19" x14ac:dyDescent="0.25">
      <c r="A468" s="6">
        <v>45393</v>
      </c>
      <c r="B468" s="20">
        <f>DATE(YEAR(Daily_Data[[#This Row],[Date]]), MONTH(Daily_Data[[#This Row],[Date]]), 1)</f>
        <v>45383</v>
      </c>
      <c r="C468" s="20" t="str">
        <f>TEXT(Daily_Data[[#This Row],[Month_key]],"mmmm")</f>
        <v>April</v>
      </c>
      <c r="D468" s="20" t="str">
        <f>TEXT(Daily_Data[[#This Row],[Month_key]],"yyyy")</f>
        <v>2024</v>
      </c>
      <c r="E468" s="7">
        <v>13</v>
      </c>
      <c r="F468" s="7">
        <v>14</v>
      </c>
      <c r="G468" s="8">
        <f>Daily_Data[[#This Row],[Rooms_Occupied]]/F468</f>
        <v>0.9285714285714286</v>
      </c>
      <c r="H468" s="7">
        <v>1492</v>
      </c>
      <c r="I468" s="7">
        <f>Daily_Data[[#This Row],[Room_rate]]*Daily_Data[[#This Row],[Rooms_Occupied]]</f>
        <v>19396</v>
      </c>
      <c r="J468" s="10">
        <f>Daily_Data[[#This Row],[Total_Sales]] * 0.22</f>
        <v>4267.12</v>
      </c>
      <c r="K468" s="10">
        <f>INDEX(Expense_master[Monthly_Rent],MATCH(Daily_Data[[#This Row],[Month_key]],Expense_master[Month_Key],0)) / INDEX(Expense_master[Days_in_Month],MATCH(Daily_Data[[#This Row],[Month_key]],Expense_master[Month_Key],0))</f>
        <v>8333.3333333333339</v>
      </c>
      <c r="L468" s="10">
        <f>SUMIFS(Expense_master[Staff_Salary],Expense_master[Month_Key],Daily_Data[[#This Row],[Month_key]]) / SUMIFS(Expense_master[Days_in_Month],Expense_master[Month_Key],Daily_Data[[#This Row],[Month_key]])</f>
        <v>2333.3333333333335</v>
      </c>
      <c r="M468" s="10">
        <f>Daily_Data[[#This Row],[Rooms_Occupied]] * (SUMIFS(Expense_master[Housekeeping_Laundy],Expense_master[Month_Key],Daily_Data[[#This Row],[Month_key]]) / SUMIFS(Occupancy_table[Monthly_rooms_Occupied],Occupancy_table[Month_Key],Daily_Data[[#This Row],[Month_key]]))</f>
        <v>392.7492447129909</v>
      </c>
      <c r="N4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1929.0424974823768</v>
      </c>
      <c r="O468" s="10">
        <f>SUMIFS(Expense_master[Monthly_Maintenance],Expense_master[Month_Key],Daily_Data[[#This Row],[Month_key]]) / SUMIFS(Expense_master[Days_in_Month],Expense_master[Month_Key], Daily_Data[[#This Row],[Month_key]])</f>
        <v>666.66666666666663</v>
      </c>
      <c r="P468" s="10">
        <f xml:space="preserve"> Daily_Data[[#This Row],[OTA Commision]] + Daily_Data[[#This Row],[Daily_Rent]]+Daily_Data[[#This Row],[Daily_Staff]]+Daily_Data[[#This Row],[Daily_HK]]+Daily_Data[[#This Row],[Daily_Electricity]] + Daily_Data[[#This Row],[Daily Maintenance]]</f>
        <v>17922.245075528706</v>
      </c>
      <c r="Q468" s="10">
        <f>Daily_Data[[#This Row],[Total_Sales]]-Daily_Data[[#This Row],[Total_Daily_Expense]]</f>
        <v>1473.7549244712936</v>
      </c>
      <c r="R468" s="10">
        <f>Daily_Data[[#This Row],[Total_Sales]]/Daily_Data[[#This Row],[Rooms_Occupied]]</f>
        <v>1492</v>
      </c>
      <c r="S468" s="10">
        <f>Daily_Data[[#This Row],[Total_Sales]] / Daily_Data[[#This Row],[Max_rooms]]</f>
        <v>1385.4285714285713</v>
      </c>
    </row>
    <row r="469" spans="1:19" x14ac:dyDescent="0.25">
      <c r="A469" s="6">
        <v>45394</v>
      </c>
      <c r="B469" s="20">
        <f>DATE(YEAR(Daily_Data[[#This Row],[Date]]), MONTH(Daily_Data[[#This Row],[Date]]), 1)</f>
        <v>45383</v>
      </c>
      <c r="C469" s="20" t="str">
        <f>TEXT(Daily_Data[[#This Row],[Month_key]],"mmmm")</f>
        <v>April</v>
      </c>
      <c r="D469" s="20" t="str">
        <f>TEXT(Daily_Data[[#This Row],[Month_key]],"yyyy")</f>
        <v>2024</v>
      </c>
      <c r="E469" s="7">
        <v>11</v>
      </c>
      <c r="F469" s="7">
        <v>14</v>
      </c>
      <c r="G469" s="8">
        <f>Daily_Data[[#This Row],[Rooms_Occupied]]/F469</f>
        <v>0.7857142857142857</v>
      </c>
      <c r="H469" s="7">
        <v>1053</v>
      </c>
      <c r="I469" s="7">
        <f>Daily_Data[[#This Row],[Room_rate]]*Daily_Data[[#This Row],[Rooms_Occupied]]</f>
        <v>11583</v>
      </c>
      <c r="J469" s="10">
        <f>Daily_Data[[#This Row],[Total_Sales]] * 0.22</f>
        <v>2548.2600000000002</v>
      </c>
      <c r="K469" s="10">
        <f>INDEX(Expense_master[Monthly_Rent],MATCH(Daily_Data[[#This Row],[Month_key]],Expense_master[Month_Key],0)) / INDEX(Expense_master[Days_in_Month],MATCH(Daily_Data[[#This Row],[Month_key]],Expense_master[Month_Key],0))</f>
        <v>8333.3333333333339</v>
      </c>
      <c r="L469" s="10">
        <f>SUMIFS(Expense_master[Staff_Salary],Expense_master[Month_Key],Daily_Data[[#This Row],[Month_key]]) / SUMIFS(Expense_master[Days_in_Month],Expense_master[Month_Key],Daily_Data[[#This Row],[Month_key]])</f>
        <v>2333.3333333333335</v>
      </c>
      <c r="M469" s="10">
        <f>Daily_Data[[#This Row],[Rooms_Occupied]] * (SUMIFS(Expense_master[Housekeeping_Laundy],Expense_master[Month_Key],Daily_Data[[#This Row],[Month_key]]) / SUMIFS(Occupancy_table[Monthly_rooms_Occupied],Occupancy_table[Month_Key],Daily_Data[[#This Row],[Month_key]]))</f>
        <v>332.32628398791542</v>
      </c>
      <c r="N4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1739.5077542799595</v>
      </c>
      <c r="O469" s="10">
        <f>SUMIFS(Expense_master[Monthly_Maintenance],Expense_master[Month_Key],Daily_Data[[#This Row],[Month_key]]) / SUMIFS(Expense_master[Days_in_Month],Expense_master[Month_Key], Daily_Data[[#This Row],[Month_key]])</f>
        <v>666.66666666666663</v>
      </c>
      <c r="P469" s="10">
        <f xml:space="preserve"> Daily_Data[[#This Row],[OTA Commision]] + Daily_Data[[#This Row],[Daily_Rent]]+Daily_Data[[#This Row],[Daily_Staff]]+Daily_Data[[#This Row],[Daily_HK]]+Daily_Data[[#This Row],[Daily_Electricity]] + Daily_Data[[#This Row],[Daily Maintenance]]</f>
        <v>15953.427371601209</v>
      </c>
      <c r="Q469" s="10">
        <f>Daily_Data[[#This Row],[Total_Sales]]-Daily_Data[[#This Row],[Total_Daily_Expense]]</f>
        <v>-4370.4273716012085</v>
      </c>
      <c r="R469" s="10">
        <f>Daily_Data[[#This Row],[Total_Sales]]/Daily_Data[[#This Row],[Rooms_Occupied]]</f>
        <v>1053</v>
      </c>
      <c r="S469" s="10">
        <f>Daily_Data[[#This Row],[Total_Sales]] / Daily_Data[[#This Row],[Max_rooms]]</f>
        <v>827.35714285714289</v>
      </c>
    </row>
    <row r="470" spans="1:19" x14ac:dyDescent="0.25">
      <c r="A470" s="6">
        <v>45395</v>
      </c>
      <c r="B470" s="20">
        <f>DATE(YEAR(Daily_Data[[#This Row],[Date]]), MONTH(Daily_Data[[#This Row],[Date]]), 1)</f>
        <v>45383</v>
      </c>
      <c r="C470" s="20" t="str">
        <f>TEXT(Daily_Data[[#This Row],[Month_key]],"mmmm")</f>
        <v>April</v>
      </c>
      <c r="D470" s="20" t="str">
        <f>TEXT(Daily_Data[[#This Row],[Month_key]],"yyyy")</f>
        <v>2024</v>
      </c>
      <c r="E470" s="7">
        <v>11</v>
      </c>
      <c r="F470" s="7">
        <v>14</v>
      </c>
      <c r="G470" s="8">
        <f>Daily_Data[[#This Row],[Rooms_Occupied]]/F470</f>
        <v>0.7857142857142857</v>
      </c>
      <c r="H470" s="7">
        <v>1200</v>
      </c>
      <c r="I470" s="7">
        <f>Daily_Data[[#This Row],[Room_rate]]*Daily_Data[[#This Row],[Rooms_Occupied]]</f>
        <v>13200</v>
      </c>
      <c r="J470" s="10">
        <f>Daily_Data[[#This Row],[Total_Sales]] * 0.22</f>
        <v>2904</v>
      </c>
      <c r="K470" s="10">
        <f>INDEX(Expense_master[Monthly_Rent],MATCH(Daily_Data[[#This Row],[Month_key]],Expense_master[Month_Key],0)) / INDEX(Expense_master[Days_in_Month],MATCH(Daily_Data[[#This Row],[Month_key]],Expense_master[Month_Key],0))</f>
        <v>8333.3333333333339</v>
      </c>
      <c r="L470" s="10">
        <f>SUMIFS(Expense_master[Staff_Salary],Expense_master[Month_Key],Daily_Data[[#This Row],[Month_key]]) / SUMIFS(Expense_master[Days_in_Month],Expense_master[Month_Key],Daily_Data[[#This Row],[Month_key]])</f>
        <v>2333.3333333333335</v>
      </c>
      <c r="M470" s="10">
        <f>Daily_Data[[#This Row],[Rooms_Occupied]] * (SUMIFS(Expense_master[Housekeeping_Laundy],Expense_master[Month_Key],Daily_Data[[#This Row],[Month_key]]) / SUMIFS(Occupancy_table[Monthly_rooms_Occupied],Occupancy_table[Month_Key],Daily_Data[[#This Row],[Month_key]]))</f>
        <v>332.32628398791542</v>
      </c>
      <c r="N4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1739.5077542799595</v>
      </c>
      <c r="O470" s="10">
        <f>SUMIFS(Expense_master[Monthly_Maintenance],Expense_master[Month_Key],Daily_Data[[#This Row],[Month_key]]) / SUMIFS(Expense_master[Days_in_Month],Expense_master[Month_Key], Daily_Data[[#This Row],[Month_key]])</f>
        <v>666.66666666666663</v>
      </c>
      <c r="P470" s="10">
        <f xml:space="preserve"> Daily_Data[[#This Row],[OTA Commision]] + Daily_Data[[#This Row],[Daily_Rent]]+Daily_Data[[#This Row],[Daily_Staff]]+Daily_Data[[#This Row],[Daily_HK]]+Daily_Data[[#This Row],[Daily_Electricity]] + Daily_Data[[#This Row],[Daily Maintenance]]</f>
        <v>16309.167371601208</v>
      </c>
      <c r="Q470" s="10">
        <f>Daily_Data[[#This Row],[Total_Sales]]-Daily_Data[[#This Row],[Total_Daily_Expense]]</f>
        <v>-3109.1673716012083</v>
      </c>
      <c r="R470" s="10">
        <f>Daily_Data[[#This Row],[Total_Sales]]/Daily_Data[[#This Row],[Rooms_Occupied]]</f>
        <v>1200</v>
      </c>
      <c r="S470" s="10">
        <f>Daily_Data[[#This Row],[Total_Sales]] / Daily_Data[[#This Row],[Max_rooms]]</f>
        <v>942.85714285714289</v>
      </c>
    </row>
    <row r="471" spans="1:19" x14ac:dyDescent="0.25">
      <c r="A471" s="6">
        <v>45396</v>
      </c>
      <c r="B471" s="20">
        <f>DATE(YEAR(Daily_Data[[#This Row],[Date]]), MONTH(Daily_Data[[#This Row],[Date]]), 1)</f>
        <v>45383</v>
      </c>
      <c r="C471" s="20" t="str">
        <f>TEXT(Daily_Data[[#This Row],[Month_key]],"mmmm")</f>
        <v>April</v>
      </c>
      <c r="D471" s="20" t="str">
        <f>TEXT(Daily_Data[[#This Row],[Month_key]],"yyyy")</f>
        <v>2024</v>
      </c>
      <c r="E471" s="7">
        <v>13</v>
      </c>
      <c r="F471" s="7">
        <v>14</v>
      </c>
      <c r="G471" s="8">
        <f>Daily_Data[[#This Row],[Rooms_Occupied]]/F471</f>
        <v>0.9285714285714286</v>
      </c>
      <c r="H471" s="7">
        <v>1472</v>
      </c>
      <c r="I471" s="7">
        <f>Daily_Data[[#This Row],[Room_rate]]*Daily_Data[[#This Row],[Rooms_Occupied]]</f>
        <v>19136</v>
      </c>
      <c r="J471" s="10">
        <f>Daily_Data[[#This Row],[Total_Sales]] * 0.22</f>
        <v>4209.92</v>
      </c>
      <c r="K471" s="10">
        <f>INDEX(Expense_master[Monthly_Rent],MATCH(Daily_Data[[#This Row],[Month_key]],Expense_master[Month_Key],0)) / INDEX(Expense_master[Days_in_Month],MATCH(Daily_Data[[#This Row],[Month_key]],Expense_master[Month_Key],0))</f>
        <v>8333.3333333333339</v>
      </c>
      <c r="L471" s="10">
        <f>SUMIFS(Expense_master[Staff_Salary],Expense_master[Month_Key],Daily_Data[[#This Row],[Month_key]]) / SUMIFS(Expense_master[Days_in_Month],Expense_master[Month_Key],Daily_Data[[#This Row],[Month_key]])</f>
        <v>2333.3333333333335</v>
      </c>
      <c r="M471" s="10">
        <f>Daily_Data[[#This Row],[Rooms_Occupied]] * (SUMIFS(Expense_master[Housekeeping_Laundy],Expense_master[Month_Key],Daily_Data[[#This Row],[Month_key]]) / SUMIFS(Occupancy_table[Monthly_rooms_Occupied],Occupancy_table[Month_Key],Daily_Data[[#This Row],[Month_key]]))</f>
        <v>392.7492447129909</v>
      </c>
      <c r="N4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1929.0424974823768</v>
      </c>
      <c r="O471" s="10">
        <f>SUMIFS(Expense_master[Monthly_Maintenance],Expense_master[Month_Key],Daily_Data[[#This Row],[Month_key]]) / SUMIFS(Expense_master[Days_in_Month],Expense_master[Month_Key], Daily_Data[[#This Row],[Month_key]])</f>
        <v>666.66666666666663</v>
      </c>
      <c r="P471" s="10">
        <f xml:space="preserve"> Daily_Data[[#This Row],[OTA Commision]] + Daily_Data[[#This Row],[Daily_Rent]]+Daily_Data[[#This Row],[Daily_Staff]]+Daily_Data[[#This Row],[Daily_HK]]+Daily_Data[[#This Row],[Daily_Electricity]] + Daily_Data[[#This Row],[Daily Maintenance]]</f>
        <v>17865.045075528706</v>
      </c>
      <c r="Q471" s="10">
        <f>Daily_Data[[#This Row],[Total_Sales]]-Daily_Data[[#This Row],[Total_Daily_Expense]]</f>
        <v>1270.9549244712944</v>
      </c>
      <c r="R471" s="10">
        <f>Daily_Data[[#This Row],[Total_Sales]]/Daily_Data[[#This Row],[Rooms_Occupied]]</f>
        <v>1472</v>
      </c>
      <c r="S471" s="10">
        <f>Daily_Data[[#This Row],[Total_Sales]] / Daily_Data[[#This Row],[Max_rooms]]</f>
        <v>1366.8571428571429</v>
      </c>
    </row>
    <row r="472" spans="1:19" x14ac:dyDescent="0.25">
      <c r="A472" s="6">
        <v>45397</v>
      </c>
      <c r="B472" s="20">
        <f>DATE(YEAR(Daily_Data[[#This Row],[Date]]), MONTH(Daily_Data[[#This Row],[Date]]), 1)</f>
        <v>45383</v>
      </c>
      <c r="C472" s="20" t="str">
        <f>TEXT(Daily_Data[[#This Row],[Month_key]],"mmmm")</f>
        <v>April</v>
      </c>
      <c r="D472" s="20" t="str">
        <f>TEXT(Daily_Data[[#This Row],[Month_key]],"yyyy")</f>
        <v>2024</v>
      </c>
      <c r="E472" s="7">
        <v>13</v>
      </c>
      <c r="F472" s="7">
        <v>14</v>
      </c>
      <c r="G472" s="8">
        <f>Daily_Data[[#This Row],[Rooms_Occupied]]/F472</f>
        <v>0.9285714285714286</v>
      </c>
      <c r="H472" s="7">
        <v>1897</v>
      </c>
      <c r="I472" s="7">
        <f>Daily_Data[[#This Row],[Room_rate]]*Daily_Data[[#This Row],[Rooms_Occupied]]</f>
        <v>24661</v>
      </c>
      <c r="J472" s="10">
        <f>Daily_Data[[#This Row],[Total_Sales]] * 0.22</f>
        <v>5425.42</v>
      </c>
      <c r="K472" s="10">
        <f>INDEX(Expense_master[Monthly_Rent],MATCH(Daily_Data[[#This Row],[Month_key]],Expense_master[Month_Key],0)) / INDEX(Expense_master[Days_in_Month],MATCH(Daily_Data[[#This Row],[Month_key]],Expense_master[Month_Key],0))</f>
        <v>8333.3333333333339</v>
      </c>
      <c r="L472" s="10">
        <f>SUMIFS(Expense_master[Staff_Salary],Expense_master[Month_Key],Daily_Data[[#This Row],[Month_key]]) / SUMIFS(Expense_master[Days_in_Month],Expense_master[Month_Key],Daily_Data[[#This Row],[Month_key]])</f>
        <v>2333.3333333333335</v>
      </c>
      <c r="M472" s="10">
        <f>Daily_Data[[#This Row],[Rooms_Occupied]] * (SUMIFS(Expense_master[Housekeeping_Laundy],Expense_master[Month_Key],Daily_Data[[#This Row],[Month_key]]) / SUMIFS(Occupancy_table[Monthly_rooms_Occupied],Occupancy_table[Month_Key],Daily_Data[[#This Row],[Month_key]]))</f>
        <v>392.7492447129909</v>
      </c>
      <c r="N4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1929.0424974823768</v>
      </c>
      <c r="O472" s="10">
        <f>SUMIFS(Expense_master[Monthly_Maintenance],Expense_master[Month_Key],Daily_Data[[#This Row],[Month_key]]) / SUMIFS(Expense_master[Days_in_Month],Expense_master[Month_Key], Daily_Data[[#This Row],[Month_key]])</f>
        <v>666.66666666666663</v>
      </c>
      <c r="P472" s="10">
        <f xml:space="preserve"> Daily_Data[[#This Row],[OTA Commision]] + Daily_Data[[#This Row],[Daily_Rent]]+Daily_Data[[#This Row],[Daily_Staff]]+Daily_Data[[#This Row],[Daily_HK]]+Daily_Data[[#This Row],[Daily_Electricity]] + Daily_Data[[#This Row],[Daily Maintenance]]</f>
        <v>19080.545075528702</v>
      </c>
      <c r="Q472" s="10">
        <f>Daily_Data[[#This Row],[Total_Sales]]-Daily_Data[[#This Row],[Total_Daily_Expense]]</f>
        <v>5580.454924471298</v>
      </c>
      <c r="R472" s="10">
        <f>Daily_Data[[#This Row],[Total_Sales]]/Daily_Data[[#This Row],[Rooms_Occupied]]</f>
        <v>1897</v>
      </c>
      <c r="S472" s="10">
        <f>Daily_Data[[#This Row],[Total_Sales]] / Daily_Data[[#This Row],[Max_rooms]]</f>
        <v>1761.5</v>
      </c>
    </row>
    <row r="473" spans="1:19" x14ac:dyDescent="0.25">
      <c r="A473" s="6">
        <v>45398</v>
      </c>
      <c r="B473" s="20">
        <f>DATE(YEAR(Daily_Data[[#This Row],[Date]]), MONTH(Daily_Data[[#This Row],[Date]]), 1)</f>
        <v>45383</v>
      </c>
      <c r="C473" s="20" t="str">
        <f>TEXT(Daily_Data[[#This Row],[Month_key]],"mmmm")</f>
        <v>April</v>
      </c>
      <c r="D473" s="20" t="str">
        <f>TEXT(Daily_Data[[#This Row],[Month_key]],"yyyy")</f>
        <v>2024</v>
      </c>
      <c r="E473" s="7">
        <v>13</v>
      </c>
      <c r="F473" s="7">
        <v>14</v>
      </c>
      <c r="G473" s="8">
        <f>Daily_Data[[#This Row],[Rooms_Occupied]]/F473</f>
        <v>0.9285714285714286</v>
      </c>
      <c r="H473" s="7">
        <v>1910</v>
      </c>
      <c r="I473" s="7">
        <f>Daily_Data[[#This Row],[Room_rate]]*Daily_Data[[#This Row],[Rooms_Occupied]]</f>
        <v>24830</v>
      </c>
      <c r="J473" s="10">
        <f>Daily_Data[[#This Row],[Total_Sales]] * 0.22</f>
        <v>5462.6</v>
      </c>
      <c r="K473" s="10">
        <f>INDEX(Expense_master[Monthly_Rent],MATCH(Daily_Data[[#This Row],[Month_key]],Expense_master[Month_Key],0)) / INDEX(Expense_master[Days_in_Month],MATCH(Daily_Data[[#This Row],[Month_key]],Expense_master[Month_Key],0))</f>
        <v>8333.3333333333339</v>
      </c>
      <c r="L473" s="10">
        <f>SUMIFS(Expense_master[Staff_Salary],Expense_master[Month_Key],Daily_Data[[#This Row],[Month_key]]) / SUMIFS(Expense_master[Days_in_Month],Expense_master[Month_Key],Daily_Data[[#This Row],[Month_key]])</f>
        <v>2333.3333333333335</v>
      </c>
      <c r="M473" s="10">
        <f>Daily_Data[[#This Row],[Rooms_Occupied]] * (SUMIFS(Expense_master[Housekeeping_Laundy],Expense_master[Month_Key],Daily_Data[[#This Row],[Month_key]]) / SUMIFS(Occupancy_table[Monthly_rooms_Occupied],Occupancy_table[Month_Key],Daily_Data[[#This Row],[Month_key]]))</f>
        <v>392.7492447129909</v>
      </c>
      <c r="N4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1929.0424974823768</v>
      </c>
      <c r="O473" s="10">
        <f>SUMIFS(Expense_master[Monthly_Maintenance],Expense_master[Month_Key],Daily_Data[[#This Row],[Month_key]]) / SUMIFS(Expense_master[Days_in_Month],Expense_master[Month_Key], Daily_Data[[#This Row],[Month_key]])</f>
        <v>666.66666666666663</v>
      </c>
      <c r="P473" s="10">
        <f xml:space="preserve"> Daily_Data[[#This Row],[OTA Commision]] + Daily_Data[[#This Row],[Daily_Rent]]+Daily_Data[[#This Row],[Daily_Staff]]+Daily_Data[[#This Row],[Daily_HK]]+Daily_Data[[#This Row],[Daily_Electricity]] + Daily_Data[[#This Row],[Daily Maintenance]]</f>
        <v>19117.725075528702</v>
      </c>
      <c r="Q473" s="10">
        <f>Daily_Data[[#This Row],[Total_Sales]]-Daily_Data[[#This Row],[Total_Daily_Expense]]</f>
        <v>5712.2749244712977</v>
      </c>
      <c r="R473" s="10">
        <f>Daily_Data[[#This Row],[Total_Sales]]/Daily_Data[[#This Row],[Rooms_Occupied]]</f>
        <v>1910</v>
      </c>
      <c r="S473" s="10">
        <f>Daily_Data[[#This Row],[Total_Sales]] / Daily_Data[[#This Row],[Max_rooms]]</f>
        <v>1773.5714285714287</v>
      </c>
    </row>
    <row r="474" spans="1:19" x14ac:dyDescent="0.25">
      <c r="A474" s="6">
        <v>45399</v>
      </c>
      <c r="B474" s="20">
        <f>DATE(YEAR(Daily_Data[[#This Row],[Date]]), MONTH(Daily_Data[[#This Row],[Date]]), 1)</f>
        <v>45383</v>
      </c>
      <c r="C474" s="20" t="str">
        <f>TEXT(Daily_Data[[#This Row],[Month_key]],"mmmm")</f>
        <v>April</v>
      </c>
      <c r="D474" s="20" t="str">
        <f>TEXT(Daily_Data[[#This Row],[Month_key]],"yyyy")</f>
        <v>2024</v>
      </c>
      <c r="E474" s="7">
        <v>8</v>
      </c>
      <c r="F474" s="7">
        <v>14</v>
      </c>
      <c r="G474" s="8">
        <f>Daily_Data[[#This Row],[Rooms_Occupied]]/F474</f>
        <v>0.5714285714285714</v>
      </c>
      <c r="H474" s="7">
        <v>1394</v>
      </c>
      <c r="I474" s="7">
        <f>Daily_Data[[#This Row],[Room_rate]]*Daily_Data[[#This Row],[Rooms_Occupied]]</f>
        <v>11152</v>
      </c>
      <c r="J474" s="10">
        <f>Daily_Data[[#This Row],[Total_Sales]] * 0.22</f>
        <v>2453.44</v>
      </c>
      <c r="K474" s="10">
        <f>INDEX(Expense_master[Monthly_Rent],MATCH(Daily_Data[[#This Row],[Month_key]],Expense_master[Month_Key],0)) / INDEX(Expense_master[Days_in_Month],MATCH(Daily_Data[[#This Row],[Month_key]],Expense_master[Month_Key],0))</f>
        <v>8333.3333333333339</v>
      </c>
      <c r="L474" s="10">
        <f>SUMIFS(Expense_master[Staff_Salary],Expense_master[Month_Key],Daily_Data[[#This Row],[Month_key]]) / SUMIFS(Expense_master[Days_in_Month],Expense_master[Month_Key],Daily_Data[[#This Row],[Month_key]])</f>
        <v>2333.3333333333335</v>
      </c>
      <c r="M474" s="10">
        <f>Daily_Data[[#This Row],[Rooms_Occupied]] * (SUMIFS(Expense_master[Housekeeping_Laundy],Expense_master[Month_Key],Daily_Data[[#This Row],[Month_key]]) / SUMIFS(Occupancy_table[Monthly_rooms_Occupied],Occupancy_table[Month_Key],Daily_Data[[#This Row],[Month_key]]))</f>
        <v>241.69184290030211</v>
      </c>
      <c r="N4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1455.2056394763345</v>
      </c>
      <c r="O474" s="10">
        <f>SUMIFS(Expense_master[Monthly_Maintenance],Expense_master[Month_Key],Daily_Data[[#This Row],[Month_key]]) / SUMIFS(Expense_master[Days_in_Month],Expense_master[Month_Key], Daily_Data[[#This Row],[Month_key]])</f>
        <v>666.66666666666663</v>
      </c>
      <c r="P474" s="10">
        <f xml:space="preserve"> Daily_Data[[#This Row],[OTA Commision]] + Daily_Data[[#This Row],[Daily_Rent]]+Daily_Data[[#This Row],[Daily_Staff]]+Daily_Data[[#This Row],[Daily_HK]]+Daily_Data[[#This Row],[Daily_Electricity]] + Daily_Data[[#This Row],[Daily Maintenance]]</f>
        <v>15483.670815709971</v>
      </c>
      <c r="Q474" s="10">
        <f>Daily_Data[[#This Row],[Total_Sales]]-Daily_Data[[#This Row],[Total_Daily_Expense]]</f>
        <v>-4331.6708157099711</v>
      </c>
      <c r="R474" s="10">
        <f>Daily_Data[[#This Row],[Total_Sales]]/Daily_Data[[#This Row],[Rooms_Occupied]]</f>
        <v>1394</v>
      </c>
      <c r="S474" s="10">
        <f>Daily_Data[[#This Row],[Total_Sales]] / Daily_Data[[#This Row],[Max_rooms]]</f>
        <v>796.57142857142856</v>
      </c>
    </row>
    <row r="475" spans="1:19" x14ac:dyDescent="0.25">
      <c r="A475" s="6">
        <v>45400</v>
      </c>
      <c r="B475" s="20">
        <f>DATE(YEAR(Daily_Data[[#This Row],[Date]]), MONTH(Daily_Data[[#This Row],[Date]]), 1)</f>
        <v>45383</v>
      </c>
      <c r="C475" s="20" t="str">
        <f>TEXT(Daily_Data[[#This Row],[Month_key]],"mmmm")</f>
        <v>April</v>
      </c>
      <c r="D475" s="20" t="str">
        <f>TEXT(Daily_Data[[#This Row],[Month_key]],"yyyy")</f>
        <v>2024</v>
      </c>
      <c r="E475" s="7">
        <v>14</v>
      </c>
      <c r="F475" s="7">
        <v>14</v>
      </c>
      <c r="G475" s="8">
        <f>Daily_Data[[#This Row],[Rooms_Occupied]]/F475</f>
        <v>1</v>
      </c>
      <c r="H475" s="7">
        <v>1367</v>
      </c>
      <c r="I475" s="7">
        <f>Daily_Data[[#This Row],[Room_rate]]*Daily_Data[[#This Row],[Rooms_Occupied]]</f>
        <v>19138</v>
      </c>
      <c r="J475" s="10">
        <f>Daily_Data[[#This Row],[Total_Sales]] * 0.22</f>
        <v>4210.3599999999997</v>
      </c>
      <c r="K475" s="10">
        <f>INDEX(Expense_master[Monthly_Rent],MATCH(Daily_Data[[#This Row],[Month_key]],Expense_master[Month_Key],0)) / INDEX(Expense_master[Days_in_Month],MATCH(Daily_Data[[#This Row],[Month_key]],Expense_master[Month_Key],0))</f>
        <v>8333.3333333333339</v>
      </c>
      <c r="L475" s="10">
        <f>SUMIFS(Expense_master[Staff_Salary],Expense_master[Month_Key],Daily_Data[[#This Row],[Month_key]]) / SUMIFS(Expense_master[Days_in_Month],Expense_master[Month_Key],Daily_Data[[#This Row],[Month_key]])</f>
        <v>2333.3333333333335</v>
      </c>
      <c r="M475" s="10">
        <f>Daily_Data[[#This Row],[Rooms_Occupied]] * (SUMIFS(Expense_master[Housekeeping_Laundy],Expense_master[Month_Key],Daily_Data[[#This Row],[Month_key]]) / SUMIFS(Occupancy_table[Monthly_rooms_Occupied],Occupancy_table[Month_Key],Daily_Data[[#This Row],[Month_key]]))</f>
        <v>422.96072507552867</v>
      </c>
      <c r="N4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2023.809869083585</v>
      </c>
      <c r="O475" s="10">
        <f>SUMIFS(Expense_master[Monthly_Maintenance],Expense_master[Month_Key],Daily_Data[[#This Row],[Month_key]]) / SUMIFS(Expense_master[Days_in_Month],Expense_master[Month_Key], Daily_Data[[#This Row],[Month_key]])</f>
        <v>666.66666666666663</v>
      </c>
      <c r="P475" s="10">
        <f xml:space="preserve"> Daily_Data[[#This Row],[OTA Commision]] + Daily_Data[[#This Row],[Daily_Rent]]+Daily_Data[[#This Row],[Daily_Staff]]+Daily_Data[[#This Row],[Daily_HK]]+Daily_Data[[#This Row],[Daily_Electricity]] + Daily_Data[[#This Row],[Daily Maintenance]]</f>
        <v>17990.463927492448</v>
      </c>
      <c r="Q475" s="10">
        <f>Daily_Data[[#This Row],[Total_Sales]]-Daily_Data[[#This Row],[Total_Daily_Expense]]</f>
        <v>1147.5360725075516</v>
      </c>
      <c r="R475" s="10">
        <f>Daily_Data[[#This Row],[Total_Sales]]/Daily_Data[[#This Row],[Rooms_Occupied]]</f>
        <v>1367</v>
      </c>
      <c r="S475" s="10">
        <f>Daily_Data[[#This Row],[Total_Sales]] / Daily_Data[[#This Row],[Max_rooms]]</f>
        <v>1367</v>
      </c>
    </row>
    <row r="476" spans="1:19" x14ac:dyDescent="0.25">
      <c r="A476" s="6">
        <v>45401</v>
      </c>
      <c r="B476" s="20">
        <f>DATE(YEAR(Daily_Data[[#This Row],[Date]]), MONTH(Daily_Data[[#This Row],[Date]]), 1)</f>
        <v>45383</v>
      </c>
      <c r="C476" s="20" t="str">
        <f>TEXT(Daily_Data[[#This Row],[Month_key]],"mmmm")</f>
        <v>April</v>
      </c>
      <c r="D476" s="20" t="str">
        <f>TEXT(Daily_Data[[#This Row],[Month_key]],"yyyy")</f>
        <v>2024</v>
      </c>
      <c r="E476" s="7">
        <v>12</v>
      </c>
      <c r="F476" s="7">
        <v>14</v>
      </c>
      <c r="G476" s="8">
        <f>Daily_Data[[#This Row],[Rooms_Occupied]]/F476</f>
        <v>0.8571428571428571</v>
      </c>
      <c r="H476" s="7">
        <v>1444</v>
      </c>
      <c r="I476" s="7">
        <f>Daily_Data[[#This Row],[Room_rate]]*Daily_Data[[#This Row],[Rooms_Occupied]]</f>
        <v>17328</v>
      </c>
      <c r="J476" s="10">
        <f>Daily_Data[[#This Row],[Total_Sales]] * 0.22</f>
        <v>3812.16</v>
      </c>
      <c r="K476" s="10">
        <f>INDEX(Expense_master[Monthly_Rent],MATCH(Daily_Data[[#This Row],[Month_key]],Expense_master[Month_Key],0)) / INDEX(Expense_master[Days_in_Month],MATCH(Daily_Data[[#This Row],[Month_key]],Expense_master[Month_Key],0))</f>
        <v>8333.3333333333339</v>
      </c>
      <c r="L476" s="10">
        <f>SUMIFS(Expense_master[Staff_Salary],Expense_master[Month_Key],Daily_Data[[#This Row],[Month_key]]) / SUMIFS(Expense_master[Days_in_Month],Expense_master[Month_Key],Daily_Data[[#This Row],[Month_key]])</f>
        <v>2333.3333333333335</v>
      </c>
      <c r="M476" s="10">
        <f>Daily_Data[[#This Row],[Rooms_Occupied]] * (SUMIFS(Expense_master[Housekeeping_Laundy],Expense_master[Month_Key],Daily_Data[[#This Row],[Month_key]]) / SUMIFS(Occupancy_table[Monthly_rooms_Occupied],Occupancy_table[Month_Key],Daily_Data[[#This Row],[Month_key]]))</f>
        <v>362.53776435045313</v>
      </c>
      <c r="N4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1834.2751258811682</v>
      </c>
      <c r="O476" s="10">
        <f>SUMIFS(Expense_master[Monthly_Maintenance],Expense_master[Month_Key],Daily_Data[[#This Row],[Month_key]]) / SUMIFS(Expense_master[Days_in_Month],Expense_master[Month_Key], Daily_Data[[#This Row],[Month_key]])</f>
        <v>666.66666666666663</v>
      </c>
      <c r="P476" s="10">
        <f xml:space="preserve"> Daily_Data[[#This Row],[OTA Commision]] + Daily_Data[[#This Row],[Daily_Rent]]+Daily_Data[[#This Row],[Daily_Staff]]+Daily_Data[[#This Row],[Daily_HK]]+Daily_Data[[#This Row],[Daily_Electricity]] + Daily_Data[[#This Row],[Daily Maintenance]]</f>
        <v>17342.306223564956</v>
      </c>
      <c r="Q476" s="10">
        <f>Daily_Data[[#This Row],[Total_Sales]]-Daily_Data[[#This Row],[Total_Daily_Expense]]</f>
        <v>-14.306223564955872</v>
      </c>
      <c r="R476" s="10">
        <f>Daily_Data[[#This Row],[Total_Sales]]/Daily_Data[[#This Row],[Rooms_Occupied]]</f>
        <v>1444</v>
      </c>
      <c r="S476" s="10">
        <f>Daily_Data[[#This Row],[Total_Sales]] / Daily_Data[[#This Row],[Max_rooms]]</f>
        <v>1237.7142857142858</v>
      </c>
    </row>
    <row r="477" spans="1:19" x14ac:dyDescent="0.25">
      <c r="A477" s="6">
        <v>45402</v>
      </c>
      <c r="B477" s="20">
        <f>DATE(YEAR(Daily_Data[[#This Row],[Date]]), MONTH(Daily_Data[[#This Row],[Date]]), 1)</f>
        <v>45383</v>
      </c>
      <c r="C477" s="20" t="str">
        <f>TEXT(Daily_Data[[#This Row],[Month_key]],"mmmm")</f>
        <v>April</v>
      </c>
      <c r="D477" s="20" t="str">
        <f>TEXT(Daily_Data[[#This Row],[Month_key]],"yyyy")</f>
        <v>2024</v>
      </c>
      <c r="E477" s="7">
        <v>11</v>
      </c>
      <c r="F477" s="7">
        <v>14</v>
      </c>
      <c r="G477" s="8">
        <f>Daily_Data[[#This Row],[Rooms_Occupied]]/F477</f>
        <v>0.7857142857142857</v>
      </c>
      <c r="H477" s="7">
        <v>1757</v>
      </c>
      <c r="I477" s="7">
        <f>Daily_Data[[#This Row],[Room_rate]]*Daily_Data[[#This Row],[Rooms_Occupied]]</f>
        <v>19327</v>
      </c>
      <c r="J477" s="10">
        <f>Daily_Data[[#This Row],[Total_Sales]] * 0.22</f>
        <v>4251.9399999999996</v>
      </c>
      <c r="K477" s="10">
        <f>INDEX(Expense_master[Monthly_Rent],MATCH(Daily_Data[[#This Row],[Month_key]],Expense_master[Month_Key],0)) / INDEX(Expense_master[Days_in_Month],MATCH(Daily_Data[[#This Row],[Month_key]],Expense_master[Month_Key],0))</f>
        <v>8333.3333333333339</v>
      </c>
      <c r="L477" s="10">
        <f>SUMIFS(Expense_master[Staff_Salary],Expense_master[Month_Key],Daily_Data[[#This Row],[Month_key]]) / SUMIFS(Expense_master[Days_in_Month],Expense_master[Month_Key],Daily_Data[[#This Row],[Month_key]])</f>
        <v>2333.3333333333335</v>
      </c>
      <c r="M477" s="10">
        <f>Daily_Data[[#This Row],[Rooms_Occupied]] * (SUMIFS(Expense_master[Housekeeping_Laundy],Expense_master[Month_Key],Daily_Data[[#This Row],[Month_key]]) / SUMIFS(Occupancy_table[Monthly_rooms_Occupied],Occupancy_table[Month_Key],Daily_Data[[#This Row],[Month_key]]))</f>
        <v>332.32628398791542</v>
      </c>
      <c r="N4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1739.5077542799595</v>
      </c>
      <c r="O477" s="10">
        <f>SUMIFS(Expense_master[Monthly_Maintenance],Expense_master[Month_Key],Daily_Data[[#This Row],[Month_key]]) / SUMIFS(Expense_master[Days_in_Month],Expense_master[Month_Key], Daily_Data[[#This Row],[Month_key]])</f>
        <v>666.66666666666663</v>
      </c>
      <c r="P477" s="10">
        <f xml:space="preserve"> Daily_Data[[#This Row],[OTA Commision]] + Daily_Data[[#This Row],[Daily_Rent]]+Daily_Data[[#This Row],[Daily_Staff]]+Daily_Data[[#This Row],[Daily_HK]]+Daily_Data[[#This Row],[Daily_Electricity]] + Daily_Data[[#This Row],[Daily Maintenance]]</f>
        <v>17657.107371601211</v>
      </c>
      <c r="Q477" s="10">
        <f>Daily_Data[[#This Row],[Total_Sales]]-Daily_Data[[#This Row],[Total_Daily_Expense]]</f>
        <v>1669.8926283987894</v>
      </c>
      <c r="R477" s="10">
        <f>Daily_Data[[#This Row],[Total_Sales]]/Daily_Data[[#This Row],[Rooms_Occupied]]</f>
        <v>1757</v>
      </c>
      <c r="S477" s="10">
        <f>Daily_Data[[#This Row],[Total_Sales]] / Daily_Data[[#This Row],[Max_rooms]]</f>
        <v>1380.5</v>
      </c>
    </row>
    <row r="478" spans="1:19" x14ac:dyDescent="0.25">
      <c r="A478" s="6">
        <v>45403</v>
      </c>
      <c r="B478" s="20">
        <f>DATE(YEAR(Daily_Data[[#This Row],[Date]]), MONTH(Daily_Data[[#This Row],[Date]]), 1)</f>
        <v>45383</v>
      </c>
      <c r="C478" s="20" t="str">
        <f>TEXT(Daily_Data[[#This Row],[Month_key]],"mmmm")</f>
        <v>April</v>
      </c>
      <c r="D478" s="20" t="str">
        <f>TEXT(Daily_Data[[#This Row],[Month_key]],"yyyy")</f>
        <v>2024</v>
      </c>
      <c r="E478" s="7">
        <v>11</v>
      </c>
      <c r="F478" s="7">
        <v>14</v>
      </c>
      <c r="G478" s="8">
        <f>Daily_Data[[#This Row],[Rooms_Occupied]]/F478</f>
        <v>0.7857142857142857</v>
      </c>
      <c r="H478" s="7">
        <v>1055</v>
      </c>
      <c r="I478" s="7">
        <f>Daily_Data[[#This Row],[Room_rate]]*Daily_Data[[#This Row],[Rooms_Occupied]]</f>
        <v>11605</v>
      </c>
      <c r="J478" s="10">
        <f>Daily_Data[[#This Row],[Total_Sales]] * 0.22</f>
        <v>2553.1</v>
      </c>
      <c r="K478" s="10">
        <f>INDEX(Expense_master[Monthly_Rent],MATCH(Daily_Data[[#This Row],[Month_key]],Expense_master[Month_Key],0)) / INDEX(Expense_master[Days_in_Month],MATCH(Daily_Data[[#This Row],[Month_key]],Expense_master[Month_Key],0))</f>
        <v>8333.3333333333339</v>
      </c>
      <c r="L478" s="10">
        <f>SUMIFS(Expense_master[Staff_Salary],Expense_master[Month_Key],Daily_Data[[#This Row],[Month_key]]) / SUMIFS(Expense_master[Days_in_Month],Expense_master[Month_Key],Daily_Data[[#This Row],[Month_key]])</f>
        <v>2333.3333333333335</v>
      </c>
      <c r="M478" s="10">
        <f>Daily_Data[[#This Row],[Rooms_Occupied]] * (SUMIFS(Expense_master[Housekeeping_Laundy],Expense_master[Month_Key],Daily_Data[[#This Row],[Month_key]]) / SUMIFS(Occupancy_table[Monthly_rooms_Occupied],Occupancy_table[Month_Key],Daily_Data[[#This Row],[Month_key]]))</f>
        <v>332.32628398791542</v>
      </c>
      <c r="N4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1739.5077542799595</v>
      </c>
      <c r="O478" s="10">
        <f>SUMIFS(Expense_master[Monthly_Maintenance],Expense_master[Month_Key],Daily_Data[[#This Row],[Month_key]]) / SUMIFS(Expense_master[Days_in_Month],Expense_master[Month_Key], Daily_Data[[#This Row],[Month_key]])</f>
        <v>666.66666666666663</v>
      </c>
      <c r="P478" s="10">
        <f xml:space="preserve"> Daily_Data[[#This Row],[OTA Commision]] + Daily_Data[[#This Row],[Daily_Rent]]+Daily_Data[[#This Row],[Daily_Staff]]+Daily_Data[[#This Row],[Daily_HK]]+Daily_Data[[#This Row],[Daily_Electricity]] + Daily_Data[[#This Row],[Daily Maintenance]]</f>
        <v>15958.267371601209</v>
      </c>
      <c r="Q478" s="10">
        <f>Daily_Data[[#This Row],[Total_Sales]]-Daily_Data[[#This Row],[Total_Daily_Expense]]</f>
        <v>-4353.2673716012087</v>
      </c>
      <c r="R478" s="10">
        <f>Daily_Data[[#This Row],[Total_Sales]]/Daily_Data[[#This Row],[Rooms_Occupied]]</f>
        <v>1055</v>
      </c>
      <c r="S478" s="10">
        <f>Daily_Data[[#This Row],[Total_Sales]] / Daily_Data[[#This Row],[Max_rooms]]</f>
        <v>828.92857142857144</v>
      </c>
    </row>
    <row r="479" spans="1:19" x14ac:dyDescent="0.25">
      <c r="A479" s="6">
        <v>45404</v>
      </c>
      <c r="B479" s="20">
        <f>DATE(YEAR(Daily_Data[[#This Row],[Date]]), MONTH(Daily_Data[[#This Row],[Date]]), 1)</f>
        <v>45383</v>
      </c>
      <c r="C479" s="20" t="str">
        <f>TEXT(Daily_Data[[#This Row],[Month_key]],"mmmm")</f>
        <v>April</v>
      </c>
      <c r="D479" s="20" t="str">
        <f>TEXT(Daily_Data[[#This Row],[Month_key]],"yyyy")</f>
        <v>2024</v>
      </c>
      <c r="E479" s="7">
        <v>9</v>
      </c>
      <c r="F479" s="7">
        <v>14</v>
      </c>
      <c r="G479" s="8">
        <f>Daily_Data[[#This Row],[Rooms_Occupied]]/F479</f>
        <v>0.6428571428571429</v>
      </c>
      <c r="H479" s="7">
        <v>1743</v>
      </c>
      <c r="I479" s="7">
        <f>Daily_Data[[#This Row],[Room_rate]]*Daily_Data[[#This Row],[Rooms_Occupied]]</f>
        <v>15687</v>
      </c>
      <c r="J479" s="10">
        <f>Daily_Data[[#This Row],[Total_Sales]] * 0.22</f>
        <v>3451.14</v>
      </c>
      <c r="K479" s="10">
        <f>INDEX(Expense_master[Monthly_Rent],MATCH(Daily_Data[[#This Row],[Month_key]],Expense_master[Month_Key],0)) / INDEX(Expense_master[Days_in_Month],MATCH(Daily_Data[[#This Row],[Month_key]],Expense_master[Month_Key],0))</f>
        <v>8333.3333333333339</v>
      </c>
      <c r="L479" s="10">
        <f>SUMIFS(Expense_master[Staff_Salary],Expense_master[Month_Key],Daily_Data[[#This Row],[Month_key]]) / SUMIFS(Expense_master[Days_in_Month],Expense_master[Month_Key],Daily_Data[[#This Row],[Month_key]])</f>
        <v>2333.3333333333335</v>
      </c>
      <c r="M479" s="10">
        <f>Daily_Data[[#This Row],[Rooms_Occupied]] * (SUMIFS(Expense_master[Housekeeping_Laundy],Expense_master[Month_Key],Daily_Data[[#This Row],[Month_key]]) / SUMIFS(Occupancy_table[Monthly_rooms_Occupied],Occupancy_table[Month_Key],Daily_Data[[#This Row],[Month_key]]))</f>
        <v>271.90332326283988</v>
      </c>
      <c r="N4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1549.9730110775427</v>
      </c>
      <c r="O479" s="10">
        <f>SUMIFS(Expense_master[Monthly_Maintenance],Expense_master[Month_Key],Daily_Data[[#This Row],[Month_key]]) / SUMIFS(Expense_master[Days_in_Month],Expense_master[Month_Key], Daily_Data[[#This Row],[Month_key]])</f>
        <v>666.66666666666663</v>
      </c>
      <c r="P479" s="10">
        <f xml:space="preserve"> Daily_Data[[#This Row],[OTA Commision]] + Daily_Data[[#This Row],[Daily_Rent]]+Daily_Data[[#This Row],[Daily_Staff]]+Daily_Data[[#This Row],[Daily_HK]]+Daily_Data[[#This Row],[Daily_Electricity]] + Daily_Data[[#This Row],[Daily Maintenance]]</f>
        <v>16606.349667673716</v>
      </c>
      <c r="Q479" s="10">
        <f>Daily_Data[[#This Row],[Total_Sales]]-Daily_Data[[#This Row],[Total_Daily_Expense]]</f>
        <v>-919.34966767371589</v>
      </c>
      <c r="R479" s="10">
        <f>Daily_Data[[#This Row],[Total_Sales]]/Daily_Data[[#This Row],[Rooms_Occupied]]</f>
        <v>1743</v>
      </c>
      <c r="S479" s="10">
        <f>Daily_Data[[#This Row],[Total_Sales]] / Daily_Data[[#This Row],[Max_rooms]]</f>
        <v>1120.5</v>
      </c>
    </row>
    <row r="480" spans="1:19" x14ac:dyDescent="0.25">
      <c r="A480" s="6">
        <v>45405</v>
      </c>
      <c r="B480" s="20">
        <f>DATE(YEAR(Daily_Data[[#This Row],[Date]]), MONTH(Daily_Data[[#This Row],[Date]]), 1)</f>
        <v>45383</v>
      </c>
      <c r="C480" s="20" t="str">
        <f>TEXT(Daily_Data[[#This Row],[Month_key]],"mmmm")</f>
        <v>April</v>
      </c>
      <c r="D480" s="20" t="str">
        <f>TEXT(Daily_Data[[#This Row],[Month_key]],"yyyy")</f>
        <v>2024</v>
      </c>
      <c r="E480" s="7">
        <v>8</v>
      </c>
      <c r="F480" s="7">
        <v>14</v>
      </c>
      <c r="G480" s="8">
        <f>Daily_Data[[#This Row],[Rooms_Occupied]]/F480</f>
        <v>0.5714285714285714</v>
      </c>
      <c r="H480" s="7">
        <v>1370</v>
      </c>
      <c r="I480" s="7">
        <f>Daily_Data[[#This Row],[Room_rate]]*Daily_Data[[#This Row],[Rooms_Occupied]]</f>
        <v>10960</v>
      </c>
      <c r="J480" s="10">
        <f>Daily_Data[[#This Row],[Total_Sales]] * 0.22</f>
        <v>2411.1999999999998</v>
      </c>
      <c r="K480" s="10">
        <f>INDEX(Expense_master[Monthly_Rent],MATCH(Daily_Data[[#This Row],[Month_key]],Expense_master[Month_Key],0)) / INDEX(Expense_master[Days_in_Month],MATCH(Daily_Data[[#This Row],[Month_key]],Expense_master[Month_Key],0))</f>
        <v>8333.3333333333339</v>
      </c>
      <c r="L480" s="10">
        <f>SUMIFS(Expense_master[Staff_Salary],Expense_master[Month_Key],Daily_Data[[#This Row],[Month_key]]) / SUMIFS(Expense_master[Days_in_Month],Expense_master[Month_Key],Daily_Data[[#This Row],[Month_key]])</f>
        <v>2333.3333333333335</v>
      </c>
      <c r="M480" s="10">
        <f>Daily_Data[[#This Row],[Rooms_Occupied]] * (SUMIFS(Expense_master[Housekeeping_Laundy],Expense_master[Month_Key],Daily_Data[[#This Row],[Month_key]]) / SUMIFS(Occupancy_table[Monthly_rooms_Occupied],Occupancy_table[Month_Key],Daily_Data[[#This Row],[Month_key]]))</f>
        <v>241.69184290030211</v>
      </c>
      <c r="N4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1455.2056394763345</v>
      </c>
      <c r="O480" s="10">
        <f>SUMIFS(Expense_master[Monthly_Maintenance],Expense_master[Month_Key],Daily_Data[[#This Row],[Month_key]]) / SUMIFS(Expense_master[Days_in_Month],Expense_master[Month_Key], Daily_Data[[#This Row],[Month_key]])</f>
        <v>666.66666666666663</v>
      </c>
      <c r="P480" s="10">
        <f xml:space="preserve"> Daily_Data[[#This Row],[OTA Commision]] + Daily_Data[[#This Row],[Daily_Rent]]+Daily_Data[[#This Row],[Daily_Staff]]+Daily_Data[[#This Row],[Daily_HK]]+Daily_Data[[#This Row],[Daily_Electricity]] + Daily_Data[[#This Row],[Daily Maintenance]]</f>
        <v>15441.430815709969</v>
      </c>
      <c r="Q480" s="10">
        <f>Daily_Data[[#This Row],[Total_Sales]]-Daily_Data[[#This Row],[Total_Daily_Expense]]</f>
        <v>-4481.4308157099695</v>
      </c>
      <c r="R480" s="10">
        <f>Daily_Data[[#This Row],[Total_Sales]]/Daily_Data[[#This Row],[Rooms_Occupied]]</f>
        <v>1370</v>
      </c>
      <c r="S480" s="10">
        <f>Daily_Data[[#This Row],[Total_Sales]] / Daily_Data[[#This Row],[Max_rooms]]</f>
        <v>782.85714285714289</v>
      </c>
    </row>
    <row r="481" spans="1:19" x14ac:dyDescent="0.25">
      <c r="A481" s="6">
        <v>45406</v>
      </c>
      <c r="B481" s="20">
        <f>DATE(YEAR(Daily_Data[[#This Row],[Date]]), MONTH(Daily_Data[[#This Row],[Date]]), 1)</f>
        <v>45383</v>
      </c>
      <c r="C481" s="20" t="str">
        <f>TEXT(Daily_Data[[#This Row],[Month_key]],"mmmm")</f>
        <v>April</v>
      </c>
      <c r="D481" s="20" t="str">
        <f>TEXT(Daily_Data[[#This Row],[Month_key]],"yyyy")</f>
        <v>2024</v>
      </c>
      <c r="E481" s="7">
        <v>10</v>
      </c>
      <c r="F481" s="7">
        <v>14</v>
      </c>
      <c r="G481" s="8">
        <f>Daily_Data[[#This Row],[Rooms_Occupied]]/F481</f>
        <v>0.7142857142857143</v>
      </c>
      <c r="H481" s="7">
        <v>1413</v>
      </c>
      <c r="I481" s="7">
        <f>Daily_Data[[#This Row],[Room_rate]]*Daily_Data[[#This Row],[Rooms_Occupied]]</f>
        <v>14130</v>
      </c>
      <c r="J481" s="10">
        <f>Daily_Data[[#This Row],[Total_Sales]] * 0.22</f>
        <v>3108.6</v>
      </c>
      <c r="K481" s="10">
        <f>INDEX(Expense_master[Monthly_Rent],MATCH(Daily_Data[[#This Row],[Month_key]],Expense_master[Month_Key],0)) / INDEX(Expense_master[Days_in_Month],MATCH(Daily_Data[[#This Row],[Month_key]],Expense_master[Month_Key],0))</f>
        <v>8333.3333333333339</v>
      </c>
      <c r="L481" s="10">
        <f>SUMIFS(Expense_master[Staff_Salary],Expense_master[Month_Key],Daily_Data[[#This Row],[Month_key]]) / SUMIFS(Expense_master[Days_in_Month],Expense_master[Month_Key],Daily_Data[[#This Row],[Month_key]])</f>
        <v>2333.3333333333335</v>
      </c>
      <c r="M481" s="10">
        <f>Daily_Data[[#This Row],[Rooms_Occupied]] * (SUMIFS(Expense_master[Housekeeping_Laundy],Expense_master[Month_Key],Daily_Data[[#This Row],[Month_key]]) / SUMIFS(Occupancy_table[Monthly_rooms_Occupied],Occupancy_table[Month_Key],Daily_Data[[#This Row],[Month_key]]))</f>
        <v>302.11480362537765</v>
      </c>
      <c r="N4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1644.7403826787513</v>
      </c>
      <c r="O481" s="10">
        <f>SUMIFS(Expense_master[Monthly_Maintenance],Expense_master[Month_Key],Daily_Data[[#This Row],[Month_key]]) / SUMIFS(Expense_master[Days_in_Month],Expense_master[Month_Key], Daily_Data[[#This Row],[Month_key]])</f>
        <v>666.66666666666663</v>
      </c>
      <c r="P481" s="10">
        <f xml:space="preserve"> Daily_Data[[#This Row],[OTA Commision]] + Daily_Data[[#This Row],[Daily_Rent]]+Daily_Data[[#This Row],[Daily_Staff]]+Daily_Data[[#This Row],[Daily_HK]]+Daily_Data[[#This Row],[Daily_Electricity]] + Daily_Data[[#This Row],[Daily Maintenance]]</f>
        <v>16388.788519637466</v>
      </c>
      <c r="Q481" s="10">
        <f>Daily_Data[[#This Row],[Total_Sales]]-Daily_Data[[#This Row],[Total_Daily_Expense]]</f>
        <v>-2258.7885196374664</v>
      </c>
      <c r="R481" s="10">
        <f>Daily_Data[[#This Row],[Total_Sales]]/Daily_Data[[#This Row],[Rooms_Occupied]]</f>
        <v>1413</v>
      </c>
      <c r="S481" s="10">
        <f>Daily_Data[[#This Row],[Total_Sales]] / Daily_Data[[#This Row],[Max_rooms]]</f>
        <v>1009.2857142857143</v>
      </c>
    </row>
    <row r="482" spans="1:19" x14ac:dyDescent="0.25">
      <c r="A482" s="6">
        <v>45407</v>
      </c>
      <c r="B482" s="20">
        <f>DATE(YEAR(Daily_Data[[#This Row],[Date]]), MONTH(Daily_Data[[#This Row],[Date]]), 1)</f>
        <v>45383</v>
      </c>
      <c r="C482" s="20" t="str">
        <f>TEXT(Daily_Data[[#This Row],[Month_key]],"mmmm")</f>
        <v>April</v>
      </c>
      <c r="D482" s="20" t="str">
        <f>TEXT(Daily_Data[[#This Row],[Month_key]],"yyyy")</f>
        <v>2024</v>
      </c>
      <c r="E482" s="7">
        <v>9</v>
      </c>
      <c r="F482" s="7">
        <v>14</v>
      </c>
      <c r="G482" s="8">
        <f>Daily_Data[[#This Row],[Rooms_Occupied]]/F482</f>
        <v>0.6428571428571429</v>
      </c>
      <c r="H482" s="7">
        <v>1990</v>
      </c>
      <c r="I482" s="7">
        <f>Daily_Data[[#This Row],[Room_rate]]*Daily_Data[[#This Row],[Rooms_Occupied]]</f>
        <v>17910</v>
      </c>
      <c r="J482" s="10">
        <f>Daily_Data[[#This Row],[Total_Sales]] * 0.22</f>
        <v>3940.2</v>
      </c>
      <c r="K482" s="10">
        <f>INDEX(Expense_master[Monthly_Rent],MATCH(Daily_Data[[#This Row],[Month_key]],Expense_master[Month_Key],0)) / INDEX(Expense_master[Days_in_Month],MATCH(Daily_Data[[#This Row],[Month_key]],Expense_master[Month_Key],0))</f>
        <v>8333.3333333333339</v>
      </c>
      <c r="L482" s="10">
        <f>SUMIFS(Expense_master[Staff_Salary],Expense_master[Month_Key],Daily_Data[[#This Row],[Month_key]]) / SUMIFS(Expense_master[Days_in_Month],Expense_master[Month_Key],Daily_Data[[#This Row],[Month_key]])</f>
        <v>2333.3333333333335</v>
      </c>
      <c r="M482" s="10">
        <f>Daily_Data[[#This Row],[Rooms_Occupied]] * (SUMIFS(Expense_master[Housekeeping_Laundy],Expense_master[Month_Key],Daily_Data[[#This Row],[Month_key]]) / SUMIFS(Occupancy_table[Monthly_rooms_Occupied],Occupancy_table[Month_Key],Daily_Data[[#This Row],[Month_key]]))</f>
        <v>271.90332326283988</v>
      </c>
      <c r="N4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1549.9730110775427</v>
      </c>
      <c r="O482" s="10">
        <f>SUMIFS(Expense_master[Monthly_Maintenance],Expense_master[Month_Key],Daily_Data[[#This Row],[Month_key]]) / SUMIFS(Expense_master[Days_in_Month],Expense_master[Month_Key], Daily_Data[[#This Row],[Month_key]])</f>
        <v>666.66666666666663</v>
      </c>
      <c r="P482" s="10">
        <f xml:space="preserve"> Daily_Data[[#This Row],[OTA Commision]] + Daily_Data[[#This Row],[Daily_Rent]]+Daily_Data[[#This Row],[Daily_Staff]]+Daily_Data[[#This Row],[Daily_HK]]+Daily_Data[[#This Row],[Daily_Electricity]] + Daily_Data[[#This Row],[Daily Maintenance]]</f>
        <v>17095.409667673717</v>
      </c>
      <c r="Q482" s="10">
        <f>Daily_Data[[#This Row],[Total_Sales]]-Daily_Data[[#This Row],[Total_Daily_Expense]]</f>
        <v>814.59033232628281</v>
      </c>
      <c r="R482" s="10">
        <f>Daily_Data[[#This Row],[Total_Sales]]/Daily_Data[[#This Row],[Rooms_Occupied]]</f>
        <v>1990</v>
      </c>
      <c r="S482" s="10">
        <f>Daily_Data[[#This Row],[Total_Sales]] / Daily_Data[[#This Row],[Max_rooms]]</f>
        <v>1279.2857142857142</v>
      </c>
    </row>
    <row r="483" spans="1:19" x14ac:dyDescent="0.25">
      <c r="A483" s="6">
        <v>45408</v>
      </c>
      <c r="B483" s="20">
        <f>DATE(YEAR(Daily_Data[[#This Row],[Date]]), MONTH(Daily_Data[[#This Row],[Date]]), 1)</f>
        <v>45383</v>
      </c>
      <c r="C483" s="20" t="str">
        <f>TEXT(Daily_Data[[#This Row],[Month_key]],"mmmm")</f>
        <v>April</v>
      </c>
      <c r="D483" s="20" t="str">
        <f>TEXT(Daily_Data[[#This Row],[Month_key]],"yyyy")</f>
        <v>2024</v>
      </c>
      <c r="E483" s="7">
        <v>9</v>
      </c>
      <c r="F483" s="7">
        <v>14</v>
      </c>
      <c r="G483" s="8">
        <f>Daily_Data[[#This Row],[Rooms_Occupied]]/F483</f>
        <v>0.6428571428571429</v>
      </c>
      <c r="H483" s="7">
        <v>1748</v>
      </c>
      <c r="I483" s="7">
        <f>Daily_Data[[#This Row],[Room_rate]]*Daily_Data[[#This Row],[Rooms_Occupied]]</f>
        <v>15732</v>
      </c>
      <c r="J483" s="10">
        <f>Daily_Data[[#This Row],[Total_Sales]] * 0.22</f>
        <v>3461.04</v>
      </c>
      <c r="K483" s="10">
        <f>INDEX(Expense_master[Monthly_Rent],MATCH(Daily_Data[[#This Row],[Month_key]],Expense_master[Month_Key],0)) / INDEX(Expense_master[Days_in_Month],MATCH(Daily_Data[[#This Row],[Month_key]],Expense_master[Month_Key],0))</f>
        <v>8333.3333333333339</v>
      </c>
      <c r="L483" s="10">
        <f>SUMIFS(Expense_master[Staff_Salary],Expense_master[Month_Key],Daily_Data[[#This Row],[Month_key]]) / SUMIFS(Expense_master[Days_in_Month],Expense_master[Month_Key],Daily_Data[[#This Row],[Month_key]])</f>
        <v>2333.3333333333335</v>
      </c>
      <c r="M483" s="10">
        <f>Daily_Data[[#This Row],[Rooms_Occupied]] * (SUMIFS(Expense_master[Housekeeping_Laundy],Expense_master[Month_Key],Daily_Data[[#This Row],[Month_key]]) / SUMIFS(Occupancy_table[Monthly_rooms_Occupied],Occupancy_table[Month_Key],Daily_Data[[#This Row],[Month_key]]))</f>
        <v>271.90332326283988</v>
      </c>
      <c r="N4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1549.9730110775427</v>
      </c>
      <c r="O483" s="10">
        <f>SUMIFS(Expense_master[Monthly_Maintenance],Expense_master[Month_Key],Daily_Data[[#This Row],[Month_key]]) / SUMIFS(Expense_master[Days_in_Month],Expense_master[Month_Key], Daily_Data[[#This Row],[Month_key]])</f>
        <v>666.66666666666663</v>
      </c>
      <c r="P483" s="10">
        <f xml:space="preserve"> Daily_Data[[#This Row],[OTA Commision]] + Daily_Data[[#This Row],[Daily_Rent]]+Daily_Data[[#This Row],[Daily_Staff]]+Daily_Data[[#This Row],[Daily_HK]]+Daily_Data[[#This Row],[Daily_Electricity]] + Daily_Data[[#This Row],[Daily Maintenance]]</f>
        <v>16616.249667673717</v>
      </c>
      <c r="Q483" s="10">
        <f>Daily_Data[[#This Row],[Total_Sales]]-Daily_Data[[#This Row],[Total_Daily_Expense]]</f>
        <v>-884.24966767371734</v>
      </c>
      <c r="R483" s="10">
        <f>Daily_Data[[#This Row],[Total_Sales]]/Daily_Data[[#This Row],[Rooms_Occupied]]</f>
        <v>1748</v>
      </c>
      <c r="S483" s="10">
        <f>Daily_Data[[#This Row],[Total_Sales]] / Daily_Data[[#This Row],[Max_rooms]]</f>
        <v>1123.7142857142858</v>
      </c>
    </row>
    <row r="484" spans="1:19" x14ac:dyDescent="0.25">
      <c r="A484" s="6">
        <v>45409</v>
      </c>
      <c r="B484" s="20">
        <f>DATE(YEAR(Daily_Data[[#This Row],[Date]]), MONTH(Daily_Data[[#This Row],[Date]]), 1)</f>
        <v>45383</v>
      </c>
      <c r="C484" s="20" t="str">
        <f>TEXT(Daily_Data[[#This Row],[Month_key]],"mmmm")</f>
        <v>April</v>
      </c>
      <c r="D484" s="20" t="str">
        <f>TEXT(Daily_Data[[#This Row],[Month_key]],"yyyy")</f>
        <v>2024</v>
      </c>
      <c r="E484" s="7">
        <v>12</v>
      </c>
      <c r="F484" s="7">
        <v>14</v>
      </c>
      <c r="G484" s="8">
        <f>Daily_Data[[#This Row],[Rooms_Occupied]]/F484</f>
        <v>0.8571428571428571</v>
      </c>
      <c r="H484" s="7">
        <v>1821</v>
      </c>
      <c r="I484" s="7">
        <f>Daily_Data[[#This Row],[Room_rate]]*Daily_Data[[#This Row],[Rooms_Occupied]]</f>
        <v>21852</v>
      </c>
      <c r="J484" s="10">
        <f>Daily_Data[[#This Row],[Total_Sales]] * 0.22</f>
        <v>4807.4399999999996</v>
      </c>
      <c r="K484" s="10">
        <f>INDEX(Expense_master[Monthly_Rent],MATCH(Daily_Data[[#This Row],[Month_key]],Expense_master[Month_Key],0)) / INDEX(Expense_master[Days_in_Month],MATCH(Daily_Data[[#This Row],[Month_key]],Expense_master[Month_Key],0))</f>
        <v>8333.3333333333339</v>
      </c>
      <c r="L484" s="10">
        <f>SUMIFS(Expense_master[Staff_Salary],Expense_master[Month_Key],Daily_Data[[#This Row],[Month_key]]) / SUMIFS(Expense_master[Days_in_Month],Expense_master[Month_Key],Daily_Data[[#This Row],[Month_key]])</f>
        <v>2333.3333333333335</v>
      </c>
      <c r="M484" s="10">
        <f>Daily_Data[[#This Row],[Rooms_Occupied]] * (SUMIFS(Expense_master[Housekeeping_Laundy],Expense_master[Month_Key],Daily_Data[[#This Row],[Month_key]]) / SUMIFS(Occupancy_table[Monthly_rooms_Occupied],Occupancy_table[Month_Key],Daily_Data[[#This Row],[Month_key]]))</f>
        <v>362.53776435045313</v>
      </c>
      <c r="N4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1834.2751258811682</v>
      </c>
      <c r="O484" s="10">
        <f>SUMIFS(Expense_master[Monthly_Maintenance],Expense_master[Month_Key],Daily_Data[[#This Row],[Month_key]]) / SUMIFS(Expense_master[Days_in_Month],Expense_master[Month_Key], Daily_Data[[#This Row],[Month_key]])</f>
        <v>666.66666666666663</v>
      </c>
      <c r="P484" s="10">
        <f xml:space="preserve"> Daily_Data[[#This Row],[OTA Commision]] + Daily_Data[[#This Row],[Daily_Rent]]+Daily_Data[[#This Row],[Daily_Staff]]+Daily_Data[[#This Row],[Daily_HK]]+Daily_Data[[#This Row],[Daily_Electricity]] + Daily_Data[[#This Row],[Daily Maintenance]]</f>
        <v>18337.586223564958</v>
      </c>
      <c r="Q484" s="10">
        <f>Daily_Data[[#This Row],[Total_Sales]]-Daily_Data[[#This Row],[Total_Daily_Expense]]</f>
        <v>3514.4137764350417</v>
      </c>
      <c r="R484" s="10">
        <f>Daily_Data[[#This Row],[Total_Sales]]/Daily_Data[[#This Row],[Rooms_Occupied]]</f>
        <v>1821</v>
      </c>
      <c r="S484" s="10">
        <f>Daily_Data[[#This Row],[Total_Sales]] / Daily_Data[[#This Row],[Max_rooms]]</f>
        <v>1560.8571428571429</v>
      </c>
    </row>
    <row r="485" spans="1:19" x14ac:dyDescent="0.25">
      <c r="A485" s="6">
        <v>45410</v>
      </c>
      <c r="B485" s="20">
        <f>DATE(YEAR(Daily_Data[[#This Row],[Date]]), MONTH(Daily_Data[[#This Row],[Date]]), 1)</f>
        <v>45383</v>
      </c>
      <c r="C485" s="20" t="str">
        <f>TEXT(Daily_Data[[#This Row],[Month_key]],"mmmm")</f>
        <v>April</v>
      </c>
      <c r="D485" s="20" t="str">
        <f>TEXT(Daily_Data[[#This Row],[Month_key]],"yyyy")</f>
        <v>2024</v>
      </c>
      <c r="E485" s="7">
        <v>10</v>
      </c>
      <c r="F485" s="7">
        <v>14</v>
      </c>
      <c r="G485" s="8">
        <f>Daily_Data[[#This Row],[Rooms_Occupied]]/F485</f>
        <v>0.7142857142857143</v>
      </c>
      <c r="H485" s="7">
        <v>1847</v>
      </c>
      <c r="I485" s="7">
        <f>Daily_Data[[#This Row],[Room_rate]]*Daily_Data[[#This Row],[Rooms_Occupied]]</f>
        <v>18470</v>
      </c>
      <c r="J485" s="10">
        <f>Daily_Data[[#This Row],[Total_Sales]] * 0.22</f>
        <v>4063.4</v>
      </c>
      <c r="K485" s="10">
        <f>INDEX(Expense_master[Monthly_Rent],MATCH(Daily_Data[[#This Row],[Month_key]],Expense_master[Month_Key],0)) / INDEX(Expense_master[Days_in_Month],MATCH(Daily_Data[[#This Row],[Month_key]],Expense_master[Month_Key],0))</f>
        <v>8333.3333333333339</v>
      </c>
      <c r="L485" s="10">
        <f>SUMIFS(Expense_master[Staff_Salary],Expense_master[Month_Key],Daily_Data[[#This Row],[Month_key]]) / SUMIFS(Expense_master[Days_in_Month],Expense_master[Month_Key],Daily_Data[[#This Row],[Month_key]])</f>
        <v>2333.3333333333335</v>
      </c>
      <c r="M485" s="10">
        <f>Daily_Data[[#This Row],[Rooms_Occupied]] * (SUMIFS(Expense_master[Housekeeping_Laundy],Expense_master[Month_Key],Daily_Data[[#This Row],[Month_key]]) / SUMIFS(Occupancy_table[Monthly_rooms_Occupied],Occupancy_table[Month_Key],Daily_Data[[#This Row],[Month_key]]))</f>
        <v>302.11480362537765</v>
      </c>
      <c r="N4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1644.7403826787513</v>
      </c>
      <c r="O485" s="10">
        <f>SUMIFS(Expense_master[Monthly_Maintenance],Expense_master[Month_Key],Daily_Data[[#This Row],[Month_key]]) / SUMIFS(Expense_master[Days_in_Month],Expense_master[Month_Key], Daily_Data[[#This Row],[Month_key]])</f>
        <v>666.66666666666663</v>
      </c>
      <c r="P485" s="10">
        <f xml:space="preserve"> Daily_Data[[#This Row],[OTA Commision]] + Daily_Data[[#This Row],[Daily_Rent]]+Daily_Data[[#This Row],[Daily_Staff]]+Daily_Data[[#This Row],[Daily_HK]]+Daily_Data[[#This Row],[Daily_Electricity]] + Daily_Data[[#This Row],[Daily Maintenance]]</f>
        <v>17343.588519637466</v>
      </c>
      <c r="Q485" s="10">
        <f>Daily_Data[[#This Row],[Total_Sales]]-Daily_Data[[#This Row],[Total_Daily_Expense]]</f>
        <v>1126.4114803625343</v>
      </c>
      <c r="R485" s="10">
        <f>Daily_Data[[#This Row],[Total_Sales]]/Daily_Data[[#This Row],[Rooms_Occupied]]</f>
        <v>1847</v>
      </c>
      <c r="S485" s="10">
        <f>Daily_Data[[#This Row],[Total_Sales]] / Daily_Data[[#This Row],[Max_rooms]]</f>
        <v>1319.2857142857142</v>
      </c>
    </row>
    <row r="486" spans="1:19" x14ac:dyDescent="0.25">
      <c r="A486" s="6">
        <v>45411</v>
      </c>
      <c r="B486" s="20">
        <f>DATE(YEAR(Daily_Data[[#This Row],[Date]]), MONTH(Daily_Data[[#This Row],[Date]]), 1)</f>
        <v>45383</v>
      </c>
      <c r="C486" s="20" t="str">
        <f>TEXT(Daily_Data[[#This Row],[Month_key]],"mmmm")</f>
        <v>April</v>
      </c>
      <c r="D486" s="20" t="str">
        <f>TEXT(Daily_Data[[#This Row],[Month_key]],"yyyy")</f>
        <v>2024</v>
      </c>
      <c r="E486" s="7">
        <v>14</v>
      </c>
      <c r="F486" s="7">
        <v>14</v>
      </c>
      <c r="G486" s="8">
        <f>Daily_Data[[#This Row],[Rooms_Occupied]]/F486</f>
        <v>1</v>
      </c>
      <c r="H486" s="7">
        <v>1097</v>
      </c>
      <c r="I486" s="7">
        <f>Daily_Data[[#This Row],[Room_rate]]*Daily_Data[[#This Row],[Rooms_Occupied]]</f>
        <v>15358</v>
      </c>
      <c r="J486" s="10">
        <f>Daily_Data[[#This Row],[Total_Sales]] * 0.22</f>
        <v>3378.76</v>
      </c>
      <c r="K486" s="10">
        <f>INDEX(Expense_master[Monthly_Rent],MATCH(Daily_Data[[#This Row],[Month_key]],Expense_master[Month_Key],0)) / INDEX(Expense_master[Days_in_Month],MATCH(Daily_Data[[#This Row],[Month_key]],Expense_master[Month_Key],0))</f>
        <v>8333.3333333333339</v>
      </c>
      <c r="L486" s="10">
        <f>SUMIFS(Expense_master[Staff_Salary],Expense_master[Month_Key],Daily_Data[[#This Row],[Month_key]]) / SUMIFS(Expense_master[Days_in_Month],Expense_master[Month_Key],Daily_Data[[#This Row],[Month_key]])</f>
        <v>2333.3333333333335</v>
      </c>
      <c r="M486" s="10">
        <f>Daily_Data[[#This Row],[Rooms_Occupied]] * (SUMIFS(Expense_master[Housekeeping_Laundy],Expense_master[Month_Key],Daily_Data[[#This Row],[Month_key]]) / SUMIFS(Occupancy_table[Monthly_rooms_Occupied],Occupancy_table[Month_Key],Daily_Data[[#This Row],[Month_key]]))</f>
        <v>422.96072507552867</v>
      </c>
      <c r="N4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2023.809869083585</v>
      </c>
      <c r="O486" s="10">
        <f>SUMIFS(Expense_master[Monthly_Maintenance],Expense_master[Month_Key],Daily_Data[[#This Row],[Month_key]]) / SUMIFS(Expense_master[Days_in_Month],Expense_master[Month_Key], Daily_Data[[#This Row],[Month_key]])</f>
        <v>666.66666666666663</v>
      </c>
      <c r="P486" s="10">
        <f xml:space="preserve"> Daily_Data[[#This Row],[OTA Commision]] + Daily_Data[[#This Row],[Daily_Rent]]+Daily_Data[[#This Row],[Daily_Staff]]+Daily_Data[[#This Row],[Daily_HK]]+Daily_Data[[#This Row],[Daily_Electricity]] + Daily_Data[[#This Row],[Daily Maintenance]]</f>
        <v>17158.86392749245</v>
      </c>
      <c r="Q486" s="10">
        <f>Daily_Data[[#This Row],[Total_Sales]]-Daily_Data[[#This Row],[Total_Daily_Expense]]</f>
        <v>-1800.8639274924499</v>
      </c>
      <c r="R486" s="10">
        <f>Daily_Data[[#This Row],[Total_Sales]]/Daily_Data[[#This Row],[Rooms_Occupied]]</f>
        <v>1097</v>
      </c>
      <c r="S486" s="10">
        <f>Daily_Data[[#This Row],[Total_Sales]] / Daily_Data[[#This Row],[Max_rooms]]</f>
        <v>1097</v>
      </c>
    </row>
    <row r="487" spans="1:19" x14ac:dyDescent="0.25">
      <c r="A487" s="6">
        <v>45412</v>
      </c>
      <c r="B487" s="20">
        <f>DATE(YEAR(Daily_Data[[#This Row],[Date]]), MONTH(Daily_Data[[#This Row],[Date]]), 1)</f>
        <v>45383</v>
      </c>
      <c r="C487" s="20" t="str">
        <f>TEXT(Daily_Data[[#This Row],[Month_key]],"mmmm")</f>
        <v>April</v>
      </c>
      <c r="D487" s="20" t="str">
        <f>TEXT(Daily_Data[[#This Row],[Month_key]],"yyyy")</f>
        <v>2024</v>
      </c>
      <c r="E487" s="7">
        <v>14</v>
      </c>
      <c r="F487" s="7">
        <v>14</v>
      </c>
      <c r="G487" s="8">
        <f>Daily_Data[[#This Row],[Rooms_Occupied]]/F487</f>
        <v>1</v>
      </c>
      <c r="H487" s="7">
        <v>1602</v>
      </c>
      <c r="I487" s="7">
        <f>Daily_Data[[#This Row],[Room_rate]]*Daily_Data[[#This Row],[Rooms_Occupied]]</f>
        <v>22428</v>
      </c>
      <c r="J487" s="10">
        <f>Daily_Data[[#This Row],[Total_Sales]] * 0.22</f>
        <v>4934.16</v>
      </c>
      <c r="K487" s="10">
        <f>INDEX(Expense_master[Monthly_Rent],MATCH(Daily_Data[[#This Row],[Month_key]],Expense_master[Month_Key],0)) / INDEX(Expense_master[Days_in_Month],MATCH(Daily_Data[[#This Row],[Month_key]],Expense_master[Month_Key],0))</f>
        <v>8333.3333333333339</v>
      </c>
      <c r="L487" s="10">
        <f>SUMIFS(Expense_master[Staff_Salary],Expense_master[Month_Key],Daily_Data[[#This Row],[Month_key]]) / SUMIFS(Expense_master[Days_in_Month],Expense_master[Month_Key],Daily_Data[[#This Row],[Month_key]])</f>
        <v>2333.3333333333335</v>
      </c>
      <c r="M487" s="10">
        <f>Daily_Data[[#This Row],[Rooms_Occupied]] * (SUMIFS(Expense_master[Housekeeping_Laundy],Expense_master[Month_Key],Daily_Data[[#This Row],[Month_key]]) / SUMIFS(Occupancy_table[Monthly_rooms_Occupied],Occupancy_table[Month_Key],Daily_Data[[#This Row],[Month_key]]))</f>
        <v>422.96072507552867</v>
      </c>
      <c r="N4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2023.809869083585</v>
      </c>
      <c r="O487" s="10">
        <f>SUMIFS(Expense_master[Monthly_Maintenance],Expense_master[Month_Key],Daily_Data[[#This Row],[Month_key]]) / SUMIFS(Expense_master[Days_in_Month],Expense_master[Month_Key], Daily_Data[[#This Row],[Month_key]])</f>
        <v>666.66666666666663</v>
      </c>
      <c r="P487" s="10">
        <f xml:space="preserve"> Daily_Data[[#This Row],[OTA Commision]] + Daily_Data[[#This Row],[Daily_Rent]]+Daily_Data[[#This Row],[Daily_Staff]]+Daily_Data[[#This Row],[Daily_HK]]+Daily_Data[[#This Row],[Daily_Electricity]] + Daily_Data[[#This Row],[Daily Maintenance]]</f>
        <v>18714.263927492448</v>
      </c>
      <c r="Q487" s="10">
        <f>Daily_Data[[#This Row],[Total_Sales]]-Daily_Data[[#This Row],[Total_Daily_Expense]]</f>
        <v>3713.7360725075523</v>
      </c>
      <c r="R487" s="10">
        <f>Daily_Data[[#This Row],[Total_Sales]]/Daily_Data[[#This Row],[Rooms_Occupied]]</f>
        <v>1602</v>
      </c>
      <c r="S487" s="10">
        <f>Daily_Data[[#This Row],[Total_Sales]] / Daily_Data[[#This Row],[Max_rooms]]</f>
        <v>1602</v>
      </c>
    </row>
    <row r="488" spans="1:19" x14ac:dyDescent="0.25">
      <c r="A488" s="6">
        <v>45413</v>
      </c>
      <c r="B488" s="20">
        <f>DATE(YEAR(Daily_Data[[#This Row],[Date]]), MONTH(Daily_Data[[#This Row],[Date]]), 1)</f>
        <v>45413</v>
      </c>
      <c r="C488" s="20" t="str">
        <f>TEXT(Daily_Data[[#This Row],[Month_key]],"mmmm")</f>
        <v>May</v>
      </c>
      <c r="D488" s="20" t="str">
        <f>TEXT(Daily_Data[[#This Row],[Month_key]],"yyyy")</f>
        <v>2024</v>
      </c>
      <c r="E488" s="7">
        <v>13</v>
      </c>
      <c r="F488" s="7">
        <v>14</v>
      </c>
      <c r="G488" s="8">
        <f>Daily_Data[[#This Row],[Rooms_Occupied]]/F488</f>
        <v>0.9285714285714286</v>
      </c>
      <c r="H488" s="7">
        <v>1419</v>
      </c>
      <c r="I488" s="7">
        <f>Daily_Data[[#This Row],[Room_rate]]*Daily_Data[[#This Row],[Rooms_Occupied]]</f>
        <v>18447</v>
      </c>
      <c r="J488" s="10">
        <f>Daily_Data[[#This Row],[Total_Sales]] * 0.22</f>
        <v>4058.34</v>
      </c>
      <c r="K488" s="10">
        <f>INDEX(Expense_master[Monthly_Rent],MATCH(Daily_Data[[#This Row],[Month_key]],Expense_master[Month_Key],0)) / INDEX(Expense_master[Days_in_Month],MATCH(Daily_Data[[#This Row],[Month_key]],Expense_master[Month_Key],0))</f>
        <v>8064.5161290322585</v>
      </c>
      <c r="L488" s="10">
        <f>SUMIFS(Expense_master[Staff_Salary],Expense_master[Month_Key],Daily_Data[[#This Row],[Month_key]]) / SUMIFS(Expense_master[Days_in_Month],Expense_master[Month_Key],Daily_Data[[#This Row],[Month_key]])</f>
        <v>2258.0645161290322</v>
      </c>
      <c r="M488" s="10">
        <f>Daily_Data[[#This Row],[Rooms_Occupied]] * (SUMIFS(Expense_master[Housekeeping_Laundy],Expense_master[Month_Key],Daily_Data[[#This Row],[Month_key]]) / SUMIFS(Occupancy_table[Monthly_rooms_Occupied],Occupancy_table[Month_Key],Daily_Data[[#This Row],[Month_key]]))</f>
        <v>398.77300613496931</v>
      </c>
      <c r="N4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2025.6283396002375</v>
      </c>
      <c r="O488" s="10">
        <f>SUMIFS(Expense_master[Monthly_Maintenance],Expense_master[Month_Key],Daily_Data[[#This Row],[Month_key]]) / SUMIFS(Expense_master[Days_in_Month],Expense_master[Month_Key], Daily_Data[[#This Row],[Month_key]])</f>
        <v>645.16129032258061</v>
      </c>
      <c r="P488" s="10">
        <f xml:space="preserve"> Daily_Data[[#This Row],[OTA Commision]] + Daily_Data[[#This Row],[Daily_Rent]]+Daily_Data[[#This Row],[Daily_Staff]]+Daily_Data[[#This Row],[Daily_HK]]+Daily_Data[[#This Row],[Daily_Electricity]] + Daily_Data[[#This Row],[Daily Maintenance]]</f>
        <v>17450.483281219076</v>
      </c>
      <c r="Q488" s="10">
        <f>Daily_Data[[#This Row],[Total_Sales]]-Daily_Data[[#This Row],[Total_Daily_Expense]]</f>
        <v>996.51671878092384</v>
      </c>
      <c r="R488" s="10">
        <f>Daily_Data[[#This Row],[Total_Sales]]/Daily_Data[[#This Row],[Rooms_Occupied]]</f>
        <v>1419</v>
      </c>
      <c r="S488" s="10">
        <f>Daily_Data[[#This Row],[Total_Sales]] / Daily_Data[[#This Row],[Max_rooms]]</f>
        <v>1317.6428571428571</v>
      </c>
    </row>
    <row r="489" spans="1:19" x14ac:dyDescent="0.25">
      <c r="A489" s="6">
        <v>45414</v>
      </c>
      <c r="B489" s="20">
        <f>DATE(YEAR(Daily_Data[[#This Row],[Date]]), MONTH(Daily_Data[[#This Row],[Date]]), 1)</f>
        <v>45413</v>
      </c>
      <c r="C489" s="20" t="str">
        <f>TEXT(Daily_Data[[#This Row],[Month_key]],"mmmm")</f>
        <v>May</v>
      </c>
      <c r="D489" s="20" t="str">
        <f>TEXT(Daily_Data[[#This Row],[Month_key]],"yyyy")</f>
        <v>2024</v>
      </c>
      <c r="E489" s="7">
        <v>8</v>
      </c>
      <c r="F489" s="7">
        <v>14</v>
      </c>
      <c r="G489" s="8">
        <f>Daily_Data[[#This Row],[Rooms_Occupied]]/F489</f>
        <v>0.5714285714285714</v>
      </c>
      <c r="H489" s="7">
        <v>1379</v>
      </c>
      <c r="I489" s="7">
        <f>Daily_Data[[#This Row],[Room_rate]]*Daily_Data[[#This Row],[Rooms_Occupied]]</f>
        <v>11032</v>
      </c>
      <c r="J489" s="10">
        <f>Daily_Data[[#This Row],[Total_Sales]] * 0.22</f>
        <v>2427.04</v>
      </c>
      <c r="K489" s="10">
        <f>INDEX(Expense_master[Monthly_Rent],MATCH(Daily_Data[[#This Row],[Month_key]],Expense_master[Month_Key],0)) / INDEX(Expense_master[Days_in_Month],MATCH(Daily_Data[[#This Row],[Month_key]],Expense_master[Month_Key],0))</f>
        <v>8064.5161290322585</v>
      </c>
      <c r="L489" s="10">
        <f>SUMIFS(Expense_master[Staff_Salary],Expense_master[Month_Key],Daily_Data[[#This Row],[Month_key]]) / SUMIFS(Expense_master[Days_in_Month],Expense_master[Month_Key],Daily_Data[[#This Row],[Month_key]])</f>
        <v>2258.0645161290322</v>
      </c>
      <c r="M489" s="10">
        <f>Daily_Data[[#This Row],[Rooms_Occupied]] * (SUMIFS(Expense_master[Housekeeping_Laundy],Expense_master[Month_Key],Daily_Data[[#This Row],[Month_key]]) / SUMIFS(Occupancy_table[Monthly_rooms_Occupied],Occupancy_table[Month_Key],Daily_Data[[#This Row],[Month_key]]))</f>
        <v>245.39877300613497</v>
      </c>
      <c r="N4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1519.4933702750841</v>
      </c>
      <c r="O489" s="10">
        <f>SUMIFS(Expense_master[Monthly_Maintenance],Expense_master[Month_Key],Daily_Data[[#This Row],[Month_key]]) / SUMIFS(Expense_master[Days_in_Month],Expense_master[Month_Key], Daily_Data[[#This Row],[Month_key]])</f>
        <v>645.16129032258061</v>
      </c>
      <c r="P489" s="10">
        <f xml:space="preserve"> Daily_Data[[#This Row],[OTA Commision]] + Daily_Data[[#This Row],[Daily_Rent]]+Daily_Data[[#This Row],[Daily_Staff]]+Daily_Data[[#This Row],[Daily_HK]]+Daily_Data[[#This Row],[Daily_Electricity]] + Daily_Data[[#This Row],[Daily Maintenance]]</f>
        <v>15159.674078765091</v>
      </c>
      <c r="Q489" s="10">
        <f>Daily_Data[[#This Row],[Total_Sales]]-Daily_Data[[#This Row],[Total_Daily_Expense]]</f>
        <v>-4127.6740787650906</v>
      </c>
      <c r="R489" s="10">
        <f>Daily_Data[[#This Row],[Total_Sales]]/Daily_Data[[#This Row],[Rooms_Occupied]]</f>
        <v>1379</v>
      </c>
      <c r="S489" s="10">
        <f>Daily_Data[[#This Row],[Total_Sales]] / Daily_Data[[#This Row],[Max_rooms]]</f>
        <v>788</v>
      </c>
    </row>
    <row r="490" spans="1:19" x14ac:dyDescent="0.25">
      <c r="A490" s="6">
        <v>45415</v>
      </c>
      <c r="B490" s="20">
        <f>DATE(YEAR(Daily_Data[[#This Row],[Date]]), MONTH(Daily_Data[[#This Row],[Date]]), 1)</f>
        <v>45413</v>
      </c>
      <c r="C490" s="20" t="str">
        <f>TEXT(Daily_Data[[#This Row],[Month_key]],"mmmm")</f>
        <v>May</v>
      </c>
      <c r="D490" s="20" t="str">
        <f>TEXT(Daily_Data[[#This Row],[Month_key]],"yyyy")</f>
        <v>2024</v>
      </c>
      <c r="E490" s="7">
        <v>9</v>
      </c>
      <c r="F490" s="7">
        <v>14</v>
      </c>
      <c r="G490" s="8">
        <f>Daily_Data[[#This Row],[Rooms_Occupied]]/F490</f>
        <v>0.6428571428571429</v>
      </c>
      <c r="H490" s="7">
        <v>1836</v>
      </c>
      <c r="I490" s="7">
        <f>Daily_Data[[#This Row],[Room_rate]]*Daily_Data[[#This Row],[Rooms_Occupied]]</f>
        <v>16524</v>
      </c>
      <c r="J490" s="10">
        <f>Daily_Data[[#This Row],[Total_Sales]] * 0.22</f>
        <v>3635.28</v>
      </c>
      <c r="K490" s="10">
        <f>INDEX(Expense_master[Monthly_Rent],MATCH(Daily_Data[[#This Row],[Month_key]],Expense_master[Month_Key],0)) / INDEX(Expense_master[Days_in_Month],MATCH(Daily_Data[[#This Row],[Month_key]],Expense_master[Month_Key],0))</f>
        <v>8064.5161290322585</v>
      </c>
      <c r="L490" s="10">
        <f>SUMIFS(Expense_master[Staff_Salary],Expense_master[Month_Key],Daily_Data[[#This Row],[Month_key]]) / SUMIFS(Expense_master[Days_in_Month],Expense_master[Month_Key],Daily_Data[[#This Row],[Month_key]])</f>
        <v>2258.0645161290322</v>
      </c>
      <c r="M490" s="10">
        <f>Daily_Data[[#This Row],[Rooms_Occupied]] * (SUMIFS(Expense_master[Housekeeping_Laundy],Expense_master[Month_Key],Daily_Data[[#This Row],[Month_key]]) / SUMIFS(Occupancy_table[Monthly_rooms_Occupied],Occupancy_table[Month_Key],Daily_Data[[#This Row],[Month_key]]))</f>
        <v>276.07361963190186</v>
      </c>
      <c r="N4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490" s="10">
        <f>SUMIFS(Expense_master[Monthly_Maintenance],Expense_master[Month_Key],Daily_Data[[#This Row],[Month_key]]) / SUMIFS(Expense_master[Days_in_Month],Expense_master[Month_Key], Daily_Data[[#This Row],[Month_key]])</f>
        <v>645.16129032258061</v>
      </c>
      <c r="P490" s="10">
        <f xml:space="preserve"> Daily_Data[[#This Row],[OTA Commision]] + Daily_Data[[#This Row],[Daily_Rent]]+Daily_Data[[#This Row],[Daily_Staff]]+Daily_Data[[#This Row],[Daily_HK]]+Daily_Data[[#This Row],[Daily_Electricity]] + Daily_Data[[#This Row],[Daily Maintenance]]</f>
        <v>16499.815919255885</v>
      </c>
      <c r="Q490" s="10">
        <f>Daily_Data[[#This Row],[Total_Sales]]-Daily_Data[[#This Row],[Total_Daily_Expense]]</f>
        <v>24.184080744114908</v>
      </c>
      <c r="R490" s="10">
        <f>Daily_Data[[#This Row],[Total_Sales]]/Daily_Data[[#This Row],[Rooms_Occupied]]</f>
        <v>1836</v>
      </c>
      <c r="S490" s="10">
        <f>Daily_Data[[#This Row],[Total_Sales]] / Daily_Data[[#This Row],[Max_rooms]]</f>
        <v>1180.2857142857142</v>
      </c>
    </row>
    <row r="491" spans="1:19" x14ac:dyDescent="0.25">
      <c r="A491" s="6">
        <v>45416</v>
      </c>
      <c r="B491" s="20">
        <f>DATE(YEAR(Daily_Data[[#This Row],[Date]]), MONTH(Daily_Data[[#This Row],[Date]]), 1)</f>
        <v>45413</v>
      </c>
      <c r="C491" s="20" t="str">
        <f>TEXT(Daily_Data[[#This Row],[Month_key]],"mmmm")</f>
        <v>May</v>
      </c>
      <c r="D491" s="20" t="str">
        <f>TEXT(Daily_Data[[#This Row],[Month_key]],"yyyy")</f>
        <v>2024</v>
      </c>
      <c r="E491" s="7">
        <v>10</v>
      </c>
      <c r="F491" s="7">
        <v>14</v>
      </c>
      <c r="G491" s="8">
        <f>Daily_Data[[#This Row],[Rooms_Occupied]]/F491</f>
        <v>0.7142857142857143</v>
      </c>
      <c r="H491" s="7">
        <v>1227</v>
      </c>
      <c r="I491" s="7">
        <f>Daily_Data[[#This Row],[Room_rate]]*Daily_Data[[#This Row],[Rooms_Occupied]]</f>
        <v>12270</v>
      </c>
      <c r="J491" s="10">
        <f>Daily_Data[[#This Row],[Total_Sales]] * 0.22</f>
        <v>2699.4</v>
      </c>
      <c r="K491" s="10">
        <f>INDEX(Expense_master[Monthly_Rent],MATCH(Daily_Data[[#This Row],[Month_key]],Expense_master[Month_Key],0)) / INDEX(Expense_master[Days_in_Month],MATCH(Daily_Data[[#This Row],[Month_key]],Expense_master[Month_Key],0))</f>
        <v>8064.5161290322585</v>
      </c>
      <c r="L491" s="10">
        <f>SUMIFS(Expense_master[Staff_Salary],Expense_master[Month_Key],Daily_Data[[#This Row],[Month_key]]) / SUMIFS(Expense_master[Days_in_Month],Expense_master[Month_Key],Daily_Data[[#This Row],[Month_key]])</f>
        <v>2258.0645161290322</v>
      </c>
      <c r="M491" s="10">
        <f>Daily_Data[[#This Row],[Rooms_Occupied]] * (SUMIFS(Expense_master[Housekeeping_Laundy],Expense_master[Month_Key],Daily_Data[[#This Row],[Month_key]]) / SUMIFS(Occupancy_table[Monthly_rooms_Occupied],Occupancy_table[Month_Key],Daily_Data[[#This Row],[Month_key]]))</f>
        <v>306.74846625766872</v>
      </c>
      <c r="N4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1721.9473580051456</v>
      </c>
      <c r="O491" s="10">
        <f>SUMIFS(Expense_master[Monthly_Maintenance],Expense_master[Month_Key],Daily_Data[[#This Row],[Month_key]]) / SUMIFS(Expense_master[Days_in_Month],Expense_master[Month_Key], Daily_Data[[#This Row],[Month_key]])</f>
        <v>645.16129032258061</v>
      </c>
      <c r="P491" s="10">
        <f xml:space="preserve"> Daily_Data[[#This Row],[OTA Commision]] + Daily_Data[[#This Row],[Daily_Rent]]+Daily_Data[[#This Row],[Daily_Staff]]+Daily_Data[[#This Row],[Daily_HK]]+Daily_Data[[#This Row],[Daily_Electricity]] + Daily_Data[[#This Row],[Daily Maintenance]]</f>
        <v>15695.837759746686</v>
      </c>
      <c r="Q491" s="10">
        <f>Daily_Data[[#This Row],[Total_Sales]]-Daily_Data[[#This Row],[Total_Daily_Expense]]</f>
        <v>-3425.8377597466861</v>
      </c>
      <c r="R491" s="10">
        <f>Daily_Data[[#This Row],[Total_Sales]]/Daily_Data[[#This Row],[Rooms_Occupied]]</f>
        <v>1227</v>
      </c>
      <c r="S491" s="10">
        <f>Daily_Data[[#This Row],[Total_Sales]] / Daily_Data[[#This Row],[Max_rooms]]</f>
        <v>876.42857142857144</v>
      </c>
    </row>
    <row r="492" spans="1:19" x14ac:dyDescent="0.25">
      <c r="A492" s="6">
        <v>45417</v>
      </c>
      <c r="B492" s="20">
        <f>DATE(YEAR(Daily_Data[[#This Row],[Date]]), MONTH(Daily_Data[[#This Row],[Date]]), 1)</f>
        <v>45413</v>
      </c>
      <c r="C492" s="20" t="str">
        <f>TEXT(Daily_Data[[#This Row],[Month_key]],"mmmm")</f>
        <v>May</v>
      </c>
      <c r="D492" s="20" t="str">
        <f>TEXT(Daily_Data[[#This Row],[Month_key]],"yyyy")</f>
        <v>2024</v>
      </c>
      <c r="E492" s="7">
        <v>11</v>
      </c>
      <c r="F492" s="7">
        <v>14</v>
      </c>
      <c r="G492" s="8">
        <f>Daily_Data[[#This Row],[Rooms_Occupied]]/F492</f>
        <v>0.7857142857142857</v>
      </c>
      <c r="H492" s="7">
        <v>1470</v>
      </c>
      <c r="I492" s="7">
        <f>Daily_Data[[#This Row],[Room_rate]]*Daily_Data[[#This Row],[Rooms_Occupied]]</f>
        <v>16170</v>
      </c>
      <c r="J492" s="10">
        <f>Daily_Data[[#This Row],[Total_Sales]] * 0.22</f>
        <v>3557.4</v>
      </c>
      <c r="K492" s="10">
        <f>INDEX(Expense_master[Monthly_Rent],MATCH(Daily_Data[[#This Row],[Month_key]],Expense_master[Month_Key],0)) / INDEX(Expense_master[Days_in_Month],MATCH(Daily_Data[[#This Row],[Month_key]],Expense_master[Month_Key],0))</f>
        <v>8064.5161290322585</v>
      </c>
      <c r="L492" s="10">
        <f>SUMIFS(Expense_master[Staff_Salary],Expense_master[Month_Key],Daily_Data[[#This Row],[Month_key]]) / SUMIFS(Expense_master[Days_in_Month],Expense_master[Month_Key],Daily_Data[[#This Row],[Month_key]])</f>
        <v>2258.0645161290322</v>
      </c>
      <c r="M492" s="10">
        <f>Daily_Data[[#This Row],[Rooms_Occupied]] * (SUMIFS(Expense_master[Housekeeping_Laundy],Expense_master[Month_Key],Daily_Data[[#This Row],[Month_key]]) / SUMIFS(Occupancy_table[Monthly_rooms_Occupied],Occupancy_table[Month_Key],Daily_Data[[#This Row],[Month_key]]))</f>
        <v>337.42331288343559</v>
      </c>
      <c r="N4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1823.1743518701762</v>
      </c>
      <c r="O492" s="10">
        <f>SUMIFS(Expense_master[Monthly_Maintenance],Expense_master[Month_Key],Daily_Data[[#This Row],[Month_key]]) / SUMIFS(Expense_master[Days_in_Month],Expense_master[Month_Key], Daily_Data[[#This Row],[Month_key]])</f>
        <v>645.16129032258061</v>
      </c>
      <c r="P492" s="10">
        <f xml:space="preserve"> Daily_Data[[#This Row],[OTA Commision]] + Daily_Data[[#This Row],[Daily_Rent]]+Daily_Data[[#This Row],[Daily_Staff]]+Daily_Data[[#This Row],[Daily_HK]]+Daily_Data[[#This Row],[Daily_Electricity]] + Daily_Data[[#This Row],[Daily Maintenance]]</f>
        <v>16685.739600237484</v>
      </c>
      <c r="Q492" s="10">
        <f>Daily_Data[[#This Row],[Total_Sales]]-Daily_Data[[#This Row],[Total_Daily_Expense]]</f>
        <v>-515.73960023748441</v>
      </c>
      <c r="R492" s="10">
        <f>Daily_Data[[#This Row],[Total_Sales]]/Daily_Data[[#This Row],[Rooms_Occupied]]</f>
        <v>1470</v>
      </c>
      <c r="S492" s="10">
        <f>Daily_Data[[#This Row],[Total_Sales]] / Daily_Data[[#This Row],[Max_rooms]]</f>
        <v>1155</v>
      </c>
    </row>
    <row r="493" spans="1:19" x14ac:dyDescent="0.25">
      <c r="A493" s="6">
        <v>45418</v>
      </c>
      <c r="B493" s="20">
        <f>DATE(YEAR(Daily_Data[[#This Row],[Date]]), MONTH(Daily_Data[[#This Row],[Date]]), 1)</f>
        <v>45413</v>
      </c>
      <c r="C493" s="20" t="str">
        <f>TEXT(Daily_Data[[#This Row],[Month_key]],"mmmm")</f>
        <v>May</v>
      </c>
      <c r="D493" s="20" t="str">
        <f>TEXT(Daily_Data[[#This Row],[Month_key]],"yyyy")</f>
        <v>2024</v>
      </c>
      <c r="E493" s="7">
        <v>12</v>
      </c>
      <c r="F493" s="7">
        <v>14</v>
      </c>
      <c r="G493" s="8">
        <f>Daily_Data[[#This Row],[Rooms_Occupied]]/F493</f>
        <v>0.8571428571428571</v>
      </c>
      <c r="H493" s="7">
        <v>1319</v>
      </c>
      <c r="I493" s="7">
        <f>Daily_Data[[#This Row],[Room_rate]]*Daily_Data[[#This Row],[Rooms_Occupied]]</f>
        <v>15828</v>
      </c>
      <c r="J493" s="10">
        <f>Daily_Data[[#This Row],[Total_Sales]] * 0.22</f>
        <v>3482.16</v>
      </c>
      <c r="K493" s="10">
        <f>INDEX(Expense_master[Monthly_Rent],MATCH(Daily_Data[[#This Row],[Month_key]],Expense_master[Month_Key],0)) / INDEX(Expense_master[Days_in_Month],MATCH(Daily_Data[[#This Row],[Month_key]],Expense_master[Month_Key],0))</f>
        <v>8064.5161290322585</v>
      </c>
      <c r="L493" s="10">
        <f>SUMIFS(Expense_master[Staff_Salary],Expense_master[Month_Key],Daily_Data[[#This Row],[Month_key]]) / SUMIFS(Expense_master[Days_in_Month],Expense_master[Month_Key],Daily_Data[[#This Row],[Month_key]])</f>
        <v>2258.0645161290322</v>
      </c>
      <c r="M493" s="10">
        <f>Daily_Data[[#This Row],[Rooms_Occupied]] * (SUMIFS(Expense_master[Housekeeping_Laundy],Expense_master[Month_Key],Daily_Data[[#This Row],[Month_key]]) / SUMIFS(Occupancy_table[Monthly_rooms_Occupied],Occupancy_table[Month_Key],Daily_Data[[#This Row],[Month_key]]))</f>
        <v>368.09815950920245</v>
      </c>
      <c r="N4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1924.4013457352069</v>
      </c>
      <c r="O493" s="10">
        <f>SUMIFS(Expense_master[Monthly_Maintenance],Expense_master[Month_Key],Daily_Data[[#This Row],[Month_key]]) / SUMIFS(Expense_master[Days_in_Month],Expense_master[Month_Key], Daily_Data[[#This Row],[Month_key]])</f>
        <v>645.16129032258061</v>
      </c>
      <c r="P493" s="10">
        <f xml:space="preserve"> Daily_Data[[#This Row],[OTA Commision]] + Daily_Data[[#This Row],[Daily_Rent]]+Daily_Data[[#This Row],[Daily_Staff]]+Daily_Data[[#This Row],[Daily_HK]]+Daily_Data[[#This Row],[Daily_Electricity]] + Daily_Data[[#This Row],[Daily Maintenance]]</f>
        <v>16742.401440728278</v>
      </c>
      <c r="Q493" s="10">
        <f>Daily_Data[[#This Row],[Total_Sales]]-Daily_Data[[#This Row],[Total_Daily_Expense]]</f>
        <v>-914.40144072827752</v>
      </c>
      <c r="R493" s="10">
        <f>Daily_Data[[#This Row],[Total_Sales]]/Daily_Data[[#This Row],[Rooms_Occupied]]</f>
        <v>1319</v>
      </c>
      <c r="S493" s="10">
        <f>Daily_Data[[#This Row],[Total_Sales]] / Daily_Data[[#This Row],[Max_rooms]]</f>
        <v>1130.5714285714287</v>
      </c>
    </row>
    <row r="494" spans="1:19" x14ac:dyDescent="0.25">
      <c r="A494" s="6">
        <v>45419</v>
      </c>
      <c r="B494" s="20">
        <f>DATE(YEAR(Daily_Data[[#This Row],[Date]]), MONTH(Daily_Data[[#This Row],[Date]]), 1)</f>
        <v>45413</v>
      </c>
      <c r="C494" s="20" t="str">
        <f>TEXT(Daily_Data[[#This Row],[Month_key]],"mmmm")</f>
        <v>May</v>
      </c>
      <c r="D494" s="20" t="str">
        <f>TEXT(Daily_Data[[#This Row],[Month_key]],"yyyy")</f>
        <v>2024</v>
      </c>
      <c r="E494" s="7">
        <v>14</v>
      </c>
      <c r="F494" s="7">
        <v>14</v>
      </c>
      <c r="G494" s="8">
        <f>Daily_Data[[#This Row],[Rooms_Occupied]]/F494</f>
        <v>1</v>
      </c>
      <c r="H494" s="7">
        <v>1359</v>
      </c>
      <c r="I494" s="7">
        <f>Daily_Data[[#This Row],[Room_rate]]*Daily_Data[[#This Row],[Rooms_Occupied]]</f>
        <v>19026</v>
      </c>
      <c r="J494" s="10">
        <f>Daily_Data[[#This Row],[Total_Sales]] * 0.22</f>
        <v>4185.72</v>
      </c>
      <c r="K494" s="10">
        <f>INDEX(Expense_master[Monthly_Rent],MATCH(Daily_Data[[#This Row],[Month_key]],Expense_master[Month_Key],0)) / INDEX(Expense_master[Days_in_Month],MATCH(Daily_Data[[#This Row],[Month_key]],Expense_master[Month_Key],0))</f>
        <v>8064.5161290322585</v>
      </c>
      <c r="L494" s="10">
        <f>SUMIFS(Expense_master[Staff_Salary],Expense_master[Month_Key],Daily_Data[[#This Row],[Month_key]]) / SUMIFS(Expense_master[Days_in_Month],Expense_master[Month_Key],Daily_Data[[#This Row],[Month_key]])</f>
        <v>2258.0645161290322</v>
      </c>
      <c r="M494" s="10">
        <f>Daily_Data[[#This Row],[Rooms_Occupied]] * (SUMIFS(Expense_master[Housekeeping_Laundy],Expense_master[Month_Key],Daily_Data[[#This Row],[Month_key]]) / SUMIFS(Occupancy_table[Monthly_rooms_Occupied],Occupancy_table[Month_Key],Daily_Data[[#This Row],[Month_key]]))</f>
        <v>429.44785276073623</v>
      </c>
      <c r="N4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2126.8553334652684</v>
      </c>
      <c r="O494" s="10">
        <f>SUMIFS(Expense_master[Monthly_Maintenance],Expense_master[Month_Key],Daily_Data[[#This Row],[Month_key]]) / SUMIFS(Expense_master[Days_in_Month],Expense_master[Month_Key], Daily_Data[[#This Row],[Month_key]])</f>
        <v>645.16129032258061</v>
      </c>
      <c r="P494" s="10">
        <f xml:space="preserve"> Daily_Data[[#This Row],[OTA Commision]] + Daily_Data[[#This Row],[Daily_Rent]]+Daily_Data[[#This Row],[Daily_Staff]]+Daily_Data[[#This Row],[Daily_HK]]+Daily_Data[[#This Row],[Daily_Electricity]] + Daily_Data[[#This Row],[Daily Maintenance]]</f>
        <v>17709.765121709876</v>
      </c>
      <c r="Q494" s="10">
        <f>Daily_Data[[#This Row],[Total_Sales]]-Daily_Data[[#This Row],[Total_Daily_Expense]]</f>
        <v>1316.2348782901245</v>
      </c>
      <c r="R494" s="10">
        <f>Daily_Data[[#This Row],[Total_Sales]]/Daily_Data[[#This Row],[Rooms_Occupied]]</f>
        <v>1359</v>
      </c>
      <c r="S494" s="10">
        <f>Daily_Data[[#This Row],[Total_Sales]] / Daily_Data[[#This Row],[Max_rooms]]</f>
        <v>1359</v>
      </c>
    </row>
    <row r="495" spans="1:19" x14ac:dyDescent="0.25">
      <c r="A495" s="6">
        <v>45420</v>
      </c>
      <c r="B495" s="20">
        <f>DATE(YEAR(Daily_Data[[#This Row],[Date]]), MONTH(Daily_Data[[#This Row],[Date]]), 1)</f>
        <v>45413</v>
      </c>
      <c r="C495" s="20" t="str">
        <f>TEXT(Daily_Data[[#This Row],[Month_key]],"mmmm")</f>
        <v>May</v>
      </c>
      <c r="D495" s="20" t="str">
        <f>TEXT(Daily_Data[[#This Row],[Month_key]],"yyyy")</f>
        <v>2024</v>
      </c>
      <c r="E495" s="7">
        <v>9</v>
      </c>
      <c r="F495" s="7">
        <v>14</v>
      </c>
      <c r="G495" s="8">
        <f>Daily_Data[[#This Row],[Rooms_Occupied]]/F495</f>
        <v>0.6428571428571429</v>
      </c>
      <c r="H495" s="7">
        <v>1193</v>
      </c>
      <c r="I495" s="7">
        <f>Daily_Data[[#This Row],[Room_rate]]*Daily_Data[[#This Row],[Rooms_Occupied]]</f>
        <v>10737</v>
      </c>
      <c r="J495" s="10">
        <f>Daily_Data[[#This Row],[Total_Sales]] * 0.22</f>
        <v>2362.14</v>
      </c>
      <c r="K495" s="10">
        <f>INDEX(Expense_master[Monthly_Rent],MATCH(Daily_Data[[#This Row],[Month_key]],Expense_master[Month_Key],0)) / INDEX(Expense_master[Days_in_Month],MATCH(Daily_Data[[#This Row],[Month_key]],Expense_master[Month_Key],0))</f>
        <v>8064.5161290322585</v>
      </c>
      <c r="L495" s="10">
        <f>SUMIFS(Expense_master[Staff_Salary],Expense_master[Month_Key],Daily_Data[[#This Row],[Month_key]]) / SUMIFS(Expense_master[Days_in_Month],Expense_master[Month_Key],Daily_Data[[#This Row],[Month_key]])</f>
        <v>2258.0645161290322</v>
      </c>
      <c r="M495" s="10">
        <f>Daily_Data[[#This Row],[Rooms_Occupied]] * (SUMIFS(Expense_master[Housekeeping_Laundy],Expense_master[Month_Key],Daily_Data[[#This Row],[Month_key]]) / SUMIFS(Occupancy_table[Monthly_rooms_Occupied],Occupancy_table[Month_Key],Daily_Data[[#This Row],[Month_key]]))</f>
        <v>276.07361963190186</v>
      </c>
      <c r="N4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495" s="10">
        <f>SUMIFS(Expense_master[Monthly_Maintenance],Expense_master[Month_Key],Daily_Data[[#This Row],[Month_key]]) / SUMIFS(Expense_master[Days_in_Month],Expense_master[Month_Key], Daily_Data[[#This Row],[Month_key]])</f>
        <v>645.16129032258061</v>
      </c>
      <c r="P495" s="10">
        <f xml:space="preserve"> Daily_Data[[#This Row],[OTA Commision]] + Daily_Data[[#This Row],[Daily_Rent]]+Daily_Data[[#This Row],[Daily_Staff]]+Daily_Data[[#This Row],[Daily_HK]]+Daily_Data[[#This Row],[Daily_Electricity]] + Daily_Data[[#This Row],[Daily Maintenance]]</f>
        <v>15226.675919255887</v>
      </c>
      <c r="Q495" s="10">
        <f>Daily_Data[[#This Row],[Total_Sales]]-Daily_Data[[#This Row],[Total_Daily_Expense]]</f>
        <v>-4489.6759192558875</v>
      </c>
      <c r="R495" s="10">
        <f>Daily_Data[[#This Row],[Total_Sales]]/Daily_Data[[#This Row],[Rooms_Occupied]]</f>
        <v>1193</v>
      </c>
      <c r="S495" s="10">
        <f>Daily_Data[[#This Row],[Total_Sales]] / Daily_Data[[#This Row],[Max_rooms]]</f>
        <v>766.92857142857144</v>
      </c>
    </row>
    <row r="496" spans="1:19" x14ac:dyDescent="0.25">
      <c r="A496" s="6">
        <v>45421</v>
      </c>
      <c r="B496" s="20">
        <f>DATE(YEAR(Daily_Data[[#This Row],[Date]]), MONTH(Daily_Data[[#This Row],[Date]]), 1)</f>
        <v>45413</v>
      </c>
      <c r="C496" s="20" t="str">
        <f>TEXT(Daily_Data[[#This Row],[Month_key]],"mmmm")</f>
        <v>May</v>
      </c>
      <c r="D496" s="20" t="str">
        <f>TEXT(Daily_Data[[#This Row],[Month_key]],"yyyy")</f>
        <v>2024</v>
      </c>
      <c r="E496" s="7">
        <v>9</v>
      </c>
      <c r="F496" s="7">
        <v>14</v>
      </c>
      <c r="G496" s="8">
        <f>Daily_Data[[#This Row],[Rooms_Occupied]]/F496</f>
        <v>0.6428571428571429</v>
      </c>
      <c r="H496" s="7">
        <v>1689</v>
      </c>
      <c r="I496" s="7">
        <f>Daily_Data[[#This Row],[Room_rate]]*Daily_Data[[#This Row],[Rooms_Occupied]]</f>
        <v>15201</v>
      </c>
      <c r="J496" s="10">
        <f>Daily_Data[[#This Row],[Total_Sales]] * 0.22</f>
        <v>3344.22</v>
      </c>
      <c r="K496" s="10">
        <f>INDEX(Expense_master[Monthly_Rent],MATCH(Daily_Data[[#This Row],[Month_key]],Expense_master[Month_Key],0)) / INDEX(Expense_master[Days_in_Month],MATCH(Daily_Data[[#This Row],[Month_key]],Expense_master[Month_Key],0))</f>
        <v>8064.5161290322585</v>
      </c>
      <c r="L496" s="10">
        <f>SUMIFS(Expense_master[Staff_Salary],Expense_master[Month_Key],Daily_Data[[#This Row],[Month_key]]) / SUMIFS(Expense_master[Days_in_Month],Expense_master[Month_Key],Daily_Data[[#This Row],[Month_key]])</f>
        <v>2258.0645161290322</v>
      </c>
      <c r="M496" s="10">
        <f>Daily_Data[[#This Row],[Rooms_Occupied]] * (SUMIFS(Expense_master[Housekeeping_Laundy],Expense_master[Month_Key],Daily_Data[[#This Row],[Month_key]]) / SUMIFS(Occupancy_table[Monthly_rooms_Occupied],Occupancy_table[Month_Key],Daily_Data[[#This Row],[Month_key]]))</f>
        <v>276.07361963190186</v>
      </c>
      <c r="N4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496" s="10">
        <f>SUMIFS(Expense_master[Monthly_Maintenance],Expense_master[Month_Key],Daily_Data[[#This Row],[Month_key]]) / SUMIFS(Expense_master[Days_in_Month],Expense_master[Month_Key], Daily_Data[[#This Row],[Month_key]])</f>
        <v>645.16129032258061</v>
      </c>
      <c r="P496" s="10">
        <f xml:space="preserve"> Daily_Data[[#This Row],[OTA Commision]] + Daily_Data[[#This Row],[Daily_Rent]]+Daily_Data[[#This Row],[Daily_Staff]]+Daily_Data[[#This Row],[Daily_HK]]+Daily_Data[[#This Row],[Daily_Electricity]] + Daily_Data[[#This Row],[Daily Maintenance]]</f>
        <v>16208.755919255889</v>
      </c>
      <c r="Q496" s="10">
        <f>Daily_Data[[#This Row],[Total_Sales]]-Daily_Data[[#This Row],[Total_Daily_Expense]]</f>
        <v>-1007.7559192558892</v>
      </c>
      <c r="R496" s="10">
        <f>Daily_Data[[#This Row],[Total_Sales]]/Daily_Data[[#This Row],[Rooms_Occupied]]</f>
        <v>1689</v>
      </c>
      <c r="S496" s="10">
        <f>Daily_Data[[#This Row],[Total_Sales]] / Daily_Data[[#This Row],[Max_rooms]]</f>
        <v>1085.7857142857142</v>
      </c>
    </row>
    <row r="497" spans="1:19" x14ac:dyDescent="0.25">
      <c r="A497" s="6">
        <v>45422</v>
      </c>
      <c r="B497" s="20">
        <f>DATE(YEAR(Daily_Data[[#This Row],[Date]]), MONTH(Daily_Data[[#This Row],[Date]]), 1)</f>
        <v>45413</v>
      </c>
      <c r="C497" s="20" t="str">
        <f>TEXT(Daily_Data[[#This Row],[Month_key]],"mmmm")</f>
        <v>May</v>
      </c>
      <c r="D497" s="20" t="str">
        <f>TEXT(Daily_Data[[#This Row],[Month_key]],"yyyy")</f>
        <v>2024</v>
      </c>
      <c r="E497" s="7">
        <v>14</v>
      </c>
      <c r="F497" s="7">
        <v>14</v>
      </c>
      <c r="G497" s="8">
        <f>Daily_Data[[#This Row],[Rooms_Occupied]]/F497</f>
        <v>1</v>
      </c>
      <c r="H497" s="7">
        <v>1583</v>
      </c>
      <c r="I497" s="7">
        <f>Daily_Data[[#This Row],[Room_rate]]*Daily_Data[[#This Row],[Rooms_Occupied]]</f>
        <v>22162</v>
      </c>
      <c r="J497" s="10">
        <f>Daily_Data[[#This Row],[Total_Sales]] * 0.22</f>
        <v>4875.6400000000003</v>
      </c>
      <c r="K497" s="10">
        <f>INDEX(Expense_master[Monthly_Rent],MATCH(Daily_Data[[#This Row],[Month_key]],Expense_master[Month_Key],0)) / INDEX(Expense_master[Days_in_Month],MATCH(Daily_Data[[#This Row],[Month_key]],Expense_master[Month_Key],0))</f>
        <v>8064.5161290322585</v>
      </c>
      <c r="L497" s="10">
        <f>SUMIFS(Expense_master[Staff_Salary],Expense_master[Month_Key],Daily_Data[[#This Row],[Month_key]]) / SUMIFS(Expense_master[Days_in_Month],Expense_master[Month_Key],Daily_Data[[#This Row],[Month_key]])</f>
        <v>2258.0645161290322</v>
      </c>
      <c r="M497" s="10">
        <f>Daily_Data[[#This Row],[Rooms_Occupied]] * (SUMIFS(Expense_master[Housekeeping_Laundy],Expense_master[Month_Key],Daily_Data[[#This Row],[Month_key]]) / SUMIFS(Occupancy_table[Monthly_rooms_Occupied],Occupancy_table[Month_Key],Daily_Data[[#This Row],[Month_key]]))</f>
        <v>429.44785276073623</v>
      </c>
      <c r="N4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2126.8553334652684</v>
      </c>
      <c r="O497" s="10">
        <f>SUMIFS(Expense_master[Monthly_Maintenance],Expense_master[Month_Key],Daily_Data[[#This Row],[Month_key]]) / SUMIFS(Expense_master[Days_in_Month],Expense_master[Month_Key], Daily_Data[[#This Row],[Month_key]])</f>
        <v>645.16129032258061</v>
      </c>
      <c r="P497" s="10">
        <f xml:space="preserve"> Daily_Data[[#This Row],[OTA Commision]] + Daily_Data[[#This Row],[Daily_Rent]]+Daily_Data[[#This Row],[Daily_Staff]]+Daily_Data[[#This Row],[Daily_HK]]+Daily_Data[[#This Row],[Daily_Electricity]] + Daily_Data[[#This Row],[Daily Maintenance]]</f>
        <v>18399.685121709877</v>
      </c>
      <c r="Q497" s="10">
        <f>Daily_Data[[#This Row],[Total_Sales]]-Daily_Data[[#This Row],[Total_Daily_Expense]]</f>
        <v>3762.3148782901226</v>
      </c>
      <c r="R497" s="10">
        <f>Daily_Data[[#This Row],[Total_Sales]]/Daily_Data[[#This Row],[Rooms_Occupied]]</f>
        <v>1583</v>
      </c>
      <c r="S497" s="10">
        <f>Daily_Data[[#This Row],[Total_Sales]] / Daily_Data[[#This Row],[Max_rooms]]</f>
        <v>1583</v>
      </c>
    </row>
    <row r="498" spans="1:19" x14ac:dyDescent="0.25">
      <c r="A498" s="6">
        <v>45423</v>
      </c>
      <c r="B498" s="20">
        <f>DATE(YEAR(Daily_Data[[#This Row],[Date]]), MONTH(Daily_Data[[#This Row],[Date]]), 1)</f>
        <v>45413</v>
      </c>
      <c r="C498" s="20" t="str">
        <f>TEXT(Daily_Data[[#This Row],[Month_key]],"mmmm")</f>
        <v>May</v>
      </c>
      <c r="D498" s="20" t="str">
        <f>TEXT(Daily_Data[[#This Row],[Month_key]],"yyyy")</f>
        <v>2024</v>
      </c>
      <c r="E498" s="7">
        <v>9</v>
      </c>
      <c r="F498" s="7">
        <v>14</v>
      </c>
      <c r="G498" s="8">
        <f>Daily_Data[[#This Row],[Rooms_Occupied]]/F498</f>
        <v>0.6428571428571429</v>
      </c>
      <c r="H498" s="7">
        <v>1094</v>
      </c>
      <c r="I498" s="7">
        <f>Daily_Data[[#This Row],[Room_rate]]*Daily_Data[[#This Row],[Rooms_Occupied]]</f>
        <v>9846</v>
      </c>
      <c r="J498" s="10">
        <f>Daily_Data[[#This Row],[Total_Sales]] * 0.22</f>
        <v>2166.12</v>
      </c>
      <c r="K498" s="10">
        <f>INDEX(Expense_master[Monthly_Rent],MATCH(Daily_Data[[#This Row],[Month_key]],Expense_master[Month_Key],0)) / INDEX(Expense_master[Days_in_Month],MATCH(Daily_Data[[#This Row],[Month_key]],Expense_master[Month_Key],0))</f>
        <v>8064.5161290322585</v>
      </c>
      <c r="L498" s="10">
        <f>SUMIFS(Expense_master[Staff_Salary],Expense_master[Month_Key],Daily_Data[[#This Row],[Month_key]]) / SUMIFS(Expense_master[Days_in_Month],Expense_master[Month_Key],Daily_Data[[#This Row],[Month_key]])</f>
        <v>2258.0645161290322</v>
      </c>
      <c r="M498" s="10">
        <f>Daily_Data[[#This Row],[Rooms_Occupied]] * (SUMIFS(Expense_master[Housekeeping_Laundy],Expense_master[Month_Key],Daily_Data[[#This Row],[Month_key]]) / SUMIFS(Occupancy_table[Monthly_rooms_Occupied],Occupancy_table[Month_Key],Daily_Data[[#This Row],[Month_key]]))</f>
        <v>276.07361963190186</v>
      </c>
      <c r="N4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498" s="10">
        <f>SUMIFS(Expense_master[Monthly_Maintenance],Expense_master[Month_Key],Daily_Data[[#This Row],[Month_key]]) / SUMIFS(Expense_master[Days_in_Month],Expense_master[Month_Key], Daily_Data[[#This Row],[Month_key]])</f>
        <v>645.16129032258061</v>
      </c>
      <c r="P498" s="10">
        <f xml:space="preserve"> Daily_Data[[#This Row],[OTA Commision]] + Daily_Data[[#This Row],[Daily_Rent]]+Daily_Data[[#This Row],[Daily_Staff]]+Daily_Data[[#This Row],[Daily_HK]]+Daily_Data[[#This Row],[Daily_Electricity]] + Daily_Data[[#This Row],[Daily Maintenance]]</f>
        <v>15030.655919255887</v>
      </c>
      <c r="Q498" s="10">
        <f>Daily_Data[[#This Row],[Total_Sales]]-Daily_Data[[#This Row],[Total_Daily_Expense]]</f>
        <v>-5184.6559192558871</v>
      </c>
      <c r="R498" s="10">
        <f>Daily_Data[[#This Row],[Total_Sales]]/Daily_Data[[#This Row],[Rooms_Occupied]]</f>
        <v>1094</v>
      </c>
      <c r="S498" s="10">
        <f>Daily_Data[[#This Row],[Total_Sales]] / Daily_Data[[#This Row],[Max_rooms]]</f>
        <v>703.28571428571433</v>
      </c>
    </row>
    <row r="499" spans="1:19" x14ac:dyDescent="0.25">
      <c r="A499" s="6">
        <v>45424</v>
      </c>
      <c r="B499" s="20">
        <f>DATE(YEAR(Daily_Data[[#This Row],[Date]]), MONTH(Daily_Data[[#This Row],[Date]]), 1)</f>
        <v>45413</v>
      </c>
      <c r="C499" s="20" t="str">
        <f>TEXT(Daily_Data[[#This Row],[Month_key]],"mmmm")</f>
        <v>May</v>
      </c>
      <c r="D499" s="20" t="str">
        <f>TEXT(Daily_Data[[#This Row],[Month_key]],"yyyy")</f>
        <v>2024</v>
      </c>
      <c r="E499" s="7">
        <v>9</v>
      </c>
      <c r="F499" s="7">
        <v>14</v>
      </c>
      <c r="G499" s="8">
        <f>Daily_Data[[#This Row],[Rooms_Occupied]]/F499</f>
        <v>0.6428571428571429</v>
      </c>
      <c r="H499" s="7">
        <v>1436</v>
      </c>
      <c r="I499" s="7">
        <f>Daily_Data[[#This Row],[Room_rate]]*Daily_Data[[#This Row],[Rooms_Occupied]]</f>
        <v>12924</v>
      </c>
      <c r="J499" s="10">
        <f>Daily_Data[[#This Row],[Total_Sales]] * 0.22</f>
        <v>2843.28</v>
      </c>
      <c r="K499" s="10">
        <f>INDEX(Expense_master[Monthly_Rent],MATCH(Daily_Data[[#This Row],[Month_key]],Expense_master[Month_Key],0)) / INDEX(Expense_master[Days_in_Month],MATCH(Daily_Data[[#This Row],[Month_key]],Expense_master[Month_Key],0))</f>
        <v>8064.5161290322585</v>
      </c>
      <c r="L499" s="10">
        <f>SUMIFS(Expense_master[Staff_Salary],Expense_master[Month_Key],Daily_Data[[#This Row],[Month_key]]) / SUMIFS(Expense_master[Days_in_Month],Expense_master[Month_Key],Daily_Data[[#This Row],[Month_key]])</f>
        <v>2258.0645161290322</v>
      </c>
      <c r="M499" s="10">
        <f>Daily_Data[[#This Row],[Rooms_Occupied]] * (SUMIFS(Expense_master[Housekeeping_Laundy],Expense_master[Month_Key],Daily_Data[[#This Row],[Month_key]]) / SUMIFS(Occupancy_table[Monthly_rooms_Occupied],Occupancy_table[Month_Key],Daily_Data[[#This Row],[Month_key]]))</f>
        <v>276.07361963190186</v>
      </c>
      <c r="N4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499" s="10">
        <f>SUMIFS(Expense_master[Monthly_Maintenance],Expense_master[Month_Key],Daily_Data[[#This Row],[Month_key]]) / SUMIFS(Expense_master[Days_in_Month],Expense_master[Month_Key], Daily_Data[[#This Row],[Month_key]])</f>
        <v>645.16129032258061</v>
      </c>
      <c r="P499" s="10">
        <f xml:space="preserve"> Daily_Data[[#This Row],[OTA Commision]] + Daily_Data[[#This Row],[Daily_Rent]]+Daily_Data[[#This Row],[Daily_Staff]]+Daily_Data[[#This Row],[Daily_HK]]+Daily_Data[[#This Row],[Daily_Electricity]] + Daily_Data[[#This Row],[Daily Maintenance]]</f>
        <v>15707.815919255887</v>
      </c>
      <c r="Q499" s="10">
        <f>Daily_Data[[#This Row],[Total_Sales]]-Daily_Data[[#This Row],[Total_Daily_Expense]]</f>
        <v>-2783.8159192558869</v>
      </c>
      <c r="R499" s="10">
        <f>Daily_Data[[#This Row],[Total_Sales]]/Daily_Data[[#This Row],[Rooms_Occupied]]</f>
        <v>1436</v>
      </c>
      <c r="S499" s="10">
        <f>Daily_Data[[#This Row],[Total_Sales]] / Daily_Data[[#This Row],[Max_rooms]]</f>
        <v>923.14285714285711</v>
      </c>
    </row>
    <row r="500" spans="1:19" x14ac:dyDescent="0.25">
      <c r="A500" s="6">
        <v>45425</v>
      </c>
      <c r="B500" s="20">
        <f>DATE(YEAR(Daily_Data[[#This Row],[Date]]), MONTH(Daily_Data[[#This Row],[Date]]), 1)</f>
        <v>45413</v>
      </c>
      <c r="C500" s="20" t="str">
        <f>TEXT(Daily_Data[[#This Row],[Month_key]],"mmmm")</f>
        <v>May</v>
      </c>
      <c r="D500" s="20" t="str">
        <f>TEXT(Daily_Data[[#This Row],[Month_key]],"yyyy")</f>
        <v>2024</v>
      </c>
      <c r="E500" s="7">
        <v>13</v>
      </c>
      <c r="F500" s="7">
        <v>14</v>
      </c>
      <c r="G500" s="8">
        <f>Daily_Data[[#This Row],[Rooms_Occupied]]/F500</f>
        <v>0.9285714285714286</v>
      </c>
      <c r="H500" s="7">
        <v>1841</v>
      </c>
      <c r="I500" s="7">
        <f>Daily_Data[[#This Row],[Room_rate]]*Daily_Data[[#This Row],[Rooms_Occupied]]</f>
        <v>23933</v>
      </c>
      <c r="J500" s="10">
        <f>Daily_Data[[#This Row],[Total_Sales]] * 0.22</f>
        <v>5265.26</v>
      </c>
      <c r="K500" s="10">
        <f>INDEX(Expense_master[Monthly_Rent],MATCH(Daily_Data[[#This Row],[Month_key]],Expense_master[Month_Key],0)) / INDEX(Expense_master[Days_in_Month],MATCH(Daily_Data[[#This Row],[Month_key]],Expense_master[Month_Key],0))</f>
        <v>8064.5161290322585</v>
      </c>
      <c r="L500" s="10">
        <f>SUMIFS(Expense_master[Staff_Salary],Expense_master[Month_Key],Daily_Data[[#This Row],[Month_key]]) / SUMIFS(Expense_master[Days_in_Month],Expense_master[Month_Key],Daily_Data[[#This Row],[Month_key]])</f>
        <v>2258.0645161290322</v>
      </c>
      <c r="M500" s="10">
        <f>Daily_Data[[#This Row],[Rooms_Occupied]] * (SUMIFS(Expense_master[Housekeeping_Laundy],Expense_master[Month_Key],Daily_Data[[#This Row],[Month_key]]) / SUMIFS(Occupancy_table[Monthly_rooms_Occupied],Occupancy_table[Month_Key],Daily_Data[[#This Row],[Month_key]]))</f>
        <v>398.77300613496931</v>
      </c>
      <c r="N5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2025.6283396002375</v>
      </c>
      <c r="O500" s="10">
        <f>SUMIFS(Expense_master[Monthly_Maintenance],Expense_master[Month_Key],Daily_Data[[#This Row],[Month_key]]) / SUMIFS(Expense_master[Days_in_Month],Expense_master[Month_Key], Daily_Data[[#This Row],[Month_key]])</f>
        <v>645.16129032258061</v>
      </c>
      <c r="P500" s="10">
        <f xml:space="preserve"> Daily_Data[[#This Row],[OTA Commision]] + Daily_Data[[#This Row],[Daily_Rent]]+Daily_Data[[#This Row],[Daily_Staff]]+Daily_Data[[#This Row],[Daily_HK]]+Daily_Data[[#This Row],[Daily_Electricity]] + Daily_Data[[#This Row],[Daily Maintenance]]</f>
        <v>18657.403281219078</v>
      </c>
      <c r="Q500" s="10">
        <f>Daily_Data[[#This Row],[Total_Sales]]-Daily_Data[[#This Row],[Total_Daily_Expense]]</f>
        <v>5275.5967187809219</v>
      </c>
      <c r="R500" s="10">
        <f>Daily_Data[[#This Row],[Total_Sales]]/Daily_Data[[#This Row],[Rooms_Occupied]]</f>
        <v>1841</v>
      </c>
      <c r="S500" s="10">
        <f>Daily_Data[[#This Row],[Total_Sales]] / Daily_Data[[#This Row],[Max_rooms]]</f>
        <v>1709.5</v>
      </c>
    </row>
    <row r="501" spans="1:19" x14ac:dyDescent="0.25">
      <c r="A501" s="6">
        <v>45426</v>
      </c>
      <c r="B501" s="20">
        <f>DATE(YEAR(Daily_Data[[#This Row],[Date]]), MONTH(Daily_Data[[#This Row],[Date]]), 1)</f>
        <v>45413</v>
      </c>
      <c r="C501" s="20" t="str">
        <f>TEXT(Daily_Data[[#This Row],[Month_key]],"mmmm")</f>
        <v>May</v>
      </c>
      <c r="D501" s="20" t="str">
        <f>TEXT(Daily_Data[[#This Row],[Month_key]],"yyyy")</f>
        <v>2024</v>
      </c>
      <c r="E501" s="7">
        <v>9</v>
      </c>
      <c r="F501" s="7">
        <v>14</v>
      </c>
      <c r="G501" s="8">
        <f>Daily_Data[[#This Row],[Rooms_Occupied]]/F501</f>
        <v>0.6428571428571429</v>
      </c>
      <c r="H501" s="7">
        <v>1181</v>
      </c>
      <c r="I501" s="7">
        <f>Daily_Data[[#This Row],[Room_rate]]*Daily_Data[[#This Row],[Rooms_Occupied]]</f>
        <v>10629</v>
      </c>
      <c r="J501" s="10">
        <f>Daily_Data[[#This Row],[Total_Sales]] * 0.22</f>
        <v>2338.38</v>
      </c>
      <c r="K501" s="10">
        <f>INDEX(Expense_master[Monthly_Rent],MATCH(Daily_Data[[#This Row],[Month_key]],Expense_master[Month_Key],0)) / INDEX(Expense_master[Days_in_Month],MATCH(Daily_Data[[#This Row],[Month_key]],Expense_master[Month_Key],0))</f>
        <v>8064.5161290322585</v>
      </c>
      <c r="L501" s="10">
        <f>SUMIFS(Expense_master[Staff_Salary],Expense_master[Month_Key],Daily_Data[[#This Row],[Month_key]]) / SUMIFS(Expense_master[Days_in_Month],Expense_master[Month_Key],Daily_Data[[#This Row],[Month_key]])</f>
        <v>2258.0645161290322</v>
      </c>
      <c r="M501" s="10">
        <f>Daily_Data[[#This Row],[Rooms_Occupied]] * (SUMIFS(Expense_master[Housekeeping_Laundy],Expense_master[Month_Key],Daily_Data[[#This Row],[Month_key]]) / SUMIFS(Occupancy_table[Monthly_rooms_Occupied],Occupancy_table[Month_Key],Daily_Data[[#This Row],[Month_key]]))</f>
        <v>276.07361963190186</v>
      </c>
      <c r="N5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501" s="10">
        <f>SUMIFS(Expense_master[Monthly_Maintenance],Expense_master[Month_Key],Daily_Data[[#This Row],[Month_key]]) / SUMIFS(Expense_master[Days_in_Month],Expense_master[Month_Key], Daily_Data[[#This Row],[Month_key]])</f>
        <v>645.16129032258061</v>
      </c>
      <c r="P501" s="10">
        <f xml:space="preserve"> Daily_Data[[#This Row],[OTA Commision]] + Daily_Data[[#This Row],[Daily_Rent]]+Daily_Data[[#This Row],[Daily_Staff]]+Daily_Data[[#This Row],[Daily_HK]]+Daily_Data[[#This Row],[Daily_Electricity]] + Daily_Data[[#This Row],[Daily Maintenance]]</f>
        <v>15202.915919255889</v>
      </c>
      <c r="Q501" s="10">
        <f>Daily_Data[[#This Row],[Total_Sales]]-Daily_Data[[#This Row],[Total_Daily_Expense]]</f>
        <v>-4573.9159192558891</v>
      </c>
      <c r="R501" s="10">
        <f>Daily_Data[[#This Row],[Total_Sales]]/Daily_Data[[#This Row],[Rooms_Occupied]]</f>
        <v>1181</v>
      </c>
      <c r="S501" s="10">
        <f>Daily_Data[[#This Row],[Total_Sales]] / Daily_Data[[#This Row],[Max_rooms]]</f>
        <v>759.21428571428567</v>
      </c>
    </row>
    <row r="502" spans="1:19" x14ac:dyDescent="0.25">
      <c r="A502" s="6">
        <v>45427</v>
      </c>
      <c r="B502" s="20">
        <f>DATE(YEAR(Daily_Data[[#This Row],[Date]]), MONTH(Daily_Data[[#This Row],[Date]]), 1)</f>
        <v>45413</v>
      </c>
      <c r="C502" s="20" t="str">
        <f>TEXT(Daily_Data[[#This Row],[Month_key]],"mmmm")</f>
        <v>May</v>
      </c>
      <c r="D502" s="20" t="str">
        <f>TEXT(Daily_Data[[#This Row],[Month_key]],"yyyy")</f>
        <v>2024</v>
      </c>
      <c r="E502" s="7">
        <v>11</v>
      </c>
      <c r="F502" s="7">
        <v>14</v>
      </c>
      <c r="G502" s="8">
        <f>Daily_Data[[#This Row],[Rooms_Occupied]]/F502</f>
        <v>0.7857142857142857</v>
      </c>
      <c r="H502" s="7">
        <v>1941</v>
      </c>
      <c r="I502" s="7">
        <f>Daily_Data[[#This Row],[Room_rate]]*Daily_Data[[#This Row],[Rooms_Occupied]]</f>
        <v>21351</v>
      </c>
      <c r="J502" s="10">
        <f>Daily_Data[[#This Row],[Total_Sales]] * 0.22</f>
        <v>4697.22</v>
      </c>
      <c r="K502" s="10">
        <f>INDEX(Expense_master[Monthly_Rent],MATCH(Daily_Data[[#This Row],[Month_key]],Expense_master[Month_Key],0)) / INDEX(Expense_master[Days_in_Month],MATCH(Daily_Data[[#This Row],[Month_key]],Expense_master[Month_Key],0))</f>
        <v>8064.5161290322585</v>
      </c>
      <c r="L502" s="10">
        <f>SUMIFS(Expense_master[Staff_Salary],Expense_master[Month_Key],Daily_Data[[#This Row],[Month_key]]) / SUMIFS(Expense_master[Days_in_Month],Expense_master[Month_Key],Daily_Data[[#This Row],[Month_key]])</f>
        <v>2258.0645161290322</v>
      </c>
      <c r="M502" s="10">
        <f>Daily_Data[[#This Row],[Rooms_Occupied]] * (SUMIFS(Expense_master[Housekeeping_Laundy],Expense_master[Month_Key],Daily_Data[[#This Row],[Month_key]]) / SUMIFS(Occupancy_table[Monthly_rooms_Occupied],Occupancy_table[Month_Key],Daily_Data[[#This Row],[Month_key]]))</f>
        <v>337.42331288343559</v>
      </c>
      <c r="N5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1823.1743518701762</v>
      </c>
      <c r="O502" s="10">
        <f>SUMIFS(Expense_master[Monthly_Maintenance],Expense_master[Month_Key],Daily_Data[[#This Row],[Month_key]]) / SUMIFS(Expense_master[Days_in_Month],Expense_master[Month_Key], Daily_Data[[#This Row],[Month_key]])</f>
        <v>645.16129032258061</v>
      </c>
      <c r="P502" s="10">
        <f xml:space="preserve"> Daily_Data[[#This Row],[OTA Commision]] + Daily_Data[[#This Row],[Daily_Rent]]+Daily_Data[[#This Row],[Daily_Staff]]+Daily_Data[[#This Row],[Daily_HK]]+Daily_Data[[#This Row],[Daily_Electricity]] + Daily_Data[[#This Row],[Daily Maintenance]]</f>
        <v>17825.55960023748</v>
      </c>
      <c r="Q502" s="10">
        <f>Daily_Data[[#This Row],[Total_Sales]]-Daily_Data[[#This Row],[Total_Daily_Expense]]</f>
        <v>3525.4403997625195</v>
      </c>
      <c r="R502" s="10">
        <f>Daily_Data[[#This Row],[Total_Sales]]/Daily_Data[[#This Row],[Rooms_Occupied]]</f>
        <v>1941</v>
      </c>
      <c r="S502" s="10">
        <f>Daily_Data[[#This Row],[Total_Sales]] / Daily_Data[[#This Row],[Max_rooms]]</f>
        <v>1525.0714285714287</v>
      </c>
    </row>
    <row r="503" spans="1:19" x14ac:dyDescent="0.25">
      <c r="A503" s="6">
        <v>45428</v>
      </c>
      <c r="B503" s="20">
        <f>DATE(YEAR(Daily_Data[[#This Row],[Date]]), MONTH(Daily_Data[[#This Row],[Date]]), 1)</f>
        <v>45413</v>
      </c>
      <c r="C503" s="20" t="str">
        <f>TEXT(Daily_Data[[#This Row],[Month_key]],"mmmm")</f>
        <v>May</v>
      </c>
      <c r="D503" s="20" t="str">
        <f>TEXT(Daily_Data[[#This Row],[Month_key]],"yyyy")</f>
        <v>2024</v>
      </c>
      <c r="E503" s="7">
        <v>11</v>
      </c>
      <c r="F503" s="7">
        <v>14</v>
      </c>
      <c r="G503" s="8">
        <f>Daily_Data[[#This Row],[Rooms_Occupied]]/F503</f>
        <v>0.7857142857142857</v>
      </c>
      <c r="H503" s="7">
        <v>1357</v>
      </c>
      <c r="I503" s="7">
        <f>Daily_Data[[#This Row],[Room_rate]]*Daily_Data[[#This Row],[Rooms_Occupied]]</f>
        <v>14927</v>
      </c>
      <c r="J503" s="10">
        <f>Daily_Data[[#This Row],[Total_Sales]] * 0.22</f>
        <v>3283.94</v>
      </c>
      <c r="K503" s="10">
        <f>INDEX(Expense_master[Monthly_Rent],MATCH(Daily_Data[[#This Row],[Month_key]],Expense_master[Month_Key],0)) / INDEX(Expense_master[Days_in_Month],MATCH(Daily_Data[[#This Row],[Month_key]],Expense_master[Month_Key],0))</f>
        <v>8064.5161290322585</v>
      </c>
      <c r="L503" s="10">
        <f>SUMIFS(Expense_master[Staff_Salary],Expense_master[Month_Key],Daily_Data[[#This Row],[Month_key]]) / SUMIFS(Expense_master[Days_in_Month],Expense_master[Month_Key],Daily_Data[[#This Row],[Month_key]])</f>
        <v>2258.0645161290322</v>
      </c>
      <c r="M503" s="10">
        <f>Daily_Data[[#This Row],[Rooms_Occupied]] * (SUMIFS(Expense_master[Housekeeping_Laundy],Expense_master[Month_Key],Daily_Data[[#This Row],[Month_key]]) / SUMIFS(Occupancy_table[Monthly_rooms_Occupied],Occupancy_table[Month_Key],Daily_Data[[#This Row],[Month_key]]))</f>
        <v>337.42331288343559</v>
      </c>
      <c r="N5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1823.1743518701762</v>
      </c>
      <c r="O503" s="10">
        <f>SUMIFS(Expense_master[Monthly_Maintenance],Expense_master[Month_Key],Daily_Data[[#This Row],[Month_key]]) / SUMIFS(Expense_master[Days_in_Month],Expense_master[Month_Key], Daily_Data[[#This Row],[Month_key]])</f>
        <v>645.16129032258061</v>
      </c>
      <c r="P503" s="10">
        <f xml:space="preserve"> Daily_Data[[#This Row],[OTA Commision]] + Daily_Data[[#This Row],[Daily_Rent]]+Daily_Data[[#This Row],[Daily_Staff]]+Daily_Data[[#This Row],[Daily_HK]]+Daily_Data[[#This Row],[Daily_Electricity]] + Daily_Data[[#This Row],[Daily Maintenance]]</f>
        <v>16412.279600237482</v>
      </c>
      <c r="Q503" s="10">
        <f>Daily_Data[[#This Row],[Total_Sales]]-Daily_Data[[#This Row],[Total_Daily_Expense]]</f>
        <v>-1485.2796002374816</v>
      </c>
      <c r="R503" s="10">
        <f>Daily_Data[[#This Row],[Total_Sales]]/Daily_Data[[#This Row],[Rooms_Occupied]]</f>
        <v>1357</v>
      </c>
      <c r="S503" s="10">
        <f>Daily_Data[[#This Row],[Total_Sales]] / Daily_Data[[#This Row],[Max_rooms]]</f>
        <v>1066.2142857142858</v>
      </c>
    </row>
    <row r="504" spans="1:19" x14ac:dyDescent="0.25">
      <c r="A504" s="6">
        <v>45429</v>
      </c>
      <c r="B504" s="20">
        <f>DATE(YEAR(Daily_Data[[#This Row],[Date]]), MONTH(Daily_Data[[#This Row],[Date]]), 1)</f>
        <v>45413</v>
      </c>
      <c r="C504" s="20" t="str">
        <f>TEXT(Daily_Data[[#This Row],[Month_key]],"mmmm")</f>
        <v>May</v>
      </c>
      <c r="D504" s="20" t="str">
        <f>TEXT(Daily_Data[[#This Row],[Month_key]],"yyyy")</f>
        <v>2024</v>
      </c>
      <c r="E504" s="7">
        <v>9</v>
      </c>
      <c r="F504" s="7">
        <v>14</v>
      </c>
      <c r="G504" s="8">
        <f>Daily_Data[[#This Row],[Rooms_Occupied]]/F504</f>
        <v>0.6428571428571429</v>
      </c>
      <c r="H504" s="7">
        <v>1121</v>
      </c>
      <c r="I504" s="7">
        <f>Daily_Data[[#This Row],[Room_rate]]*Daily_Data[[#This Row],[Rooms_Occupied]]</f>
        <v>10089</v>
      </c>
      <c r="J504" s="10">
        <f>Daily_Data[[#This Row],[Total_Sales]] * 0.22</f>
        <v>2219.58</v>
      </c>
      <c r="K504" s="10">
        <f>INDEX(Expense_master[Monthly_Rent],MATCH(Daily_Data[[#This Row],[Month_key]],Expense_master[Month_Key],0)) / INDEX(Expense_master[Days_in_Month],MATCH(Daily_Data[[#This Row],[Month_key]],Expense_master[Month_Key],0))</f>
        <v>8064.5161290322585</v>
      </c>
      <c r="L504" s="10">
        <f>SUMIFS(Expense_master[Staff_Salary],Expense_master[Month_Key],Daily_Data[[#This Row],[Month_key]]) / SUMIFS(Expense_master[Days_in_Month],Expense_master[Month_Key],Daily_Data[[#This Row],[Month_key]])</f>
        <v>2258.0645161290322</v>
      </c>
      <c r="M504" s="10">
        <f>Daily_Data[[#This Row],[Rooms_Occupied]] * (SUMIFS(Expense_master[Housekeeping_Laundy],Expense_master[Month_Key],Daily_Data[[#This Row],[Month_key]]) / SUMIFS(Occupancy_table[Monthly_rooms_Occupied],Occupancy_table[Month_Key],Daily_Data[[#This Row],[Month_key]]))</f>
        <v>276.07361963190186</v>
      </c>
      <c r="N5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504" s="10">
        <f>SUMIFS(Expense_master[Monthly_Maintenance],Expense_master[Month_Key],Daily_Data[[#This Row],[Month_key]]) / SUMIFS(Expense_master[Days_in_Month],Expense_master[Month_Key], Daily_Data[[#This Row],[Month_key]])</f>
        <v>645.16129032258061</v>
      </c>
      <c r="P504" s="10">
        <f xml:space="preserve"> Daily_Data[[#This Row],[OTA Commision]] + Daily_Data[[#This Row],[Daily_Rent]]+Daily_Data[[#This Row],[Daily_Staff]]+Daily_Data[[#This Row],[Daily_HK]]+Daily_Data[[#This Row],[Daily_Electricity]] + Daily_Data[[#This Row],[Daily Maintenance]]</f>
        <v>15084.11591925589</v>
      </c>
      <c r="Q504" s="10">
        <f>Daily_Data[[#This Row],[Total_Sales]]-Daily_Data[[#This Row],[Total_Daily_Expense]]</f>
        <v>-4995.1159192558898</v>
      </c>
      <c r="R504" s="10">
        <f>Daily_Data[[#This Row],[Total_Sales]]/Daily_Data[[#This Row],[Rooms_Occupied]]</f>
        <v>1121</v>
      </c>
      <c r="S504" s="10">
        <f>Daily_Data[[#This Row],[Total_Sales]] / Daily_Data[[#This Row],[Max_rooms]]</f>
        <v>720.64285714285711</v>
      </c>
    </row>
    <row r="505" spans="1:19" x14ac:dyDescent="0.25">
      <c r="A505" s="6">
        <v>45430</v>
      </c>
      <c r="B505" s="20">
        <f>DATE(YEAR(Daily_Data[[#This Row],[Date]]), MONTH(Daily_Data[[#This Row],[Date]]), 1)</f>
        <v>45413</v>
      </c>
      <c r="C505" s="20" t="str">
        <f>TEXT(Daily_Data[[#This Row],[Month_key]],"mmmm")</f>
        <v>May</v>
      </c>
      <c r="D505" s="20" t="str">
        <f>TEXT(Daily_Data[[#This Row],[Month_key]],"yyyy")</f>
        <v>2024</v>
      </c>
      <c r="E505" s="7">
        <v>8</v>
      </c>
      <c r="F505" s="7">
        <v>14</v>
      </c>
      <c r="G505" s="8">
        <f>Daily_Data[[#This Row],[Rooms_Occupied]]/F505</f>
        <v>0.5714285714285714</v>
      </c>
      <c r="H505" s="7">
        <v>1790</v>
      </c>
      <c r="I505" s="7">
        <f>Daily_Data[[#This Row],[Room_rate]]*Daily_Data[[#This Row],[Rooms_Occupied]]</f>
        <v>14320</v>
      </c>
      <c r="J505" s="10">
        <f>Daily_Data[[#This Row],[Total_Sales]] * 0.22</f>
        <v>3150.4</v>
      </c>
      <c r="K505" s="10">
        <f>INDEX(Expense_master[Monthly_Rent],MATCH(Daily_Data[[#This Row],[Month_key]],Expense_master[Month_Key],0)) / INDEX(Expense_master[Days_in_Month],MATCH(Daily_Data[[#This Row],[Month_key]],Expense_master[Month_Key],0))</f>
        <v>8064.5161290322585</v>
      </c>
      <c r="L505" s="10">
        <f>SUMIFS(Expense_master[Staff_Salary],Expense_master[Month_Key],Daily_Data[[#This Row],[Month_key]]) / SUMIFS(Expense_master[Days_in_Month],Expense_master[Month_Key],Daily_Data[[#This Row],[Month_key]])</f>
        <v>2258.0645161290322</v>
      </c>
      <c r="M505" s="10">
        <f>Daily_Data[[#This Row],[Rooms_Occupied]] * (SUMIFS(Expense_master[Housekeeping_Laundy],Expense_master[Month_Key],Daily_Data[[#This Row],[Month_key]]) / SUMIFS(Occupancy_table[Monthly_rooms_Occupied],Occupancy_table[Month_Key],Daily_Data[[#This Row],[Month_key]]))</f>
        <v>245.39877300613497</v>
      </c>
      <c r="N5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1519.4933702750841</v>
      </c>
      <c r="O505" s="10">
        <f>SUMIFS(Expense_master[Monthly_Maintenance],Expense_master[Month_Key],Daily_Data[[#This Row],[Month_key]]) / SUMIFS(Expense_master[Days_in_Month],Expense_master[Month_Key], Daily_Data[[#This Row],[Month_key]])</f>
        <v>645.16129032258061</v>
      </c>
      <c r="P505" s="10">
        <f xml:space="preserve"> Daily_Data[[#This Row],[OTA Commision]] + Daily_Data[[#This Row],[Daily_Rent]]+Daily_Data[[#This Row],[Daily_Staff]]+Daily_Data[[#This Row],[Daily_HK]]+Daily_Data[[#This Row],[Daily_Electricity]] + Daily_Data[[#This Row],[Daily Maintenance]]</f>
        <v>15883.034078765091</v>
      </c>
      <c r="Q505" s="10">
        <f>Daily_Data[[#This Row],[Total_Sales]]-Daily_Data[[#This Row],[Total_Daily_Expense]]</f>
        <v>-1563.0340787650912</v>
      </c>
      <c r="R505" s="10">
        <f>Daily_Data[[#This Row],[Total_Sales]]/Daily_Data[[#This Row],[Rooms_Occupied]]</f>
        <v>1790</v>
      </c>
      <c r="S505" s="10">
        <f>Daily_Data[[#This Row],[Total_Sales]] / Daily_Data[[#This Row],[Max_rooms]]</f>
        <v>1022.8571428571429</v>
      </c>
    </row>
    <row r="506" spans="1:19" x14ac:dyDescent="0.25">
      <c r="A506" s="6">
        <v>45431</v>
      </c>
      <c r="B506" s="20">
        <f>DATE(YEAR(Daily_Data[[#This Row],[Date]]), MONTH(Daily_Data[[#This Row],[Date]]), 1)</f>
        <v>45413</v>
      </c>
      <c r="C506" s="20" t="str">
        <f>TEXT(Daily_Data[[#This Row],[Month_key]],"mmmm")</f>
        <v>May</v>
      </c>
      <c r="D506" s="20" t="str">
        <f>TEXT(Daily_Data[[#This Row],[Month_key]],"yyyy")</f>
        <v>2024</v>
      </c>
      <c r="E506" s="7">
        <v>14</v>
      </c>
      <c r="F506" s="7">
        <v>14</v>
      </c>
      <c r="G506" s="8">
        <f>Daily_Data[[#This Row],[Rooms_Occupied]]/F506</f>
        <v>1</v>
      </c>
      <c r="H506" s="7">
        <v>1889</v>
      </c>
      <c r="I506" s="7">
        <f>Daily_Data[[#This Row],[Room_rate]]*Daily_Data[[#This Row],[Rooms_Occupied]]</f>
        <v>26446</v>
      </c>
      <c r="J506" s="10">
        <f>Daily_Data[[#This Row],[Total_Sales]] * 0.22</f>
        <v>5818.12</v>
      </c>
      <c r="K506" s="10">
        <f>INDEX(Expense_master[Monthly_Rent],MATCH(Daily_Data[[#This Row],[Month_key]],Expense_master[Month_Key],0)) / INDEX(Expense_master[Days_in_Month],MATCH(Daily_Data[[#This Row],[Month_key]],Expense_master[Month_Key],0))</f>
        <v>8064.5161290322585</v>
      </c>
      <c r="L506" s="10">
        <f>SUMIFS(Expense_master[Staff_Salary],Expense_master[Month_Key],Daily_Data[[#This Row],[Month_key]]) / SUMIFS(Expense_master[Days_in_Month],Expense_master[Month_Key],Daily_Data[[#This Row],[Month_key]])</f>
        <v>2258.0645161290322</v>
      </c>
      <c r="M506" s="10">
        <f>Daily_Data[[#This Row],[Rooms_Occupied]] * (SUMIFS(Expense_master[Housekeeping_Laundy],Expense_master[Month_Key],Daily_Data[[#This Row],[Month_key]]) / SUMIFS(Occupancy_table[Monthly_rooms_Occupied],Occupancy_table[Month_Key],Daily_Data[[#This Row],[Month_key]]))</f>
        <v>429.44785276073623</v>
      </c>
      <c r="N5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2126.8553334652684</v>
      </c>
      <c r="O506" s="10">
        <f>SUMIFS(Expense_master[Monthly_Maintenance],Expense_master[Month_Key],Daily_Data[[#This Row],[Month_key]]) / SUMIFS(Expense_master[Days_in_Month],Expense_master[Month_Key], Daily_Data[[#This Row],[Month_key]])</f>
        <v>645.16129032258061</v>
      </c>
      <c r="P506" s="10">
        <f xml:space="preserve"> Daily_Data[[#This Row],[OTA Commision]] + Daily_Data[[#This Row],[Daily_Rent]]+Daily_Data[[#This Row],[Daily_Staff]]+Daily_Data[[#This Row],[Daily_HK]]+Daily_Data[[#This Row],[Daily_Electricity]] + Daily_Data[[#This Row],[Daily Maintenance]]</f>
        <v>19342.165121709873</v>
      </c>
      <c r="Q506" s="10">
        <f>Daily_Data[[#This Row],[Total_Sales]]-Daily_Data[[#This Row],[Total_Daily_Expense]]</f>
        <v>7103.8348782901267</v>
      </c>
      <c r="R506" s="10">
        <f>Daily_Data[[#This Row],[Total_Sales]]/Daily_Data[[#This Row],[Rooms_Occupied]]</f>
        <v>1889</v>
      </c>
      <c r="S506" s="10">
        <f>Daily_Data[[#This Row],[Total_Sales]] / Daily_Data[[#This Row],[Max_rooms]]</f>
        <v>1889</v>
      </c>
    </row>
    <row r="507" spans="1:19" x14ac:dyDescent="0.25">
      <c r="A507" s="6">
        <v>45432</v>
      </c>
      <c r="B507" s="20">
        <f>DATE(YEAR(Daily_Data[[#This Row],[Date]]), MONTH(Daily_Data[[#This Row],[Date]]), 1)</f>
        <v>45413</v>
      </c>
      <c r="C507" s="20" t="str">
        <f>TEXT(Daily_Data[[#This Row],[Month_key]],"mmmm")</f>
        <v>May</v>
      </c>
      <c r="D507" s="20" t="str">
        <f>TEXT(Daily_Data[[#This Row],[Month_key]],"yyyy")</f>
        <v>2024</v>
      </c>
      <c r="E507" s="7">
        <v>11</v>
      </c>
      <c r="F507" s="7">
        <v>14</v>
      </c>
      <c r="G507" s="8">
        <f>Daily_Data[[#This Row],[Rooms_Occupied]]/F507</f>
        <v>0.7857142857142857</v>
      </c>
      <c r="H507" s="7">
        <v>1711</v>
      </c>
      <c r="I507" s="7">
        <f>Daily_Data[[#This Row],[Room_rate]]*Daily_Data[[#This Row],[Rooms_Occupied]]</f>
        <v>18821</v>
      </c>
      <c r="J507" s="10">
        <f>Daily_Data[[#This Row],[Total_Sales]] * 0.22</f>
        <v>4140.62</v>
      </c>
      <c r="K507" s="10">
        <f>INDEX(Expense_master[Monthly_Rent],MATCH(Daily_Data[[#This Row],[Month_key]],Expense_master[Month_Key],0)) / INDEX(Expense_master[Days_in_Month],MATCH(Daily_Data[[#This Row],[Month_key]],Expense_master[Month_Key],0))</f>
        <v>8064.5161290322585</v>
      </c>
      <c r="L507" s="10">
        <f>SUMIFS(Expense_master[Staff_Salary],Expense_master[Month_Key],Daily_Data[[#This Row],[Month_key]]) / SUMIFS(Expense_master[Days_in_Month],Expense_master[Month_Key],Daily_Data[[#This Row],[Month_key]])</f>
        <v>2258.0645161290322</v>
      </c>
      <c r="M507" s="10">
        <f>Daily_Data[[#This Row],[Rooms_Occupied]] * (SUMIFS(Expense_master[Housekeeping_Laundy],Expense_master[Month_Key],Daily_Data[[#This Row],[Month_key]]) / SUMIFS(Occupancy_table[Monthly_rooms_Occupied],Occupancy_table[Month_Key],Daily_Data[[#This Row],[Month_key]]))</f>
        <v>337.42331288343559</v>
      </c>
      <c r="N5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1823.1743518701762</v>
      </c>
      <c r="O507" s="10">
        <f>SUMIFS(Expense_master[Monthly_Maintenance],Expense_master[Month_Key],Daily_Data[[#This Row],[Month_key]]) / SUMIFS(Expense_master[Days_in_Month],Expense_master[Month_Key], Daily_Data[[#This Row],[Month_key]])</f>
        <v>645.16129032258061</v>
      </c>
      <c r="P507" s="10">
        <f xml:space="preserve"> Daily_Data[[#This Row],[OTA Commision]] + Daily_Data[[#This Row],[Daily_Rent]]+Daily_Data[[#This Row],[Daily_Staff]]+Daily_Data[[#This Row],[Daily_HK]]+Daily_Data[[#This Row],[Daily_Electricity]] + Daily_Data[[#This Row],[Daily Maintenance]]</f>
        <v>17268.959600237482</v>
      </c>
      <c r="Q507" s="10">
        <f>Daily_Data[[#This Row],[Total_Sales]]-Daily_Data[[#This Row],[Total_Daily_Expense]]</f>
        <v>1552.0403997625181</v>
      </c>
      <c r="R507" s="10">
        <f>Daily_Data[[#This Row],[Total_Sales]]/Daily_Data[[#This Row],[Rooms_Occupied]]</f>
        <v>1711</v>
      </c>
      <c r="S507" s="10">
        <f>Daily_Data[[#This Row],[Total_Sales]] / Daily_Data[[#This Row],[Max_rooms]]</f>
        <v>1344.3571428571429</v>
      </c>
    </row>
    <row r="508" spans="1:19" x14ac:dyDescent="0.25">
      <c r="A508" s="6">
        <v>45433</v>
      </c>
      <c r="B508" s="20">
        <f>DATE(YEAR(Daily_Data[[#This Row],[Date]]), MONTH(Daily_Data[[#This Row],[Date]]), 1)</f>
        <v>45413</v>
      </c>
      <c r="C508" s="20" t="str">
        <f>TEXT(Daily_Data[[#This Row],[Month_key]],"mmmm")</f>
        <v>May</v>
      </c>
      <c r="D508" s="20" t="str">
        <f>TEXT(Daily_Data[[#This Row],[Month_key]],"yyyy")</f>
        <v>2024</v>
      </c>
      <c r="E508" s="7">
        <v>11</v>
      </c>
      <c r="F508" s="7">
        <v>14</v>
      </c>
      <c r="G508" s="8">
        <f>Daily_Data[[#This Row],[Rooms_Occupied]]/F508</f>
        <v>0.7857142857142857</v>
      </c>
      <c r="H508" s="7">
        <v>1454</v>
      </c>
      <c r="I508" s="7">
        <f>Daily_Data[[#This Row],[Room_rate]]*Daily_Data[[#This Row],[Rooms_Occupied]]</f>
        <v>15994</v>
      </c>
      <c r="J508" s="10">
        <f>Daily_Data[[#This Row],[Total_Sales]] * 0.22</f>
        <v>3518.68</v>
      </c>
      <c r="K508" s="10">
        <f>INDEX(Expense_master[Monthly_Rent],MATCH(Daily_Data[[#This Row],[Month_key]],Expense_master[Month_Key],0)) / INDEX(Expense_master[Days_in_Month],MATCH(Daily_Data[[#This Row],[Month_key]],Expense_master[Month_Key],0))</f>
        <v>8064.5161290322585</v>
      </c>
      <c r="L508" s="10">
        <f>SUMIFS(Expense_master[Staff_Salary],Expense_master[Month_Key],Daily_Data[[#This Row],[Month_key]]) / SUMIFS(Expense_master[Days_in_Month],Expense_master[Month_Key],Daily_Data[[#This Row],[Month_key]])</f>
        <v>2258.0645161290322</v>
      </c>
      <c r="M508" s="10">
        <f>Daily_Data[[#This Row],[Rooms_Occupied]] * (SUMIFS(Expense_master[Housekeeping_Laundy],Expense_master[Month_Key],Daily_Data[[#This Row],[Month_key]]) / SUMIFS(Occupancy_table[Monthly_rooms_Occupied],Occupancy_table[Month_Key],Daily_Data[[#This Row],[Month_key]]))</f>
        <v>337.42331288343559</v>
      </c>
      <c r="N5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1823.1743518701762</v>
      </c>
      <c r="O508" s="10">
        <f>SUMIFS(Expense_master[Monthly_Maintenance],Expense_master[Month_Key],Daily_Data[[#This Row],[Month_key]]) / SUMIFS(Expense_master[Days_in_Month],Expense_master[Month_Key], Daily_Data[[#This Row],[Month_key]])</f>
        <v>645.16129032258061</v>
      </c>
      <c r="P508" s="10">
        <f xml:space="preserve"> Daily_Data[[#This Row],[OTA Commision]] + Daily_Data[[#This Row],[Daily_Rent]]+Daily_Data[[#This Row],[Daily_Staff]]+Daily_Data[[#This Row],[Daily_HK]]+Daily_Data[[#This Row],[Daily_Electricity]] + Daily_Data[[#This Row],[Daily Maintenance]]</f>
        <v>16647.019600237483</v>
      </c>
      <c r="Q508" s="10">
        <f>Daily_Data[[#This Row],[Total_Sales]]-Daily_Data[[#This Row],[Total_Daily_Expense]]</f>
        <v>-653.01960023748325</v>
      </c>
      <c r="R508" s="10">
        <f>Daily_Data[[#This Row],[Total_Sales]]/Daily_Data[[#This Row],[Rooms_Occupied]]</f>
        <v>1454</v>
      </c>
      <c r="S508" s="10">
        <f>Daily_Data[[#This Row],[Total_Sales]] / Daily_Data[[#This Row],[Max_rooms]]</f>
        <v>1142.4285714285713</v>
      </c>
    </row>
    <row r="509" spans="1:19" x14ac:dyDescent="0.25">
      <c r="A509" s="6">
        <v>45434</v>
      </c>
      <c r="B509" s="20">
        <f>DATE(YEAR(Daily_Data[[#This Row],[Date]]), MONTH(Daily_Data[[#This Row],[Date]]), 1)</f>
        <v>45413</v>
      </c>
      <c r="C509" s="20" t="str">
        <f>TEXT(Daily_Data[[#This Row],[Month_key]],"mmmm")</f>
        <v>May</v>
      </c>
      <c r="D509" s="20" t="str">
        <f>TEXT(Daily_Data[[#This Row],[Month_key]],"yyyy")</f>
        <v>2024</v>
      </c>
      <c r="E509" s="7">
        <v>10</v>
      </c>
      <c r="F509" s="7">
        <v>14</v>
      </c>
      <c r="G509" s="8">
        <f>Daily_Data[[#This Row],[Rooms_Occupied]]/F509</f>
        <v>0.7142857142857143</v>
      </c>
      <c r="H509" s="7">
        <v>1235</v>
      </c>
      <c r="I509" s="7">
        <f>Daily_Data[[#This Row],[Room_rate]]*Daily_Data[[#This Row],[Rooms_Occupied]]</f>
        <v>12350</v>
      </c>
      <c r="J509" s="10">
        <f>Daily_Data[[#This Row],[Total_Sales]] * 0.22</f>
        <v>2717</v>
      </c>
      <c r="K509" s="10">
        <f>INDEX(Expense_master[Monthly_Rent],MATCH(Daily_Data[[#This Row],[Month_key]],Expense_master[Month_Key],0)) / INDEX(Expense_master[Days_in_Month],MATCH(Daily_Data[[#This Row],[Month_key]],Expense_master[Month_Key],0))</f>
        <v>8064.5161290322585</v>
      </c>
      <c r="L509" s="10">
        <f>SUMIFS(Expense_master[Staff_Salary],Expense_master[Month_Key],Daily_Data[[#This Row],[Month_key]]) / SUMIFS(Expense_master[Days_in_Month],Expense_master[Month_Key],Daily_Data[[#This Row],[Month_key]])</f>
        <v>2258.0645161290322</v>
      </c>
      <c r="M509" s="10">
        <f>Daily_Data[[#This Row],[Rooms_Occupied]] * (SUMIFS(Expense_master[Housekeeping_Laundy],Expense_master[Month_Key],Daily_Data[[#This Row],[Month_key]]) / SUMIFS(Occupancy_table[Monthly_rooms_Occupied],Occupancy_table[Month_Key],Daily_Data[[#This Row],[Month_key]]))</f>
        <v>306.74846625766872</v>
      </c>
      <c r="N5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1721.9473580051456</v>
      </c>
      <c r="O509" s="10">
        <f>SUMIFS(Expense_master[Monthly_Maintenance],Expense_master[Month_Key],Daily_Data[[#This Row],[Month_key]]) / SUMIFS(Expense_master[Days_in_Month],Expense_master[Month_Key], Daily_Data[[#This Row],[Month_key]])</f>
        <v>645.16129032258061</v>
      </c>
      <c r="P509" s="10">
        <f xml:space="preserve"> Daily_Data[[#This Row],[OTA Commision]] + Daily_Data[[#This Row],[Daily_Rent]]+Daily_Data[[#This Row],[Daily_Staff]]+Daily_Data[[#This Row],[Daily_HK]]+Daily_Data[[#This Row],[Daily_Electricity]] + Daily_Data[[#This Row],[Daily Maintenance]]</f>
        <v>15713.437759746685</v>
      </c>
      <c r="Q509" s="10">
        <f>Daily_Data[[#This Row],[Total_Sales]]-Daily_Data[[#This Row],[Total_Daily_Expense]]</f>
        <v>-3363.4377597466846</v>
      </c>
      <c r="R509" s="10">
        <f>Daily_Data[[#This Row],[Total_Sales]]/Daily_Data[[#This Row],[Rooms_Occupied]]</f>
        <v>1235</v>
      </c>
      <c r="S509" s="10">
        <f>Daily_Data[[#This Row],[Total_Sales]] / Daily_Data[[#This Row],[Max_rooms]]</f>
        <v>882.14285714285711</v>
      </c>
    </row>
    <row r="510" spans="1:19" x14ac:dyDescent="0.25">
      <c r="A510" s="6">
        <v>45435</v>
      </c>
      <c r="B510" s="20">
        <f>DATE(YEAR(Daily_Data[[#This Row],[Date]]), MONTH(Daily_Data[[#This Row],[Date]]), 1)</f>
        <v>45413</v>
      </c>
      <c r="C510" s="20" t="str">
        <f>TEXT(Daily_Data[[#This Row],[Month_key]],"mmmm")</f>
        <v>May</v>
      </c>
      <c r="D510" s="20" t="str">
        <f>TEXT(Daily_Data[[#This Row],[Month_key]],"yyyy")</f>
        <v>2024</v>
      </c>
      <c r="E510" s="7">
        <v>8</v>
      </c>
      <c r="F510" s="7">
        <v>14</v>
      </c>
      <c r="G510" s="8">
        <f>Daily_Data[[#This Row],[Rooms_Occupied]]/F510</f>
        <v>0.5714285714285714</v>
      </c>
      <c r="H510" s="7">
        <v>1626</v>
      </c>
      <c r="I510" s="7">
        <f>Daily_Data[[#This Row],[Room_rate]]*Daily_Data[[#This Row],[Rooms_Occupied]]</f>
        <v>13008</v>
      </c>
      <c r="J510" s="10">
        <f>Daily_Data[[#This Row],[Total_Sales]] * 0.22</f>
        <v>2861.76</v>
      </c>
      <c r="K510" s="10">
        <f>INDEX(Expense_master[Monthly_Rent],MATCH(Daily_Data[[#This Row],[Month_key]],Expense_master[Month_Key],0)) / INDEX(Expense_master[Days_in_Month],MATCH(Daily_Data[[#This Row],[Month_key]],Expense_master[Month_Key],0))</f>
        <v>8064.5161290322585</v>
      </c>
      <c r="L510" s="10">
        <f>SUMIFS(Expense_master[Staff_Salary],Expense_master[Month_Key],Daily_Data[[#This Row],[Month_key]]) / SUMIFS(Expense_master[Days_in_Month],Expense_master[Month_Key],Daily_Data[[#This Row],[Month_key]])</f>
        <v>2258.0645161290322</v>
      </c>
      <c r="M510" s="10">
        <f>Daily_Data[[#This Row],[Rooms_Occupied]] * (SUMIFS(Expense_master[Housekeeping_Laundy],Expense_master[Month_Key],Daily_Data[[#This Row],[Month_key]]) / SUMIFS(Occupancy_table[Monthly_rooms_Occupied],Occupancy_table[Month_Key],Daily_Data[[#This Row],[Month_key]]))</f>
        <v>245.39877300613497</v>
      </c>
      <c r="N5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1519.4933702750841</v>
      </c>
      <c r="O510" s="10">
        <f>SUMIFS(Expense_master[Monthly_Maintenance],Expense_master[Month_Key],Daily_Data[[#This Row],[Month_key]]) / SUMIFS(Expense_master[Days_in_Month],Expense_master[Month_Key], Daily_Data[[#This Row],[Month_key]])</f>
        <v>645.16129032258061</v>
      </c>
      <c r="P510" s="10">
        <f xml:space="preserve"> Daily_Data[[#This Row],[OTA Commision]] + Daily_Data[[#This Row],[Daily_Rent]]+Daily_Data[[#This Row],[Daily_Staff]]+Daily_Data[[#This Row],[Daily_HK]]+Daily_Data[[#This Row],[Daily_Electricity]] + Daily_Data[[#This Row],[Daily Maintenance]]</f>
        <v>15594.394078765092</v>
      </c>
      <c r="Q510" s="10">
        <f>Daily_Data[[#This Row],[Total_Sales]]-Daily_Data[[#This Row],[Total_Daily_Expense]]</f>
        <v>-2586.3940787650918</v>
      </c>
      <c r="R510" s="10">
        <f>Daily_Data[[#This Row],[Total_Sales]]/Daily_Data[[#This Row],[Rooms_Occupied]]</f>
        <v>1626</v>
      </c>
      <c r="S510" s="10">
        <f>Daily_Data[[#This Row],[Total_Sales]] / Daily_Data[[#This Row],[Max_rooms]]</f>
        <v>929.14285714285711</v>
      </c>
    </row>
    <row r="511" spans="1:19" x14ac:dyDescent="0.25">
      <c r="A511" s="6">
        <v>45436</v>
      </c>
      <c r="B511" s="20">
        <f>DATE(YEAR(Daily_Data[[#This Row],[Date]]), MONTH(Daily_Data[[#This Row],[Date]]), 1)</f>
        <v>45413</v>
      </c>
      <c r="C511" s="20" t="str">
        <f>TEXT(Daily_Data[[#This Row],[Month_key]],"mmmm")</f>
        <v>May</v>
      </c>
      <c r="D511" s="20" t="str">
        <f>TEXT(Daily_Data[[#This Row],[Month_key]],"yyyy")</f>
        <v>2024</v>
      </c>
      <c r="E511" s="7">
        <v>11</v>
      </c>
      <c r="F511" s="7">
        <v>14</v>
      </c>
      <c r="G511" s="8">
        <f>Daily_Data[[#This Row],[Rooms_Occupied]]/F511</f>
        <v>0.7857142857142857</v>
      </c>
      <c r="H511" s="7">
        <v>1564</v>
      </c>
      <c r="I511" s="7">
        <f>Daily_Data[[#This Row],[Room_rate]]*Daily_Data[[#This Row],[Rooms_Occupied]]</f>
        <v>17204</v>
      </c>
      <c r="J511" s="10">
        <f>Daily_Data[[#This Row],[Total_Sales]] * 0.22</f>
        <v>3784.88</v>
      </c>
      <c r="K511" s="10">
        <f>INDEX(Expense_master[Monthly_Rent],MATCH(Daily_Data[[#This Row],[Month_key]],Expense_master[Month_Key],0)) / INDEX(Expense_master[Days_in_Month],MATCH(Daily_Data[[#This Row],[Month_key]],Expense_master[Month_Key],0))</f>
        <v>8064.5161290322585</v>
      </c>
      <c r="L511" s="10">
        <f>SUMIFS(Expense_master[Staff_Salary],Expense_master[Month_Key],Daily_Data[[#This Row],[Month_key]]) / SUMIFS(Expense_master[Days_in_Month],Expense_master[Month_Key],Daily_Data[[#This Row],[Month_key]])</f>
        <v>2258.0645161290322</v>
      </c>
      <c r="M511" s="10">
        <f>Daily_Data[[#This Row],[Rooms_Occupied]] * (SUMIFS(Expense_master[Housekeeping_Laundy],Expense_master[Month_Key],Daily_Data[[#This Row],[Month_key]]) / SUMIFS(Occupancy_table[Monthly_rooms_Occupied],Occupancy_table[Month_Key],Daily_Data[[#This Row],[Month_key]]))</f>
        <v>337.42331288343559</v>
      </c>
      <c r="N5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1823.1743518701762</v>
      </c>
      <c r="O511" s="10">
        <f>SUMIFS(Expense_master[Monthly_Maintenance],Expense_master[Month_Key],Daily_Data[[#This Row],[Month_key]]) / SUMIFS(Expense_master[Days_in_Month],Expense_master[Month_Key], Daily_Data[[#This Row],[Month_key]])</f>
        <v>645.16129032258061</v>
      </c>
      <c r="P511" s="10">
        <f xml:space="preserve"> Daily_Data[[#This Row],[OTA Commision]] + Daily_Data[[#This Row],[Daily_Rent]]+Daily_Data[[#This Row],[Daily_Staff]]+Daily_Data[[#This Row],[Daily_HK]]+Daily_Data[[#This Row],[Daily_Electricity]] + Daily_Data[[#This Row],[Daily Maintenance]]</f>
        <v>16913.219600237484</v>
      </c>
      <c r="Q511" s="10">
        <f>Daily_Data[[#This Row],[Total_Sales]]-Daily_Data[[#This Row],[Total_Daily_Expense]]</f>
        <v>290.78039976251603</v>
      </c>
      <c r="R511" s="10">
        <f>Daily_Data[[#This Row],[Total_Sales]]/Daily_Data[[#This Row],[Rooms_Occupied]]</f>
        <v>1564</v>
      </c>
      <c r="S511" s="10">
        <f>Daily_Data[[#This Row],[Total_Sales]] / Daily_Data[[#This Row],[Max_rooms]]</f>
        <v>1228.8571428571429</v>
      </c>
    </row>
    <row r="512" spans="1:19" x14ac:dyDescent="0.25">
      <c r="A512" s="6">
        <v>45437</v>
      </c>
      <c r="B512" s="20">
        <f>DATE(YEAR(Daily_Data[[#This Row],[Date]]), MONTH(Daily_Data[[#This Row],[Date]]), 1)</f>
        <v>45413</v>
      </c>
      <c r="C512" s="20" t="str">
        <f>TEXT(Daily_Data[[#This Row],[Month_key]],"mmmm")</f>
        <v>May</v>
      </c>
      <c r="D512" s="20" t="str">
        <f>TEXT(Daily_Data[[#This Row],[Month_key]],"yyyy")</f>
        <v>2024</v>
      </c>
      <c r="E512" s="7">
        <v>12</v>
      </c>
      <c r="F512" s="7">
        <v>14</v>
      </c>
      <c r="G512" s="8">
        <f>Daily_Data[[#This Row],[Rooms_Occupied]]/F512</f>
        <v>0.8571428571428571</v>
      </c>
      <c r="H512" s="7">
        <v>1172</v>
      </c>
      <c r="I512" s="7">
        <f>Daily_Data[[#This Row],[Room_rate]]*Daily_Data[[#This Row],[Rooms_Occupied]]</f>
        <v>14064</v>
      </c>
      <c r="J512" s="10">
        <f>Daily_Data[[#This Row],[Total_Sales]] * 0.22</f>
        <v>3094.08</v>
      </c>
      <c r="K512" s="10">
        <f>INDEX(Expense_master[Monthly_Rent],MATCH(Daily_Data[[#This Row],[Month_key]],Expense_master[Month_Key],0)) / INDEX(Expense_master[Days_in_Month],MATCH(Daily_Data[[#This Row],[Month_key]],Expense_master[Month_Key],0))</f>
        <v>8064.5161290322585</v>
      </c>
      <c r="L512" s="10">
        <f>SUMIFS(Expense_master[Staff_Salary],Expense_master[Month_Key],Daily_Data[[#This Row],[Month_key]]) / SUMIFS(Expense_master[Days_in_Month],Expense_master[Month_Key],Daily_Data[[#This Row],[Month_key]])</f>
        <v>2258.0645161290322</v>
      </c>
      <c r="M512" s="10">
        <f>Daily_Data[[#This Row],[Rooms_Occupied]] * (SUMIFS(Expense_master[Housekeeping_Laundy],Expense_master[Month_Key],Daily_Data[[#This Row],[Month_key]]) / SUMIFS(Occupancy_table[Monthly_rooms_Occupied],Occupancy_table[Month_Key],Daily_Data[[#This Row],[Month_key]]))</f>
        <v>368.09815950920245</v>
      </c>
      <c r="N5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1924.4013457352069</v>
      </c>
      <c r="O512" s="10">
        <f>SUMIFS(Expense_master[Monthly_Maintenance],Expense_master[Month_Key],Daily_Data[[#This Row],[Month_key]]) / SUMIFS(Expense_master[Days_in_Month],Expense_master[Month_Key], Daily_Data[[#This Row],[Month_key]])</f>
        <v>645.16129032258061</v>
      </c>
      <c r="P512" s="10">
        <f xml:space="preserve"> Daily_Data[[#This Row],[OTA Commision]] + Daily_Data[[#This Row],[Daily_Rent]]+Daily_Data[[#This Row],[Daily_Staff]]+Daily_Data[[#This Row],[Daily_HK]]+Daily_Data[[#This Row],[Daily_Electricity]] + Daily_Data[[#This Row],[Daily Maintenance]]</f>
        <v>16354.321440728281</v>
      </c>
      <c r="Q512" s="10">
        <f>Daily_Data[[#This Row],[Total_Sales]]-Daily_Data[[#This Row],[Total_Daily_Expense]]</f>
        <v>-2290.3214407282812</v>
      </c>
      <c r="R512" s="10">
        <f>Daily_Data[[#This Row],[Total_Sales]]/Daily_Data[[#This Row],[Rooms_Occupied]]</f>
        <v>1172</v>
      </c>
      <c r="S512" s="10">
        <f>Daily_Data[[#This Row],[Total_Sales]] / Daily_Data[[#This Row],[Max_rooms]]</f>
        <v>1004.5714285714286</v>
      </c>
    </row>
    <row r="513" spans="1:19" x14ac:dyDescent="0.25">
      <c r="A513" s="6">
        <v>45438</v>
      </c>
      <c r="B513" s="20">
        <f>DATE(YEAR(Daily_Data[[#This Row],[Date]]), MONTH(Daily_Data[[#This Row],[Date]]), 1)</f>
        <v>45413</v>
      </c>
      <c r="C513" s="20" t="str">
        <f>TEXT(Daily_Data[[#This Row],[Month_key]],"mmmm")</f>
        <v>May</v>
      </c>
      <c r="D513" s="20" t="str">
        <f>TEXT(Daily_Data[[#This Row],[Month_key]],"yyyy")</f>
        <v>2024</v>
      </c>
      <c r="E513" s="7">
        <v>8</v>
      </c>
      <c r="F513" s="7">
        <v>14</v>
      </c>
      <c r="G513" s="8">
        <f>Daily_Data[[#This Row],[Rooms_Occupied]]/F513</f>
        <v>0.5714285714285714</v>
      </c>
      <c r="H513" s="7">
        <v>1477</v>
      </c>
      <c r="I513" s="7">
        <f>Daily_Data[[#This Row],[Room_rate]]*Daily_Data[[#This Row],[Rooms_Occupied]]</f>
        <v>11816</v>
      </c>
      <c r="J513" s="10">
        <f>Daily_Data[[#This Row],[Total_Sales]] * 0.22</f>
        <v>2599.52</v>
      </c>
      <c r="K513" s="10">
        <f>INDEX(Expense_master[Monthly_Rent],MATCH(Daily_Data[[#This Row],[Month_key]],Expense_master[Month_Key],0)) / INDEX(Expense_master[Days_in_Month],MATCH(Daily_Data[[#This Row],[Month_key]],Expense_master[Month_Key],0))</f>
        <v>8064.5161290322585</v>
      </c>
      <c r="L513" s="10">
        <f>SUMIFS(Expense_master[Staff_Salary],Expense_master[Month_Key],Daily_Data[[#This Row],[Month_key]]) / SUMIFS(Expense_master[Days_in_Month],Expense_master[Month_Key],Daily_Data[[#This Row],[Month_key]])</f>
        <v>2258.0645161290322</v>
      </c>
      <c r="M513" s="10">
        <f>Daily_Data[[#This Row],[Rooms_Occupied]] * (SUMIFS(Expense_master[Housekeeping_Laundy],Expense_master[Month_Key],Daily_Data[[#This Row],[Month_key]]) / SUMIFS(Occupancy_table[Monthly_rooms_Occupied],Occupancy_table[Month_Key],Daily_Data[[#This Row],[Month_key]]))</f>
        <v>245.39877300613497</v>
      </c>
      <c r="N5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1519.4933702750841</v>
      </c>
      <c r="O513" s="10">
        <f>SUMIFS(Expense_master[Monthly_Maintenance],Expense_master[Month_Key],Daily_Data[[#This Row],[Month_key]]) / SUMIFS(Expense_master[Days_in_Month],Expense_master[Month_Key], Daily_Data[[#This Row],[Month_key]])</f>
        <v>645.16129032258061</v>
      </c>
      <c r="P513" s="10">
        <f xml:space="preserve"> Daily_Data[[#This Row],[OTA Commision]] + Daily_Data[[#This Row],[Daily_Rent]]+Daily_Data[[#This Row],[Daily_Staff]]+Daily_Data[[#This Row],[Daily_HK]]+Daily_Data[[#This Row],[Daily_Electricity]] + Daily_Data[[#This Row],[Daily Maintenance]]</f>
        <v>15332.15407876509</v>
      </c>
      <c r="Q513" s="10">
        <f>Daily_Data[[#This Row],[Total_Sales]]-Daily_Data[[#This Row],[Total_Daily_Expense]]</f>
        <v>-3516.1540787650902</v>
      </c>
      <c r="R513" s="10">
        <f>Daily_Data[[#This Row],[Total_Sales]]/Daily_Data[[#This Row],[Rooms_Occupied]]</f>
        <v>1477</v>
      </c>
      <c r="S513" s="10">
        <f>Daily_Data[[#This Row],[Total_Sales]] / Daily_Data[[#This Row],[Max_rooms]]</f>
        <v>844</v>
      </c>
    </row>
    <row r="514" spans="1:19" x14ac:dyDescent="0.25">
      <c r="A514" s="6">
        <v>45439</v>
      </c>
      <c r="B514" s="20">
        <f>DATE(YEAR(Daily_Data[[#This Row],[Date]]), MONTH(Daily_Data[[#This Row],[Date]]), 1)</f>
        <v>45413</v>
      </c>
      <c r="C514" s="20" t="str">
        <f>TEXT(Daily_Data[[#This Row],[Month_key]],"mmmm")</f>
        <v>May</v>
      </c>
      <c r="D514" s="20" t="str">
        <f>TEXT(Daily_Data[[#This Row],[Month_key]],"yyyy")</f>
        <v>2024</v>
      </c>
      <c r="E514" s="7">
        <v>13</v>
      </c>
      <c r="F514" s="7">
        <v>14</v>
      </c>
      <c r="G514" s="8">
        <f>Daily_Data[[#This Row],[Rooms_Occupied]]/F514</f>
        <v>0.9285714285714286</v>
      </c>
      <c r="H514" s="7">
        <v>1144</v>
      </c>
      <c r="I514" s="7">
        <f>Daily_Data[[#This Row],[Room_rate]]*Daily_Data[[#This Row],[Rooms_Occupied]]</f>
        <v>14872</v>
      </c>
      <c r="J514" s="10">
        <f>Daily_Data[[#This Row],[Total_Sales]] * 0.22</f>
        <v>3271.84</v>
      </c>
      <c r="K514" s="10">
        <f>INDEX(Expense_master[Monthly_Rent],MATCH(Daily_Data[[#This Row],[Month_key]],Expense_master[Month_Key],0)) / INDEX(Expense_master[Days_in_Month],MATCH(Daily_Data[[#This Row],[Month_key]],Expense_master[Month_Key],0))</f>
        <v>8064.5161290322585</v>
      </c>
      <c r="L514" s="10">
        <f>SUMIFS(Expense_master[Staff_Salary],Expense_master[Month_Key],Daily_Data[[#This Row],[Month_key]]) / SUMIFS(Expense_master[Days_in_Month],Expense_master[Month_Key],Daily_Data[[#This Row],[Month_key]])</f>
        <v>2258.0645161290322</v>
      </c>
      <c r="M514" s="10">
        <f>Daily_Data[[#This Row],[Rooms_Occupied]] * (SUMIFS(Expense_master[Housekeeping_Laundy],Expense_master[Month_Key],Daily_Data[[#This Row],[Month_key]]) / SUMIFS(Occupancy_table[Monthly_rooms_Occupied],Occupancy_table[Month_Key],Daily_Data[[#This Row],[Month_key]]))</f>
        <v>398.77300613496931</v>
      </c>
      <c r="N5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2025.6283396002375</v>
      </c>
      <c r="O514" s="10">
        <f>SUMIFS(Expense_master[Monthly_Maintenance],Expense_master[Month_Key],Daily_Data[[#This Row],[Month_key]]) / SUMIFS(Expense_master[Days_in_Month],Expense_master[Month_Key], Daily_Data[[#This Row],[Month_key]])</f>
        <v>645.16129032258061</v>
      </c>
      <c r="P514" s="10">
        <f xml:space="preserve"> Daily_Data[[#This Row],[OTA Commision]] + Daily_Data[[#This Row],[Daily_Rent]]+Daily_Data[[#This Row],[Daily_Staff]]+Daily_Data[[#This Row],[Daily_HK]]+Daily_Data[[#This Row],[Daily_Electricity]] + Daily_Data[[#This Row],[Daily Maintenance]]</f>
        <v>16663.983281219076</v>
      </c>
      <c r="Q514" s="10">
        <f>Daily_Data[[#This Row],[Total_Sales]]-Daily_Data[[#This Row],[Total_Daily_Expense]]</f>
        <v>-1791.9832812190762</v>
      </c>
      <c r="R514" s="10">
        <f>Daily_Data[[#This Row],[Total_Sales]]/Daily_Data[[#This Row],[Rooms_Occupied]]</f>
        <v>1144</v>
      </c>
      <c r="S514" s="10">
        <f>Daily_Data[[#This Row],[Total_Sales]] / Daily_Data[[#This Row],[Max_rooms]]</f>
        <v>1062.2857142857142</v>
      </c>
    </row>
    <row r="515" spans="1:19" x14ac:dyDescent="0.25">
      <c r="A515" s="6">
        <v>45440</v>
      </c>
      <c r="B515" s="20">
        <f>DATE(YEAR(Daily_Data[[#This Row],[Date]]), MONTH(Daily_Data[[#This Row],[Date]]), 1)</f>
        <v>45413</v>
      </c>
      <c r="C515" s="20" t="str">
        <f>TEXT(Daily_Data[[#This Row],[Month_key]],"mmmm")</f>
        <v>May</v>
      </c>
      <c r="D515" s="20" t="str">
        <f>TEXT(Daily_Data[[#This Row],[Month_key]],"yyyy")</f>
        <v>2024</v>
      </c>
      <c r="E515" s="7">
        <v>10</v>
      </c>
      <c r="F515" s="7">
        <v>14</v>
      </c>
      <c r="G515" s="8">
        <f>Daily_Data[[#This Row],[Rooms_Occupied]]/F515</f>
        <v>0.7142857142857143</v>
      </c>
      <c r="H515" s="7">
        <v>1497</v>
      </c>
      <c r="I515" s="7">
        <f>Daily_Data[[#This Row],[Room_rate]]*Daily_Data[[#This Row],[Rooms_Occupied]]</f>
        <v>14970</v>
      </c>
      <c r="J515" s="10">
        <f>Daily_Data[[#This Row],[Total_Sales]] * 0.22</f>
        <v>3293.4</v>
      </c>
      <c r="K515" s="10">
        <f>INDEX(Expense_master[Monthly_Rent],MATCH(Daily_Data[[#This Row],[Month_key]],Expense_master[Month_Key],0)) / INDEX(Expense_master[Days_in_Month],MATCH(Daily_Data[[#This Row],[Month_key]],Expense_master[Month_Key],0))</f>
        <v>8064.5161290322585</v>
      </c>
      <c r="L515" s="10">
        <f>SUMIFS(Expense_master[Staff_Salary],Expense_master[Month_Key],Daily_Data[[#This Row],[Month_key]]) / SUMIFS(Expense_master[Days_in_Month],Expense_master[Month_Key],Daily_Data[[#This Row],[Month_key]])</f>
        <v>2258.0645161290322</v>
      </c>
      <c r="M515" s="10">
        <f>Daily_Data[[#This Row],[Rooms_Occupied]] * (SUMIFS(Expense_master[Housekeeping_Laundy],Expense_master[Month_Key],Daily_Data[[#This Row],[Month_key]]) / SUMIFS(Occupancy_table[Monthly_rooms_Occupied],Occupancy_table[Month_Key],Daily_Data[[#This Row],[Month_key]]))</f>
        <v>306.74846625766872</v>
      </c>
      <c r="N5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1721.9473580051456</v>
      </c>
      <c r="O515" s="10">
        <f>SUMIFS(Expense_master[Monthly_Maintenance],Expense_master[Month_Key],Daily_Data[[#This Row],[Month_key]]) / SUMIFS(Expense_master[Days_in_Month],Expense_master[Month_Key], Daily_Data[[#This Row],[Month_key]])</f>
        <v>645.16129032258061</v>
      </c>
      <c r="P515" s="10">
        <f xml:space="preserve"> Daily_Data[[#This Row],[OTA Commision]] + Daily_Data[[#This Row],[Daily_Rent]]+Daily_Data[[#This Row],[Daily_Staff]]+Daily_Data[[#This Row],[Daily_HK]]+Daily_Data[[#This Row],[Daily_Electricity]] + Daily_Data[[#This Row],[Daily Maintenance]]</f>
        <v>16289.837759746686</v>
      </c>
      <c r="Q515" s="10">
        <f>Daily_Data[[#This Row],[Total_Sales]]-Daily_Data[[#This Row],[Total_Daily_Expense]]</f>
        <v>-1319.8377597466861</v>
      </c>
      <c r="R515" s="10">
        <f>Daily_Data[[#This Row],[Total_Sales]]/Daily_Data[[#This Row],[Rooms_Occupied]]</f>
        <v>1497</v>
      </c>
      <c r="S515" s="10">
        <f>Daily_Data[[#This Row],[Total_Sales]] / Daily_Data[[#This Row],[Max_rooms]]</f>
        <v>1069.2857142857142</v>
      </c>
    </row>
    <row r="516" spans="1:19" x14ac:dyDescent="0.25">
      <c r="A516" s="6">
        <v>45441</v>
      </c>
      <c r="B516" s="20">
        <f>DATE(YEAR(Daily_Data[[#This Row],[Date]]), MONTH(Daily_Data[[#This Row],[Date]]), 1)</f>
        <v>45413</v>
      </c>
      <c r="C516" s="20" t="str">
        <f>TEXT(Daily_Data[[#This Row],[Month_key]],"mmmm")</f>
        <v>May</v>
      </c>
      <c r="D516" s="20" t="str">
        <f>TEXT(Daily_Data[[#This Row],[Month_key]],"yyyy")</f>
        <v>2024</v>
      </c>
      <c r="E516" s="7">
        <v>12</v>
      </c>
      <c r="F516" s="7">
        <v>14</v>
      </c>
      <c r="G516" s="8">
        <f>Daily_Data[[#This Row],[Rooms_Occupied]]/F516</f>
        <v>0.8571428571428571</v>
      </c>
      <c r="H516" s="7">
        <v>1799</v>
      </c>
      <c r="I516" s="7">
        <f>Daily_Data[[#This Row],[Room_rate]]*Daily_Data[[#This Row],[Rooms_Occupied]]</f>
        <v>21588</v>
      </c>
      <c r="J516" s="10">
        <f>Daily_Data[[#This Row],[Total_Sales]] * 0.22</f>
        <v>4749.3599999999997</v>
      </c>
      <c r="K516" s="10">
        <f>INDEX(Expense_master[Monthly_Rent],MATCH(Daily_Data[[#This Row],[Month_key]],Expense_master[Month_Key],0)) / INDEX(Expense_master[Days_in_Month],MATCH(Daily_Data[[#This Row],[Month_key]],Expense_master[Month_Key],0))</f>
        <v>8064.5161290322585</v>
      </c>
      <c r="L516" s="10">
        <f>SUMIFS(Expense_master[Staff_Salary],Expense_master[Month_Key],Daily_Data[[#This Row],[Month_key]]) / SUMIFS(Expense_master[Days_in_Month],Expense_master[Month_Key],Daily_Data[[#This Row],[Month_key]])</f>
        <v>2258.0645161290322</v>
      </c>
      <c r="M516" s="10">
        <f>Daily_Data[[#This Row],[Rooms_Occupied]] * (SUMIFS(Expense_master[Housekeeping_Laundy],Expense_master[Month_Key],Daily_Data[[#This Row],[Month_key]]) / SUMIFS(Occupancy_table[Monthly_rooms_Occupied],Occupancy_table[Month_Key],Daily_Data[[#This Row],[Month_key]]))</f>
        <v>368.09815950920245</v>
      </c>
      <c r="N5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1924.4013457352069</v>
      </c>
      <c r="O516" s="10">
        <f>SUMIFS(Expense_master[Monthly_Maintenance],Expense_master[Month_Key],Daily_Data[[#This Row],[Month_key]]) / SUMIFS(Expense_master[Days_in_Month],Expense_master[Month_Key], Daily_Data[[#This Row],[Month_key]])</f>
        <v>645.16129032258061</v>
      </c>
      <c r="P516" s="10">
        <f xml:space="preserve"> Daily_Data[[#This Row],[OTA Commision]] + Daily_Data[[#This Row],[Daily_Rent]]+Daily_Data[[#This Row],[Daily_Staff]]+Daily_Data[[#This Row],[Daily_HK]]+Daily_Data[[#This Row],[Daily_Electricity]] + Daily_Data[[#This Row],[Daily Maintenance]]</f>
        <v>18009.601440728278</v>
      </c>
      <c r="Q516" s="10">
        <f>Daily_Data[[#This Row],[Total_Sales]]-Daily_Data[[#This Row],[Total_Daily_Expense]]</f>
        <v>3578.3985592717218</v>
      </c>
      <c r="R516" s="10">
        <f>Daily_Data[[#This Row],[Total_Sales]]/Daily_Data[[#This Row],[Rooms_Occupied]]</f>
        <v>1799</v>
      </c>
      <c r="S516" s="10">
        <f>Daily_Data[[#This Row],[Total_Sales]] / Daily_Data[[#This Row],[Max_rooms]]</f>
        <v>1542</v>
      </c>
    </row>
    <row r="517" spans="1:19" x14ac:dyDescent="0.25">
      <c r="A517" s="6">
        <v>45442</v>
      </c>
      <c r="B517" s="20">
        <f>DATE(YEAR(Daily_Data[[#This Row],[Date]]), MONTH(Daily_Data[[#This Row],[Date]]), 1)</f>
        <v>45413</v>
      </c>
      <c r="C517" s="20" t="str">
        <f>TEXT(Daily_Data[[#This Row],[Month_key]],"mmmm")</f>
        <v>May</v>
      </c>
      <c r="D517" s="20" t="str">
        <f>TEXT(Daily_Data[[#This Row],[Month_key]],"yyyy")</f>
        <v>2024</v>
      </c>
      <c r="E517" s="7">
        <v>9</v>
      </c>
      <c r="F517" s="7">
        <v>14</v>
      </c>
      <c r="G517" s="8">
        <f>Daily_Data[[#This Row],[Rooms_Occupied]]/F517</f>
        <v>0.6428571428571429</v>
      </c>
      <c r="H517" s="7">
        <v>1833</v>
      </c>
      <c r="I517" s="7">
        <f>Daily_Data[[#This Row],[Room_rate]]*Daily_Data[[#This Row],[Rooms_Occupied]]</f>
        <v>16497</v>
      </c>
      <c r="J517" s="10">
        <f>Daily_Data[[#This Row],[Total_Sales]] * 0.22</f>
        <v>3629.34</v>
      </c>
      <c r="K517" s="10">
        <f>INDEX(Expense_master[Monthly_Rent],MATCH(Daily_Data[[#This Row],[Month_key]],Expense_master[Month_Key],0)) / INDEX(Expense_master[Days_in_Month],MATCH(Daily_Data[[#This Row],[Month_key]],Expense_master[Month_Key],0))</f>
        <v>8064.5161290322585</v>
      </c>
      <c r="L517" s="10">
        <f>SUMIFS(Expense_master[Staff_Salary],Expense_master[Month_Key],Daily_Data[[#This Row],[Month_key]]) / SUMIFS(Expense_master[Days_in_Month],Expense_master[Month_Key],Daily_Data[[#This Row],[Month_key]])</f>
        <v>2258.0645161290322</v>
      </c>
      <c r="M517" s="10">
        <f>Daily_Data[[#This Row],[Rooms_Occupied]] * (SUMIFS(Expense_master[Housekeeping_Laundy],Expense_master[Month_Key],Daily_Data[[#This Row],[Month_key]]) / SUMIFS(Occupancy_table[Monthly_rooms_Occupied],Occupancy_table[Month_Key],Daily_Data[[#This Row],[Month_key]]))</f>
        <v>276.07361963190186</v>
      </c>
      <c r="N5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517" s="10">
        <f>SUMIFS(Expense_master[Monthly_Maintenance],Expense_master[Month_Key],Daily_Data[[#This Row],[Month_key]]) / SUMIFS(Expense_master[Days_in_Month],Expense_master[Month_Key], Daily_Data[[#This Row],[Month_key]])</f>
        <v>645.16129032258061</v>
      </c>
      <c r="P517" s="10">
        <f xml:space="preserve"> Daily_Data[[#This Row],[OTA Commision]] + Daily_Data[[#This Row],[Daily_Rent]]+Daily_Data[[#This Row],[Daily_Staff]]+Daily_Data[[#This Row],[Daily_HK]]+Daily_Data[[#This Row],[Daily_Electricity]] + Daily_Data[[#This Row],[Daily Maintenance]]</f>
        <v>16493.875919255886</v>
      </c>
      <c r="Q517" s="10">
        <f>Daily_Data[[#This Row],[Total_Sales]]-Daily_Data[[#This Row],[Total_Daily_Expense]]</f>
        <v>3.1240807441135985</v>
      </c>
      <c r="R517" s="10">
        <f>Daily_Data[[#This Row],[Total_Sales]]/Daily_Data[[#This Row],[Rooms_Occupied]]</f>
        <v>1833</v>
      </c>
      <c r="S517" s="10">
        <f>Daily_Data[[#This Row],[Total_Sales]] / Daily_Data[[#This Row],[Max_rooms]]</f>
        <v>1178.3571428571429</v>
      </c>
    </row>
    <row r="518" spans="1:19" x14ac:dyDescent="0.25">
      <c r="A518" s="6">
        <v>45443</v>
      </c>
      <c r="B518" s="20">
        <f>DATE(YEAR(Daily_Data[[#This Row],[Date]]), MONTH(Daily_Data[[#This Row],[Date]]), 1)</f>
        <v>45413</v>
      </c>
      <c r="C518" s="20" t="str">
        <f>TEXT(Daily_Data[[#This Row],[Month_key]],"mmmm")</f>
        <v>May</v>
      </c>
      <c r="D518" s="20" t="str">
        <f>TEXT(Daily_Data[[#This Row],[Month_key]],"yyyy")</f>
        <v>2024</v>
      </c>
      <c r="E518" s="7">
        <v>9</v>
      </c>
      <c r="F518" s="7">
        <v>14</v>
      </c>
      <c r="G518" s="8">
        <f>Daily_Data[[#This Row],[Rooms_Occupied]]/F518</f>
        <v>0.6428571428571429</v>
      </c>
      <c r="H518" s="7">
        <v>1106</v>
      </c>
      <c r="I518" s="7">
        <f>Daily_Data[[#This Row],[Room_rate]]*Daily_Data[[#This Row],[Rooms_Occupied]]</f>
        <v>9954</v>
      </c>
      <c r="J518" s="10">
        <f>Daily_Data[[#This Row],[Total_Sales]] * 0.22</f>
        <v>2189.88</v>
      </c>
      <c r="K518" s="10">
        <f>INDEX(Expense_master[Monthly_Rent],MATCH(Daily_Data[[#This Row],[Month_key]],Expense_master[Month_Key],0)) / INDEX(Expense_master[Days_in_Month],MATCH(Daily_Data[[#This Row],[Month_key]],Expense_master[Month_Key],0))</f>
        <v>8064.5161290322585</v>
      </c>
      <c r="L518" s="10">
        <f>SUMIFS(Expense_master[Staff_Salary],Expense_master[Month_Key],Daily_Data[[#This Row],[Month_key]]) / SUMIFS(Expense_master[Days_in_Month],Expense_master[Month_Key],Daily_Data[[#This Row],[Month_key]])</f>
        <v>2258.0645161290322</v>
      </c>
      <c r="M518" s="10">
        <f>Daily_Data[[#This Row],[Rooms_Occupied]] * (SUMIFS(Expense_master[Housekeeping_Laundy],Expense_master[Month_Key],Daily_Data[[#This Row],[Month_key]]) / SUMIFS(Occupancy_table[Monthly_rooms_Occupied],Occupancy_table[Month_Key],Daily_Data[[#This Row],[Month_key]]))</f>
        <v>276.07361963190186</v>
      </c>
      <c r="N5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1620.7203641401147</v>
      </c>
      <c r="O518" s="10">
        <f>SUMIFS(Expense_master[Monthly_Maintenance],Expense_master[Month_Key],Daily_Data[[#This Row],[Month_key]]) / SUMIFS(Expense_master[Days_in_Month],Expense_master[Month_Key], Daily_Data[[#This Row],[Month_key]])</f>
        <v>645.16129032258061</v>
      </c>
      <c r="P518" s="10">
        <f xml:space="preserve"> Daily_Data[[#This Row],[OTA Commision]] + Daily_Data[[#This Row],[Daily_Rent]]+Daily_Data[[#This Row],[Daily_Staff]]+Daily_Data[[#This Row],[Daily_HK]]+Daily_Data[[#This Row],[Daily_Electricity]] + Daily_Data[[#This Row],[Daily Maintenance]]</f>
        <v>15054.415919255889</v>
      </c>
      <c r="Q518" s="10">
        <f>Daily_Data[[#This Row],[Total_Sales]]-Daily_Data[[#This Row],[Total_Daily_Expense]]</f>
        <v>-5100.4159192558891</v>
      </c>
      <c r="R518" s="10">
        <f>Daily_Data[[#This Row],[Total_Sales]]/Daily_Data[[#This Row],[Rooms_Occupied]]</f>
        <v>1106</v>
      </c>
      <c r="S518" s="10">
        <f>Daily_Data[[#This Row],[Total_Sales]] / Daily_Data[[#This Row],[Max_rooms]]</f>
        <v>711</v>
      </c>
    </row>
    <row r="519" spans="1:19" x14ac:dyDescent="0.25">
      <c r="A519" s="6">
        <v>45444</v>
      </c>
      <c r="B519" s="20">
        <f>DATE(YEAR(Daily_Data[[#This Row],[Date]]), MONTH(Daily_Data[[#This Row],[Date]]), 1)</f>
        <v>45444</v>
      </c>
      <c r="C519" s="20" t="str">
        <f>TEXT(Daily_Data[[#This Row],[Month_key]],"mmmm")</f>
        <v>June</v>
      </c>
      <c r="D519" s="20" t="str">
        <f>TEXT(Daily_Data[[#This Row],[Month_key]],"yyyy")</f>
        <v>2024</v>
      </c>
      <c r="E519" s="7">
        <v>14</v>
      </c>
      <c r="F519" s="7">
        <v>14</v>
      </c>
      <c r="G519" s="8">
        <f>Daily_Data[[#This Row],[Rooms_Occupied]]/F519</f>
        <v>1</v>
      </c>
      <c r="H519" s="7">
        <v>1828</v>
      </c>
      <c r="I519" s="7">
        <f>Daily_Data[[#This Row],[Room_rate]]*Daily_Data[[#This Row],[Rooms_Occupied]]</f>
        <v>25592</v>
      </c>
      <c r="J519" s="10">
        <f>Daily_Data[[#This Row],[Total_Sales]] * 0.22</f>
        <v>5630.24</v>
      </c>
      <c r="K519" s="10">
        <f>INDEX(Expense_master[Monthly_Rent],MATCH(Daily_Data[[#This Row],[Month_key]],Expense_master[Month_Key],0)) / INDEX(Expense_master[Days_in_Month],MATCH(Daily_Data[[#This Row],[Month_key]],Expense_master[Month_Key],0))</f>
        <v>8333.3333333333339</v>
      </c>
      <c r="L519" s="10">
        <f>SUMIFS(Expense_master[Staff_Salary],Expense_master[Month_Key],Daily_Data[[#This Row],[Month_key]]) / SUMIFS(Expense_master[Days_in_Month],Expense_master[Month_Key],Daily_Data[[#This Row],[Month_key]])</f>
        <v>2333.3333333333335</v>
      </c>
      <c r="M519" s="10">
        <f>Daily_Data[[#This Row],[Rooms_Occupied]] * (SUMIFS(Expense_master[Housekeeping_Laundy],Expense_master[Month_Key],Daily_Data[[#This Row],[Month_key]]) / SUMIFS(Occupancy_table[Monthly_rooms_Occupied],Occupancy_table[Month_Key],Daily_Data[[#This Row],[Month_key]]))</f>
        <v>419.16167664670661</v>
      </c>
      <c r="N5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1866.2347305389221</v>
      </c>
      <c r="O519" s="10">
        <f>SUMIFS(Expense_master[Monthly_Maintenance],Expense_master[Month_Key],Daily_Data[[#This Row],[Month_key]]) / SUMIFS(Expense_master[Days_in_Month],Expense_master[Month_Key], Daily_Data[[#This Row],[Month_key]])</f>
        <v>666.66666666666663</v>
      </c>
      <c r="P519" s="10">
        <f xml:space="preserve"> Daily_Data[[#This Row],[OTA Commision]] + Daily_Data[[#This Row],[Daily_Rent]]+Daily_Data[[#This Row],[Daily_Staff]]+Daily_Data[[#This Row],[Daily_HK]]+Daily_Data[[#This Row],[Daily_Electricity]] + Daily_Data[[#This Row],[Daily Maintenance]]</f>
        <v>19248.969740518965</v>
      </c>
      <c r="Q519" s="10">
        <f>Daily_Data[[#This Row],[Total_Sales]]-Daily_Data[[#This Row],[Total_Daily_Expense]]</f>
        <v>6343.0302594810346</v>
      </c>
      <c r="R519" s="10">
        <f>Daily_Data[[#This Row],[Total_Sales]]/Daily_Data[[#This Row],[Rooms_Occupied]]</f>
        <v>1828</v>
      </c>
      <c r="S519" s="10">
        <f>Daily_Data[[#This Row],[Total_Sales]] / Daily_Data[[#This Row],[Max_rooms]]</f>
        <v>1828</v>
      </c>
    </row>
    <row r="520" spans="1:19" x14ac:dyDescent="0.25">
      <c r="A520" s="6">
        <v>45445</v>
      </c>
      <c r="B520" s="20">
        <f>DATE(YEAR(Daily_Data[[#This Row],[Date]]), MONTH(Daily_Data[[#This Row],[Date]]), 1)</f>
        <v>45444</v>
      </c>
      <c r="C520" s="20" t="str">
        <f>TEXT(Daily_Data[[#This Row],[Month_key]],"mmmm")</f>
        <v>June</v>
      </c>
      <c r="D520" s="20" t="str">
        <f>TEXT(Daily_Data[[#This Row],[Month_key]],"yyyy")</f>
        <v>2024</v>
      </c>
      <c r="E520" s="7">
        <v>9</v>
      </c>
      <c r="F520" s="7">
        <v>14</v>
      </c>
      <c r="G520" s="8">
        <f>Daily_Data[[#This Row],[Rooms_Occupied]]/F520</f>
        <v>0.6428571428571429</v>
      </c>
      <c r="H520" s="7">
        <v>1437</v>
      </c>
      <c r="I520" s="7">
        <f>Daily_Data[[#This Row],[Room_rate]]*Daily_Data[[#This Row],[Rooms_Occupied]]</f>
        <v>12933</v>
      </c>
      <c r="J520" s="10">
        <f>Daily_Data[[#This Row],[Total_Sales]] * 0.22</f>
        <v>2845.26</v>
      </c>
      <c r="K520" s="10">
        <f>INDEX(Expense_master[Monthly_Rent],MATCH(Daily_Data[[#This Row],[Month_key]],Expense_master[Month_Key],0)) / INDEX(Expense_master[Days_in_Month],MATCH(Daily_Data[[#This Row],[Month_key]],Expense_master[Month_Key],0))</f>
        <v>8333.3333333333339</v>
      </c>
      <c r="L520" s="10">
        <f>SUMIFS(Expense_master[Staff_Salary],Expense_master[Month_Key],Daily_Data[[#This Row],[Month_key]]) / SUMIFS(Expense_master[Days_in_Month],Expense_master[Month_Key],Daily_Data[[#This Row],[Month_key]])</f>
        <v>2333.3333333333335</v>
      </c>
      <c r="M520" s="10">
        <f>Daily_Data[[#This Row],[Rooms_Occupied]] * (SUMIFS(Expense_master[Housekeeping_Laundy],Expense_master[Month_Key],Daily_Data[[#This Row],[Month_key]]) / SUMIFS(Occupancy_table[Monthly_rooms_Occupied],Occupancy_table[Month_Key],Daily_Data[[#This Row],[Month_key]]))</f>
        <v>269.46107784431138</v>
      </c>
      <c r="N5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1430.650898203593</v>
      </c>
      <c r="O520" s="10">
        <f>SUMIFS(Expense_master[Monthly_Maintenance],Expense_master[Month_Key],Daily_Data[[#This Row],[Month_key]]) / SUMIFS(Expense_master[Days_in_Month],Expense_master[Month_Key], Daily_Data[[#This Row],[Month_key]])</f>
        <v>666.66666666666663</v>
      </c>
      <c r="P520" s="10">
        <f xml:space="preserve"> Daily_Data[[#This Row],[OTA Commision]] + Daily_Data[[#This Row],[Daily_Rent]]+Daily_Data[[#This Row],[Daily_Staff]]+Daily_Data[[#This Row],[Daily_HK]]+Daily_Data[[#This Row],[Daily_Electricity]] + Daily_Data[[#This Row],[Daily Maintenance]]</f>
        <v>15878.705309381237</v>
      </c>
      <c r="Q520" s="10">
        <f>Daily_Data[[#This Row],[Total_Sales]]-Daily_Data[[#This Row],[Total_Daily_Expense]]</f>
        <v>-2945.7053093812374</v>
      </c>
      <c r="R520" s="10">
        <f>Daily_Data[[#This Row],[Total_Sales]]/Daily_Data[[#This Row],[Rooms_Occupied]]</f>
        <v>1437</v>
      </c>
      <c r="S520" s="10">
        <f>Daily_Data[[#This Row],[Total_Sales]] / Daily_Data[[#This Row],[Max_rooms]]</f>
        <v>923.78571428571433</v>
      </c>
    </row>
    <row r="521" spans="1:19" x14ac:dyDescent="0.25">
      <c r="A521" s="6">
        <v>45446</v>
      </c>
      <c r="B521" s="20">
        <f>DATE(YEAR(Daily_Data[[#This Row],[Date]]), MONTH(Daily_Data[[#This Row],[Date]]), 1)</f>
        <v>45444</v>
      </c>
      <c r="C521" s="20" t="str">
        <f>TEXT(Daily_Data[[#This Row],[Month_key]],"mmmm")</f>
        <v>June</v>
      </c>
      <c r="D521" s="20" t="str">
        <f>TEXT(Daily_Data[[#This Row],[Month_key]],"yyyy")</f>
        <v>2024</v>
      </c>
      <c r="E521" s="7">
        <v>10</v>
      </c>
      <c r="F521" s="7">
        <v>14</v>
      </c>
      <c r="G521" s="8">
        <f>Daily_Data[[#This Row],[Rooms_Occupied]]/F521</f>
        <v>0.7142857142857143</v>
      </c>
      <c r="H521" s="7">
        <v>1014</v>
      </c>
      <c r="I521" s="7">
        <f>Daily_Data[[#This Row],[Room_rate]]*Daily_Data[[#This Row],[Rooms_Occupied]]</f>
        <v>10140</v>
      </c>
      <c r="J521" s="10">
        <f>Daily_Data[[#This Row],[Total_Sales]] * 0.22</f>
        <v>2230.8000000000002</v>
      </c>
      <c r="K521" s="10">
        <f>INDEX(Expense_master[Monthly_Rent],MATCH(Daily_Data[[#This Row],[Month_key]],Expense_master[Month_Key],0)) / INDEX(Expense_master[Days_in_Month],MATCH(Daily_Data[[#This Row],[Month_key]],Expense_master[Month_Key],0))</f>
        <v>8333.3333333333339</v>
      </c>
      <c r="L521" s="10">
        <f>SUMIFS(Expense_master[Staff_Salary],Expense_master[Month_Key],Daily_Data[[#This Row],[Month_key]]) / SUMIFS(Expense_master[Days_in_Month],Expense_master[Month_Key],Daily_Data[[#This Row],[Month_key]])</f>
        <v>2333.3333333333335</v>
      </c>
      <c r="M521" s="10">
        <f>Daily_Data[[#This Row],[Rooms_Occupied]] * (SUMIFS(Expense_master[Housekeeping_Laundy],Expense_master[Month_Key],Daily_Data[[#This Row],[Month_key]]) / SUMIFS(Occupancy_table[Monthly_rooms_Occupied],Occupancy_table[Month_Key],Daily_Data[[#This Row],[Month_key]]))</f>
        <v>299.40119760479041</v>
      </c>
      <c r="N5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1517.7676646706586</v>
      </c>
      <c r="O521" s="10">
        <f>SUMIFS(Expense_master[Monthly_Maintenance],Expense_master[Month_Key],Daily_Data[[#This Row],[Month_key]]) / SUMIFS(Expense_master[Days_in_Month],Expense_master[Month_Key], Daily_Data[[#This Row],[Month_key]])</f>
        <v>666.66666666666663</v>
      </c>
      <c r="P521" s="10">
        <f xml:space="preserve"> Daily_Data[[#This Row],[OTA Commision]] + Daily_Data[[#This Row],[Daily_Rent]]+Daily_Data[[#This Row],[Daily_Staff]]+Daily_Data[[#This Row],[Daily_HK]]+Daily_Data[[#This Row],[Daily_Electricity]] + Daily_Data[[#This Row],[Daily Maintenance]]</f>
        <v>15381.302195608783</v>
      </c>
      <c r="Q521" s="10">
        <f>Daily_Data[[#This Row],[Total_Sales]]-Daily_Data[[#This Row],[Total_Daily_Expense]]</f>
        <v>-5241.3021956087832</v>
      </c>
      <c r="R521" s="10">
        <f>Daily_Data[[#This Row],[Total_Sales]]/Daily_Data[[#This Row],[Rooms_Occupied]]</f>
        <v>1014</v>
      </c>
      <c r="S521" s="10">
        <f>Daily_Data[[#This Row],[Total_Sales]] / Daily_Data[[#This Row],[Max_rooms]]</f>
        <v>724.28571428571433</v>
      </c>
    </row>
    <row r="522" spans="1:19" x14ac:dyDescent="0.25">
      <c r="A522" s="6">
        <v>45447</v>
      </c>
      <c r="B522" s="20">
        <f>DATE(YEAR(Daily_Data[[#This Row],[Date]]), MONTH(Daily_Data[[#This Row],[Date]]), 1)</f>
        <v>45444</v>
      </c>
      <c r="C522" s="20" t="str">
        <f>TEXT(Daily_Data[[#This Row],[Month_key]],"mmmm")</f>
        <v>June</v>
      </c>
      <c r="D522" s="20" t="str">
        <f>TEXT(Daily_Data[[#This Row],[Month_key]],"yyyy")</f>
        <v>2024</v>
      </c>
      <c r="E522" s="7">
        <v>11</v>
      </c>
      <c r="F522" s="7">
        <v>14</v>
      </c>
      <c r="G522" s="8">
        <f>Daily_Data[[#This Row],[Rooms_Occupied]]/F522</f>
        <v>0.7857142857142857</v>
      </c>
      <c r="H522" s="7">
        <v>1850</v>
      </c>
      <c r="I522" s="7">
        <f>Daily_Data[[#This Row],[Room_rate]]*Daily_Data[[#This Row],[Rooms_Occupied]]</f>
        <v>20350</v>
      </c>
      <c r="J522" s="10">
        <f>Daily_Data[[#This Row],[Total_Sales]] * 0.22</f>
        <v>4477</v>
      </c>
      <c r="K522" s="10">
        <f>INDEX(Expense_master[Monthly_Rent],MATCH(Daily_Data[[#This Row],[Month_key]],Expense_master[Month_Key],0)) / INDEX(Expense_master[Days_in_Month],MATCH(Daily_Data[[#This Row],[Month_key]],Expense_master[Month_Key],0))</f>
        <v>8333.3333333333339</v>
      </c>
      <c r="L522" s="10">
        <f>SUMIFS(Expense_master[Staff_Salary],Expense_master[Month_Key],Daily_Data[[#This Row],[Month_key]]) / SUMIFS(Expense_master[Days_in_Month],Expense_master[Month_Key],Daily_Data[[#This Row],[Month_key]])</f>
        <v>2333.3333333333335</v>
      </c>
      <c r="M522" s="10">
        <f>Daily_Data[[#This Row],[Rooms_Occupied]] * (SUMIFS(Expense_master[Housekeeping_Laundy],Expense_master[Month_Key],Daily_Data[[#This Row],[Month_key]]) / SUMIFS(Occupancy_table[Monthly_rooms_Occupied],Occupancy_table[Month_Key],Daily_Data[[#This Row],[Month_key]]))</f>
        <v>329.34131736526945</v>
      </c>
      <c r="N5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1604.8844311377247</v>
      </c>
      <c r="O522" s="10">
        <f>SUMIFS(Expense_master[Monthly_Maintenance],Expense_master[Month_Key],Daily_Data[[#This Row],[Month_key]]) / SUMIFS(Expense_master[Days_in_Month],Expense_master[Month_Key], Daily_Data[[#This Row],[Month_key]])</f>
        <v>666.66666666666663</v>
      </c>
      <c r="P522" s="10">
        <f xml:space="preserve"> Daily_Data[[#This Row],[OTA Commision]] + Daily_Data[[#This Row],[Daily_Rent]]+Daily_Data[[#This Row],[Daily_Staff]]+Daily_Data[[#This Row],[Daily_HK]]+Daily_Data[[#This Row],[Daily_Electricity]] + Daily_Data[[#This Row],[Daily Maintenance]]</f>
        <v>17744.559081836331</v>
      </c>
      <c r="Q522" s="10">
        <f>Daily_Data[[#This Row],[Total_Sales]]-Daily_Data[[#This Row],[Total_Daily_Expense]]</f>
        <v>2605.4409181636693</v>
      </c>
      <c r="R522" s="10">
        <f>Daily_Data[[#This Row],[Total_Sales]]/Daily_Data[[#This Row],[Rooms_Occupied]]</f>
        <v>1850</v>
      </c>
      <c r="S522" s="10">
        <f>Daily_Data[[#This Row],[Total_Sales]] / Daily_Data[[#This Row],[Max_rooms]]</f>
        <v>1453.5714285714287</v>
      </c>
    </row>
    <row r="523" spans="1:19" x14ac:dyDescent="0.25">
      <c r="A523" s="6">
        <v>45448</v>
      </c>
      <c r="B523" s="20">
        <f>DATE(YEAR(Daily_Data[[#This Row],[Date]]), MONTH(Daily_Data[[#This Row],[Date]]), 1)</f>
        <v>45444</v>
      </c>
      <c r="C523" s="20" t="str">
        <f>TEXT(Daily_Data[[#This Row],[Month_key]],"mmmm")</f>
        <v>June</v>
      </c>
      <c r="D523" s="20" t="str">
        <f>TEXT(Daily_Data[[#This Row],[Month_key]],"yyyy")</f>
        <v>2024</v>
      </c>
      <c r="E523" s="7">
        <v>11</v>
      </c>
      <c r="F523" s="7">
        <v>14</v>
      </c>
      <c r="G523" s="8">
        <f>Daily_Data[[#This Row],[Rooms_Occupied]]/F523</f>
        <v>0.7857142857142857</v>
      </c>
      <c r="H523" s="7">
        <v>1044</v>
      </c>
      <c r="I523" s="7">
        <f>Daily_Data[[#This Row],[Room_rate]]*Daily_Data[[#This Row],[Rooms_Occupied]]</f>
        <v>11484</v>
      </c>
      <c r="J523" s="10">
        <f>Daily_Data[[#This Row],[Total_Sales]] * 0.22</f>
        <v>2526.48</v>
      </c>
      <c r="K523" s="10">
        <f>INDEX(Expense_master[Monthly_Rent],MATCH(Daily_Data[[#This Row],[Month_key]],Expense_master[Month_Key],0)) / INDEX(Expense_master[Days_in_Month],MATCH(Daily_Data[[#This Row],[Month_key]],Expense_master[Month_Key],0))</f>
        <v>8333.3333333333339</v>
      </c>
      <c r="L523" s="10">
        <f>SUMIFS(Expense_master[Staff_Salary],Expense_master[Month_Key],Daily_Data[[#This Row],[Month_key]]) / SUMIFS(Expense_master[Days_in_Month],Expense_master[Month_Key],Daily_Data[[#This Row],[Month_key]])</f>
        <v>2333.3333333333335</v>
      </c>
      <c r="M523" s="10">
        <f>Daily_Data[[#This Row],[Rooms_Occupied]] * (SUMIFS(Expense_master[Housekeeping_Laundy],Expense_master[Month_Key],Daily_Data[[#This Row],[Month_key]]) / SUMIFS(Occupancy_table[Monthly_rooms_Occupied],Occupancy_table[Month_Key],Daily_Data[[#This Row],[Month_key]]))</f>
        <v>329.34131736526945</v>
      </c>
      <c r="N5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1604.8844311377247</v>
      </c>
      <c r="O523" s="10">
        <f>SUMIFS(Expense_master[Monthly_Maintenance],Expense_master[Month_Key],Daily_Data[[#This Row],[Month_key]]) / SUMIFS(Expense_master[Days_in_Month],Expense_master[Month_Key], Daily_Data[[#This Row],[Month_key]])</f>
        <v>666.66666666666663</v>
      </c>
      <c r="P523" s="10">
        <f xml:space="preserve"> Daily_Data[[#This Row],[OTA Commision]] + Daily_Data[[#This Row],[Daily_Rent]]+Daily_Data[[#This Row],[Daily_Staff]]+Daily_Data[[#This Row],[Daily_HK]]+Daily_Data[[#This Row],[Daily_Electricity]] + Daily_Data[[#This Row],[Daily Maintenance]]</f>
        <v>15794.039081836328</v>
      </c>
      <c r="Q523" s="10">
        <f>Daily_Data[[#This Row],[Total_Sales]]-Daily_Data[[#This Row],[Total_Daily_Expense]]</f>
        <v>-4310.0390818363285</v>
      </c>
      <c r="R523" s="10">
        <f>Daily_Data[[#This Row],[Total_Sales]]/Daily_Data[[#This Row],[Rooms_Occupied]]</f>
        <v>1044</v>
      </c>
      <c r="S523" s="10">
        <f>Daily_Data[[#This Row],[Total_Sales]] / Daily_Data[[#This Row],[Max_rooms]]</f>
        <v>820.28571428571433</v>
      </c>
    </row>
    <row r="524" spans="1:19" x14ac:dyDescent="0.25">
      <c r="A524" s="6">
        <v>45449</v>
      </c>
      <c r="B524" s="20">
        <f>DATE(YEAR(Daily_Data[[#This Row],[Date]]), MONTH(Daily_Data[[#This Row],[Date]]), 1)</f>
        <v>45444</v>
      </c>
      <c r="C524" s="20" t="str">
        <f>TEXT(Daily_Data[[#This Row],[Month_key]],"mmmm")</f>
        <v>June</v>
      </c>
      <c r="D524" s="20" t="str">
        <f>TEXT(Daily_Data[[#This Row],[Month_key]],"yyyy")</f>
        <v>2024</v>
      </c>
      <c r="E524" s="7">
        <v>8</v>
      </c>
      <c r="F524" s="7">
        <v>14</v>
      </c>
      <c r="G524" s="8">
        <f>Daily_Data[[#This Row],[Rooms_Occupied]]/F524</f>
        <v>0.5714285714285714</v>
      </c>
      <c r="H524" s="7">
        <v>1277</v>
      </c>
      <c r="I524" s="7">
        <f>Daily_Data[[#This Row],[Room_rate]]*Daily_Data[[#This Row],[Rooms_Occupied]]</f>
        <v>10216</v>
      </c>
      <c r="J524" s="10">
        <f>Daily_Data[[#This Row],[Total_Sales]] * 0.22</f>
        <v>2247.52</v>
      </c>
      <c r="K524" s="10">
        <f>INDEX(Expense_master[Monthly_Rent],MATCH(Daily_Data[[#This Row],[Month_key]],Expense_master[Month_Key],0)) / INDEX(Expense_master[Days_in_Month],MATCH(Daily_Data[[#This Row],[Month_key]],Expense_master[Month_Key],0))</f>
        <v>8333.3333333333339</v>
      </c>
      <c r="L524" s="10">
        <f>SUMIFS(Expense_master[Staff_Salary],Expense_master[Month_Key],Daily_Data[[#This Row],[Month_key]]) / SUMIFS(Expense_master[Days_in_Month],Expense_master[Month_Key],Daily_Data[[#This Row],[Month_key]])</f>
        <v>2333.3333333333335</v>
      </c>
      <c r="M524" s="10">
        <f>Daily_Data[[#This Row],[Rooms_Occupied]] * (SUMIFS(Expense_master[Housekeeping_Laundy],Expense_master[Month_Key],Daily_Data[[#This Row],[Month_key]]) / SUMIFS(Occupancy_table[Monthly_rooms_Occupied],Occupancy_table[Month_Key],Daily_Data[[#This Row],[Month_key]]))</f>
        <v>239.52095808383234</v>
      </c>
      <c r="N5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24" s="10">
        <f>SUMIFS(Expense_master[Monthly_Maintenance],Expense_master[Month_Key],Daily_Data[[#This Row],[Month_key]]) / SUMIFS(Expense_master[Days_in_Month],Expense_master[Month_Key], Daily_Data[[#This Row],[Month_key]])</f>
        <v>666.66666666666663</v>
      </c>
      <c r="P524" s="10">
        <f xml:space="preserve"> Daily_Data[[#This Row],[OTA Commision]] + Daily_Data[[#This Row],[Daily_Rent]]+Daily_Data[[#This Row],[Daily_Staff]]+Daily_Data[[#This Row],[Daily_HK]]+Daily_Data[[#This Row],[Daily_Electricity]] + Daily_Data[[#This Row],[Daily Maintenance]]</f>
        <v>15163.908423153694</v>
      </c>
      <c r="Q524" s="10">
        <f>Daily_Data[[#This Row],[Total_Sales]]-Daily_Data[[#This Row],[Total_Daily_Expense]]</f>
        <v>-4947.9084231536945</v>
      </c>
      <c r="R524" s="10">
        <f>Daily_Data[[#This Row],[Total_Sales]]/Daily_Data[[#This Row],[Rooms_Occupied]]</f>
        <v>1277</v>
      </c>
      <c r="S524" s="10">
        <f>Daily_Data[[#This Row],[Total_Sales]] / Daily_Data[[#This Row],[Max_rooms]]</f>
        <v>729.71428571428567</v>
      </c>
    </row>
    <row r="525" spans="1:19" x14ac:dyDescent="0.25">
      <c r="A525" s="6">
        <v>45450</v>
      </c>
      <c r="B525" s="20">
        <f>DATE(YEAR(Daily_Data[[#This Row],[Date]]), MONTH(Daily_Data[[#This Row],[Date]]), 1)</f>
        <v>45444</v>
      </c>
      <c r="C525" s="20" t="str">
        <f>TEXT(Daily_Data[[#This Row],[Month_key]],"mmmm")</f>
        <v>June</v>
      </c>
      <c r="D525" s="20" t="str">
        <f>TEXT(Daily_Data[[#This Row],[Month_key]],"yyyy")</f>
        <v>2024</v>
      </c>
      <c r="E525" s="7">
        <v>14</v>
      </c>
      <c r="F525" s="7">
        <v>14</v>
      </c>
      <c r="G525" s="8">
        <f>Daily_Data[[#This Row],[Rooms_Occupied]]/F525</f>
        <v>1</v>
      </c>
      <c r="H525" s="7">
        <v>1844</v>
      </c>
      <c r="I525" s="7">
        <f>Daily_Data[[#This Row],[Room_rate]]*Daily_Data[[#This Row],[Rooms_Occupied]]</f>
        <v>25816</v>
      </c>
      <c r="J525" s="10">
        <f>Daily_Data[[#This Row],[Total_Sales]] * 0.22</f>
        <v>5679.52</v>
      </c>
      <c r="K525" s="10">
        <f>INDEX(Expense_master[Monthly_Rent],MATCH(Daily_Data[[#This Row],[Month_key]],Expense_master[Month_Key],0)) / INDEX(Expense_master[Days_in_Month],MATCH(Daily_Data[[#This Row],[Month_key]],Expense_master[Month_Key],0))</f>
        <v>8333.3333333333339</v>
      </c>
      <c r="L525" s="10">
        <f>SUMIFS(Expense_master[Staff_Salary],Expense_master[Month_Key],Daily_Data[[#This Row],[Month_key]]) / SUMIFS(Expense_master[Days_in_Month],Expense_master[Month_Key],Daily_Data[[#This Row],[Month_key]])</f>
        <v>2333.3333333333335</v>
      </c>
      <c r="M525" s="10">
        <f>Daily_Data[[#This Row],[Rooms_Occupied]] * (SUMIFS(Expense_master[Housekeeping_Laundy],Expense_master[Month_Key],Daily_Data[[#This Row],[Month_key]]) / SUMIFS(Occupancy_table[Monthly_rooms_Occupied],Occupancy_table[Month_Key],Daily_Data[[#This Row],[Month_key]]))</f>
        <v>419.16167664670661</v>
      </c>
      <c r="N5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1866.2347305389221</v>
      </c>
      <c r="O525" s="10">
        <f>SUMIFS(Expense_master[Monthly_Maintenance],Expense_master[Month_Key],Daily_Data[[#This Row],[Month_key]]) / SUMIFS(Expense_master[Days_in_Month],Expense_master[Month_Key], Daily_Data[[#This Row],[Month_key]])</f>
        <v>666.66666666666663</v>
      </c>
      <c r="P525" s="10">
        <f xml:space="preserve"> Daily_Data[[#This Row],[OTA Commision]] + Daily_Data[[#This Row],[Daily_Rent]]+Daily_Data[[#This Row],[Daily_Staff]]+Daily_Data[[#This Row],[Daily_HK]]+Daily_Data[[#This Row],[Daily_Electricity]] + Daily_Data[[#This Row],[Daily Maintenance]]</f>
        <v>19298.249740518964</v>
      </c>
      <c r="Q525" s="10">
        <f>Daily_Data[[#This Row],[Total_Sales]]-Daily_Data[[#This Row],[Total_Daily_Expense]]</f>
        <v>6517.7502594810358</v>
      </c>
      <c r="R525" s="10">
        <f>Daily_Data[[#This Row],[Total_Sales]]/Daily_Data[[#This Row],[Rooms_Occupied]]</f>
        <v>1844</v>
      </c>
      <c r="S525" s="10">
        <f>Daily_Data[[#This Row],[Total_Sales]] / Daily_Data[[#This Row],[Max_rooms]]</f>
        <v>1844</v>
      </c>
    </row>
    <row r="526" spans="1:19" x14ac:dyDescent="0.25">
      <c r="A526" s="6">
        <v>45451</v>
      </c>
      <c r="B526" s="20">
        <f>DATE(YEAR(Daily_Data[[#This Row],[Date]]), MONTH(Daily_Data[[#This Row],[Date]]), 1)</f>
        <v>45444</v>
      </c>
      <c r="C526" s="20" t="str">
        <f>TEXT(Daily_Data[[#This Row],[Month_key]],"mmmm")</f>
        <v>June</v>
      </c>
      <c r="D526" s="20" t="str">
        <f>TEXT(Daily_Data[[#This Row],[Month_key]],"yyyy")</f>
        <v>2024</v>
      </c>
      <c r="E526" s="7">
        <v>9</v>
      </c>
      <c r="F526" s="7">
        <v>14</v>
      </c>
      <c r="G526" s="8">
        <f>Daily_Data[[#This Row],[Rooms_Occupied]]/F526</f>
        <v>0.6428571428571429</v>
      </c>
      <c r="H526" s="7">
        <v>1763</v>
      </c>
      <c r="I526" s="7">
        <f>Daily_Data[[#This Row],[Room_rate]]*Daily_Data[[#This Row],[Rooms_Occupied]]</f>
        <v>15867</v>
      </c>
      <c r="J526" s="10">
        <f>Daily_Data[[#This Row],[Total_Sales]] * 0.22</f>
        <v>3490.7400000000002</v>
      </c>
      <c r="K526" s="10">
        <f>INDEX(Expense_master[Monthly_Rent],MATCH(Daily_Data[[#This Row],[Month_key]],Expense_master[Month_Key],0)) / INDEX(Expense_master[Days_in_Month],MATCH(Daily_Data[[#This Row],[Month_key]],Expense_master[Month_Key],0))</f>
        <v>8333.3333333333339</v>
      </c>
      <c r="L526" s="10">
        <f>SUMIFS(Expense_master[Staff_Salary],Expense_master[Month_Key],Daily_Data[[#This Row],[Month_key]]) / SUMIFS(Expense_master[Days_in_Month],Expense_master[Month_Key],Daily_Data[[#This Row],[Month_key]])</f>
        <v>2333.3333333333335</v>
      </c>
      <c r="M526" s="10">
        <f>Daily_Data[[#This Row],[Rooms_Occupied]] * (SUMIFS(Expense_master[Housekeeping_Laundy],Expense_master[Month_Key],Daily_Data[[#This Row],[Month_key]]) / SUMIFS(Occupancy_table[Monthly_rooms_Occupied],Occupancy_table[Month_Key],Daily_Data[[#This Row],[Month_key]]))</f>
        <v>269.46107784431138</v>
      </c>
      <c r="N5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1430.650898203593</v>
      </c>
      <c r="O526" s="10">
        <f>SUMIFS(Expense_master[Monthly_Maintenance],Expense_master[Month_Key],Daily_Data[[#This Row],[Month_key]]) / SUMIFS(Expense_master[Days_in_Month],Expense_master[Month_Key], Daily_Data[[#This Row],[Month_key]])</f>
        <v>666.66666666666663</v>
      </c>
      <c r="P526" s="10">
        <f xml:space="preserve"> Daily_Data[[#This Row],[OTA Commision]] + Daily_Data[[#This Row],[Daily_Rent]]+Daily_Data[[#This Row],[Daily_Staff]]+Daily_Data[[#This Row],[Daily_HK]]+Daily_Data[[#This Row],[Daily_Electricity]] + Daily_Data[[#This Row],[Daily Maintenance]]</f>
        <v>16524.185309381239</v>
      </c>
      <c r="Q526" s="10">
        <f>Daily_Data[[#This Row],[Total_Sales]]-Daily_Data[[#This Row],[Total_Daily_Expense]]</f>
        <v>-657.18530938123877</v>
      </c>
      <c r="R526" s="10">
        <f>Daily_Data[[#This Row],[Total_Sales]]/Daily_Data[[#This Row],[Rooms_Occupied]]</f>
        <v>1763</v>
      </c>
      <c r="S526" s="10">
        <f>Daily_Data[[#This Row],[Total_Sales]] / Daily_Data[[#This Row],[Max_rooms]]</f>
        <v>1133.3571428571429</v>
      </c>
    </row>
    <row r="527" spans="1:19" x14ac:dyDescent="0.25">
      <c r="A527" s="6">
        <v>45452</v>
      </c>
      <c r="B527" s="20">
        <f>DATE(YEAR(Daily_Data[[#This Row],[Date]]), MONTH(Daily_Data[[#This Row],[Date]]), 1)</f>
        <v>45444</v>
      </c>
      <c r="C527" s="20" t="str">
        <f>TEXT(Daily_Data[[#This Row],[Month_key]],"mmmm")</f>
        <v>June</v>
      </c>
      <c r="D527" s="20" t="str">
        <f>TEXT(Daily_Data[[#This Row],[Month_key]],"yyyy")</f>
        <v>2024</v>
      </c>
      <c r="E527" s="7">
        <v>8</v>
      </c>
      <c r="F527" s="7">
        <v>14</v>
      </c>
      <c r="G527" s="8">
        <f>Daily_Data[[#This Row],[Rooms_Occupied]]/F527</f>
        <v>0.5714285714285714</v>
      </c>
      <c r="H527" s="7">
        <v>1130</v>
      </c>
      <c r="I527" s="7">
        <f>Daily_Data[[#This Row],[Room_rate]]*Daily_Data[[#This Row],[Rooms_Occupied]]</f>
        <v>9040</v>
      </c>
      <c r="J527" s="10">
        <f>Daily_Data[[#This Row],[Total_Sales]] * 0.22</f>
        <v>1988.8</v>
      </c>
      <c r="K527" s="10">
        <f>INDEX(Expense_master[Monthly_Rent],MATCH(Daily_Data[[#This Row],[Month_key]],Expense_master[Month_Key],0)) / INDEX(Expense_master[Days_in_Month],MATCH(Daily_Data[[#This Row],[Month_key]],Expense_master[Month_Key],0))</f>
        <v>8333.3333333333339</v>
      </c>
      <c r="L527" s="10">
        <f>SUMIFS(Expense_master[Staff_Salary],Expense_master[Month_Key],Daily_Data[[#This Row],[Month_key]]) / SUMIFS(Expense_master[Days_in_Month],Expense_master[Month_Key],Daily_Data[[#This Row],[Month_key]])</f>
        <v>2333.3333333333335</v>
      </c>
      <c r="M527" s="10">
        <f>Daily_Data[[#This Row],[Rooms_Occupied]] * (SUMIFS(Expense_master[Housekeeping_Laundy],Expense_master[Month_Key],Daily_Data[[#This Row],[Month_key]]) / SUMIFS(Occupancy_table[Monthly_rooms_Occupied],Occupancy_table[Month_Key],Daily_Data[[#This Row],[Month_key]]))</f>
        <v>239.52095808383234</v>
      </c>
      <c r="N5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27" s="10">
        <f>SUMIFS(Expense_master[Monthly_Maintenance],Expense_master[Month_Key],Daily_Data[[#This Row],[Month_key]]) / SUMIFS(Expense_master[Days_in_Month],Expense_master[Month_Key], Daily_Data[[#This Row],[Month_key]])</f>
        <v>666.66666666666663</v>
      </c>
      <c r="P527" s="10">
        <f xml:space="preserve"> Daily_Data[[#This Row],[OTA Commision]] + Daily_Data[[#This Row],[Daily_Rent]]+Daily_Data[[#This Row],[Daily_Staff]]+Daily_Data[[#This Row],[Daily_HK]]+Daily_Data[[#This Row],[Daily_Electricity]] + Daily_Data[[#This Row],[Daily Maintenance]]</f>
        <v>14905.188423153693</v>
      </c>
      <c r="Q527" s="10">
        <f>Daily_Data[[#This Row],[Total_Sales]]-Daily_Data[[#This Row],[Total_Daily_Expense]]</f>
        <v>-5865.1884231536933</v>
      </c>
      <c r="R527" s="10">
        <f>Daily_Data[[#This Row],[Total_Sales]]/Daily_Data[[#This Row],[Rooms_Occupied]]</f>
        <v>1130</v>
      </c>
      <c r="S527" s="10">
        <f>Daily_Data[[#This Row],[Total_Sales]] / Daily_Data[[#This Row],[Max_rooms]]</f>
        <v>645.71428571428567</v>
      </c>
    </row>
    <row r="528" spans="1:19" x14ac:dyDescent="0.25">
      <c r="A528" s="6">
        <v>45453</v>
      </c>
      <c r="B528" s="20">
        <f>DATE(YEAR(Daily_Data[[#This Row],[Date]]), MONTH(Daily_Data[[#This Row],[Date]]), 1)</f>
        <v>45444</v>
      </c>
      <c r="C528" s="20" t="str">
        <f>TEXT(Daily_Data[[#This Row],[Month_key]],"mmmm")</f>
        <v>June</v>
      </c>
      <c r="D528" s="20" t="str">
        <f>TEXT(Daily_Data[[#This Row],[Month_key]],"yyyy")</f>
        <v>2024</v>
      </c>
      <c r="E528" s="7">
        <v>13</v>
      </c>
      <c r="F528" s="7">
        <v>14</v>
      </c>
      <c r="G528" s="8">
        <f>Daily_Data[[#This Row],[Rooms_Occupied]]/F528</f>
        <v>0.9285714285714286</v>
      </c>
      <c r="H528" s="7">
        <v>1037</v>
      </c>
      <c r="I528" s="7">
        <f>Daily_Data[[#This Row],[Room_rate]]*Daily_Data[[#This Row],[Rooms_Occupied]]</f>
        <v>13481</v>
      </c>
      <c r="J528" s="10">
        <f>Daily_Data[[#This Row],[Total_Sales]] * 0.22</f>
        <v>2965.82</v>
      </c>
      <c r="K528" s="10">
        <f>INDEX(Expense_master[Monthly_Rent],MATCH(Daily_Data[[#This Row],[Month_key]],Expense_master[Month_Key],0)) / INDEX(Expense_master[Days_in_Month],MATCH(Daily_Data[[#This Row],[Month_key]],Expense_master[Month_Key],0))</f>
        <v>8333.3333333333339</v>
      </c>
      <c r="L528" s="10">
        <f>SUMIFS(Expense_master[Staff_Salary],Expense_master[Month_Key],Daily_Data[[#This Row],[Month_key]]) / SUMIFS(Expense_master[Days_in_Month],Expense_master[Month_Key],Daily_Data[[#This Row],[Month_key]])</f>
        <v>2333.3333333333335</v>
      </c>
      <c r="M528" s="10">
        <f>Daily_Data[[#This Row],[Rooms_Occupied]] * (SUMIFS(Expense_master[Housekeeping_Laundy],Expense_master[Month_Key],Daily_Data[[#This Row],[Month_key]]) / SUMIFS(Occupancy_table[Monthly_rooms_Occupied],Occupancy_table[Month_Key],Daily_Data[[#This Row],[Month_key]]))</f>
        <v>389.22155688622757</v>
      </c>
      <c r="N5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28" s="10">
        <f>SUMIFS(Expense_master[Monthly_Maintenance],Expense_master[Month_Key],Daily_Data[[#This Row],[Month_key]]) / SUMIFS(Expense_master[Days_in_Month],Expense_master[Month_Key], Daily_Data[[#This Row],[Month_key]])</f>
        <v>666.66666666666663</v>
      </c>
      <c r="P528" s="10">
        <f xml:space="preserve"> Daily_Data[[#This Row],[OTA Commision]] + Daily_Data[[#This Row],[Daily_Rent]]+Daily_Data[[#This Row],[Daily_Staff]]+Daily_Data[[#This Row],[Daily_HK]]+Daily_Data[[#This Row],[Daily_Electricity]] + Daily_Data[[#This Row],[Daily Maintenance]]</f>
        <v>16467.49285429142</v>
      </c>
      <c r="Q528" s="10">
        <f>Daily_Data[[#This Row],[Total_Sales]]-Daily_Data[[#This Row],[Total_Daily_Expense]]</f>
        <v>-2986.4928542914204</v>
      </c>
      <c r="R528" s="10">
        <f>Daily_Data[[#This Row],[Total_Sales]]/Daily_Data[[#This Row],[Rooms_Occupied]]</f>
        <v>1037</v>
      </c>
      <c r="S528" s="10">
        <f>Daily_Data[[#This Row],[Total_Sales]] / Daily_Data[[#This Row],[Max_rooms]]</f>
        <v>962.92857142857144</v>
      </c>
    </row>
    <row r="529" spans="1:19" x14ac:dyDescent="0.25">
      <c r="A529" s="6">
        <v>45454</v>
      </c>
      <c r="B529" s="20">
        <f>DATE(YEAR(Daily_Data[[#This Row],[Date]]), MONTH(Daily_Data[[#This Row],[Date]]), 1)</f>
        <v>45444</v>
      </c>
      <c r="C529" s="20" t="str">
        <f>TEXT(Daily_Data[[#This Row],[Month_key]],"mmmm")</f>
        <v>June</v>
      </c>
      <c r="D529" s="20" t="str">
        <f>TEXT(Daily_Data[[#This Row],[Month_key]],"yyyy")</f>
        <v>2024</v>
      </c>
      <c r="E529" s="7">
        <v>8</v>
      </c>
      <c r="F529" s="7">
        <v>14</v>
      </c>
      <c r="G529" s="8">
        <f>Daily_Data[[#This Row],[Rooms_Occupied]]/F529</f>
        <v>0.5714285714285714</v>
      </c>
      <c r="H529" s="7">
        <v>1398</v>
      </c>
      <c r="I529" s="7">
        <f>Daily_Data[[#This Row],[Room_rate]]*Daily_Data[[#This Row],[Rooms_Occupied]]</f>
        <v>11184</v>
      </c>
      <c r="J529" s="10">
        <f>Daily_Data[[#This Row],[Total_Sales]] * 0.22</f>
        <v>2460.48</v>
      </c>
      <c r="K529" s="10">
        <f>INDEX(Expense_master[Monthly_Rent],MATCH(Daily_Data[[#This Row],[Month_key]],Expense_master[Month_Key],0)) / INDEX(Expense_master[Days_in_Month],MATCH(Daily_Data[[#This Row],[Month_key]],Expense_master[Month_Key],0))</f>
        <v>8333.3333333333339</v>
      </c>
      <c r="L529" s="10">
        <f>SUMIFS(Expense_master[Staff_Salary],Expense_master[Month_Key],Daily_Data[[#This Row],[Month_key]]) / SUMIFS(Expense_master[Days_in_Month],Expense_master[Month_Key],Daily_Data[[#This Row],[Month_key]])</f>
        <v>2333.3333333333335</v>
      </c>
      <c r="M529" s="10">
        <f>Daily_Data[[#This Row],[Rooms_Occupied]] * (SUMIFS(Expense_master[Housekeeping_Laundy],Expense_master[Month_Key],Daily_Data[[#This Row],[Month_key]]) / SUMIFS(Occupancy_table[Monthly_rooms_Occupied],Occupancy_table[Month_Key],Daily_Data[[#This Row],[Month_key]]))</f>
        <v>239.52095808383234</v>
      </c>
      <c r="N5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29" s="10">
        <f>SUMIFS(Expense_master[Monthly_Maintenance],Expense_master[Month_Key],Daily_Data[[#This Row],[Month_key]]) / SUMIFS(Expense_master[Days_in_Month],Expense_master[Month_Key], Daily_Data[[#This Row],[Month_key]])</f>
        <v>666.66666666666663</v>
      </c>
      <c r="P529" s="10">
        <f xml:space="preserve"> Daily_Data[[#This Row],[OTA Commision]] + Daily_Data[[#This Row],[Daily_Rent]]+Daily_Data[[#This Row],[Daily_Staff]]+Daily_Data[[#This Row],[Daily_HK]]+Daily_Data[[#This Row],[Daily_Electricity]] + Daily_Data[[#This Row],[Daily Maintenance]]</f>
        <v>15376.868423153694</v>
      </c>
      <c r="Q529" s="10">
        <f>Daily_Data[[#This Row],[Total_Sales]]-Daily_Data[[#This Row],[Total_Daily_Expense]]</f>
        <v>-4192.8684231536936</v>
      </c>
      <c r="R529" s="10">
        <f>Daily_Data[[#This Row],[Total_Sales]]/Daily_Data[[#This Row],[Rooms_Occupied]]</f>
        <v>1398</v>
      </c>
      <c r="S529" s="10">
        <f>Daily_Data[[#This Row],[Total_Sales]] / Daily_Data[[#This Row],[Max_rooms]]</f>
        <v>798.85714285714289</v>
      </c>
    </row>
    <row r="530" spans="1:19" x14ac:dyDescent="0.25">
      <c r="A530" s="6">
        <v>45455</v>
      </c>
      <c r="B530" s="20">
        <f>DATE(YEAR(Daily_Data[[#This Row],[Date]]), MONTH(Daily_Data[[#This Row],[Date]]), 1)</f>
        <v>45444</v>
      </c>
      <c r="C530" s="20" t="str">
        <f>TEXT(Daily_Data[[#This Row],[Month_key]],"mmmm")</f>
        <v>June</v>
      </c>
      <c r="D530" s="20" t="str">
        <f>TEXT(Daily_Data[[#This Row],[Month_key]],"yyyy")</f>
        <v>2024</v>
      </c>
      <c r="E530" s="7">
        <v>8</v>
      </c>
      <c r="F530" s="7">
        <v>14</v>
      </c>
      <c r="G530" s="8">
        <f>Daily_Data[[#This Row],[Rooms_Occupied]]/F530</f>
        <v>0.5714285714285714</v>
      </c>
      <c r="H530" s="7">
        <v>1895</v>
      </c>
      <c r="I530" s="7">
        <f>Daily_Data[[#This Row],[Room_rate]]*Daily_Data[[#This Row],[Rooms_Occupied]]</f>
        <v>15160</v>
      </c>
      <c r="J530" s="10">
        <f>Daily_Data[[#This Row],[Total_Sales]] * 0.22</f>
        <v>3335.2</v>
      </c>
      <c r="K530" s="10">
        <f>INDEX(Expense_master[Monthly_Rent],MATCH(Daily_Data[[#This Row],[Month_key]],Expense_master[Month_Key],0)) / INDEX(Expense_master[Days_in_Month],MATCH(Daily_Data[[#This Row],[Month_key]],Expense_master[Month_Key],0))</f>
        <v>8333.3333333333339</v>
      </c>
      <c r="L530" s="10">
        <f>SUMIFS(Expense_master[Staff_Salary],Expense_master[Month_Key],Daily_Data[[#This Row],[Month_key]]) / SUMIFS(Expense_master[Days_in_Month],Expense_master[Month_Key],Daily_Data[[#This Row],[Month_key]])</f>
        <v>2333.3333333333335</v>
      </c>
      <c r="M530" s="10">
        <f>Daily_Data[[#This Row],[Rooms_Occupied]] * (SUMIFS(Expense_master[Housekeeping_Laundy],Expense_master[Month_Key],Daily_Data[[#This Row],[Month_key]]) / SUMIFS(Occupancy_table[Monthly_rooms_Occupied],Occupancy_table[Month_Key],Daily_Data[[#This Row],[Month_key]]))</f>
        <v>239.52095808383234</v>
      </c>
      <c r="N5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30" s="10">
        <f>SUMIFS(Expense_master[Monthly_Maintenance],Expense_master[Month_Key],Daily_Data[[#This Row],[Month_key]]) / SUMIFS(Expense_master[Days_in_Month],Expense_master[Month_Key], Daily_Data[[#This Row],[Month_key]])</f>
        <v>666.66666666666663</v>
      </c>
      <c r="P530" s="10">
        <f xml:space="preserve"> Daily_Data[[#This Row],[OTA Commision]] + Daily_Data[[#This Row],[Daily_Rent]]+Daily_Data[[#This Row],[Daily_Staff]]+Daily_Data[[#This Row],[Daily_HK]]+Daily_Data[[#This Row],[Daily_Electricity]] + Daily_Data[[#This Row],[Daily Maintenance]]</f>
        <v>16251.588423153693</v>
      </c>
      <c r="Q530" s="10">
        <f>Daily_Data[[#This Row],[Total_Sales]]-Daily_Data[[#This Row],[Total_Daily_Expense]]</f>
        <v>-1091.5884231536929</v>
      </c>
      <c r="R530" s="10">
        <f>Daily_Data[[#This Row],[Total_Sales]]/Daily_Data[[#This Row],[Rooms_Occupied]]</f>
        <v>1895</v>
      </c>
      <c r="S530" s="10">
        <f>Daily_Data[[#This Row],[Total_Sales]] / Daily_Data[[#This Row],[Max_rooms]]</f>
        <v>1082.8571428571429</v>
      </c>
    </row>
    <row r="531" spans="1:19" x14ac:dyDescent="0.25">
      <c r="A531" s="6">
        <v>45456</v>
      </c>
      <c r="B531" s="20">
        <f>DATE(YEAR(Daily_Data[[#This Row],[Date]]), MONTH(Daily_Data[[#This Row],[Date]]), 1)</f>
        <v>45444</v>
      </c>
      <c r="C531" s="20" t="str">
        <f>TEXT(Daily_Data[[#This Row],[Month_key]],"mmmm")</f>
        <v>June</v>
      </c>
      <c r="D531" s="20" t="str">
        <f>TEXT(Daily_Data[[#This Row],[Month_key]],"yyyy")</f>
        <v>2024</v>
      </c>
      <c r="E531" s="7">
        <v>13</v>
      </c>
      <c r="F531" s="7">
        <v>14</v>
      </c>
      <c r="G531" s="8">
        <f>Daily_Data[[#This Row],[Rooms_Occupied]]/F531</f>
        <v>0.9285714285714286</v>
      </c>
      <c r="H531" s="7">
        <v>1865</v>
      </c>
      <c r="I531" s="7">
        <f>Daily_Data[[#This Row],[Room_rate]]*Daily_Data[[#This Row],[Rooms_Occupied]]</f>
        <v>24245</v>
      </c>
      <c r="J531" s="10">
        <f>Daily_Data[[#This Row],[Total_Sales]] * 0.22</f>
        <v>5333.9</v>
      </c>
      <c r="K531" s="10">
        <f>INDEX(Expense_master[Monthly_Rent],MATCH(Daily_Data[[#This Row],[Month_key]],Expense_master[Month_Key],0)) / INDEX(Expense_master[Days_in_Month],MATCH(Daily_Data[[#This Row],[Month_key]],Expense_master[Month_Key],0))</f>
        <v>8333.3333333333339</v>
      </c>
      <c r="L531" s="10">
        <f>SUMIFS(Expense_master[Staff_Salary],Expense_master[Month_Key],Daily_Data[[#This Row],[Month_key]]) / SUMIFS(Expense_master[Days_in_Month],Expense_master[Month_Key],Daily_Data[[#This Row],[Month_key]])</f>
        <v>2333.3333333333335</v>
      </c>
      <c r="M531" s="10">
        <f>Daily_Data[[#This Row],[Rooms_Occupied]] * (SUMIFS(Expense_master[Housekeeping_Laundy],Expense_master[Month_Key],Daily_Data[[#This Row],[Month_key]]) / SUMIFS(Occupancy_table[Monthly_rooms_Occupied],Occupancy_table[Month_Key],Daily_Data[[#This Row],[Month_key]]))</f>
        <v>389.22155688622757</v>
      </c>
      <c r="N5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31" s="10">
        <f>SUMIFS(Expense_master[Monthly_Maintenance],Expense_master[Month_Key],Daily_Data[[#This Row],[Month_key]]) / SUMIFS(Expense_master[Days_in_Month],Expense_master[Month_Key], Daily_Data[[#This Row],[Month_key]])</f>
        <v>666.66666666666663</v>
      </c>
      <c r="P531" s="10">
        <f xml:space="preserve"> Daily_Data[[#This Row],[OTA Commision]] + Daily_Data[[#This Row],[Daily_Rent]]+Daily_Data[[#This Row],[Daily_Staff]]+Daily_Data[[#This Row],[Daily_HK]]+Daily_Data[[#This Row],[Daily_Electricity]] + Daily_Data[[#This Row],[Daily Maintenance]]</f>
        <v>18835.572854291418</v>
      </c>
      <c r="Q531" s="10">
        <f>Daily_Data[[#This Row],[Total_Sales]]-Daily_Data[[#This Row],[Total_Daily_Expense]]</f>
        <v>5409.4271457085815</v>
      </c>
      <c r="R531" s="10">
        <f>Daily_Data[[#This Row],[Total_Sales]]/Daily_Data[[#This Row],[Rooms_Occupied]]</f>
        <v>1865</v>
      </c>
      <c r="S531" s="10">
        <f>Daily_Data[[#This Row],[Total_Sales]] / Daily_Data[[#This Row],[Max_rooms]]</f>
        <v>1731.7857142857142</v>
      </c>
    </row>
    <row r="532" spans="1:19" x14ac:dyDescent="0.25">
      <c r="A532" s="6">
        <v>45457</v>
      </c>
      <c r="B532" s="20">
        <f>DATE(YEAR(Daily_Data[[#This Row],[Date]]), MONTH(Daily_Data[[#This Row],[Date]]), 1)</f>
        <v>45444</v>
      </c>
      <c r="C532" s="20" t="str">
        <f>TEXT(Daily_Data[[#This Row],[Month_key]],"mmmm")</f>
        <v>June</v>
      </c>
      <c r="D532" s="20" t="str">
        <f>TEXT(Daily_Data[[#This Row],[Month_key]],"yyyy")</f>
        <v>2024</v>
      </c>
      <c r="E532" s="7">
        <v>12</v>
      </c>
      <c r="F532" s="7">
        <v>14</v>
      </c>
      <c r="G532" s="8">
        <f>Daily_Data[[#This Row],[Rooms_Occupied]]/F532</f>
        <v>0.8571428571428571</v>
      </c>
      <c r="H532" s="7">
        <v>1855</v>
      </c>
      <c r="I532" s="7">
        <f>Daily_Data[[#This Row],[Room_rate]]*Daily_Data[[#This Row],[Rooms_Occupied]]</f>
        <v>22260</v>
      </c>
      <c r="J532" s="10">
        <f>Daily_Data[[#This Row],[Total_Sales]] * 0.22</f>
        <v>4897.2</v>
      </c>
      <c r="K532" s="10">
        <f>INDEX(Expense_master[Monthly_Rent],MATCH(Daily_Data[[#This Row],[Month_key]],Expense_master[Month_Key],0)) / INDEX(Expense_master[Days_in_Month],MATCH(Daily_Data[[#This Row],[Month_key]],Expense_master[Month_Key],0))</f>
        <v>8333.3333333333339</v>
      </c>
      <c r="L532" s="10">
        <f>SUMIFS(Expense_master[Staff_Salary],Expense_master[Month_Key],Daily_Data[[#This Row],[Month_key]]) / SUMIFS(Expense_master[Days_in_Month],Expense_master[Month_Key],Daily_Data[[#This Row],[Month_key]])</f>
        <v>2333.3333333333335</v>
      </c>
      <c r="M532" s="10">
        <f>Daily_Data[[#This Row],[Rooms_Occupied]] * (SUMIFS(Expense_master[Housekeeping_Laundy],Expense_master[Month_Key],Daily_Data[[#This Row],[Month_key]]) / SUMIFS(Occupancy_table[Monthly_rooms_Occupied],Occupancy_table[Month_Key],Daily_Data[[#This Row],[Month_key]]))</f>
        <v>359.28143712574854</v>
      </c>
      <c r="N5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1692.0011976047904</v>
      </c>
      <c r="O532" s="10">
        <f>SUMIFS(Expense_master[Monthly_Maintenance],Expense_master[Month_Key],Daily_Data[[#This Row],[Month_key]]) / SUMIFS(Expense_master[Days_in_Month],Expense_master[Month_Key], Daily_Data[[#This Row],[Month_key]])</f>
        <v>666.66666666666663</v>
      </c>
      <c r="P532" s="10">
        <f xml:space="preserve"> Daily_Data[[#This Row],[OTA Commision]] + Daily_Data[[#This Row],[Daily_Rent]]+Daily_Data[[#This Row],[Daily_Staff]]+Daily_Data[[#This Row],[Daily_HK]]+Daily_Data[[#This Row],[Daily_Electricity]] + Daily_Data[[#This Row],[Daily Maintenance]]</f>
        <v>18281.815968063875</v>
      </c>
      <c r="Q532" s="10">
        <f>Daily_Data[[#This Row],[Total_Sales]]-Daily_Data[[#This Row],[Total_Daily_Expense]]</f>
        <v>3978.1840319361254</v>
      </c>
      <c r="R532" s="10">
        <f>Daily_Data[[#This Row],[Total_Sales]]/Daily_Data[[#This Row],[Rooms_Occupied]]</f>
        <v>1855</v>
      </c>
      <c r="S532" s="10">
        <f>Daily_Data[[#This Row],[Total_Sales]] / Daily_Data[[#This Row],[Max_rooms]]</f>
        <v>1590</v>
      </c>
    </row>
    <row r="533" spans="1:19" x14ac:dyDescent="0.25">
      <c r="A533" s="6">
        <v>45458</v>
      </c>
      <c r="B533" s="20">
        <f>DATE(YEAR(Daily_Data[[#This Row],[Date]]), MONTH(Daily_Data[[#This Row],[Date]]), 1)</f>
        <v>45444</v>
      </c>
      <c r="C533" s="20" t="str">
        <f>TEXT(Daily_Data[[#This Row],[Month_key]],"mmmm")</f>
        <v>June</v>
      </c>
      <c r="D533" s="20" t="str">
        <f>TEXT(Daily_Data[[#This Row],[Month_key]],"yyyy")</f>
        <v>2024</v>
      </c>
      <c r="E533" s="7">
        <v>14</v>
      </c>
      <c r="F533" s="7">
        <v>14</v>
      </c>
      <c r="G533" s="8">
        <f>Daily_Data[[#This Row],[Rooms_Occupied]]/F533</f>
        <v>1</v>
      </c>
      <c r="H533" s="7">
        <v>1343</v>
      </c>
      <c r="I533" s="7">
        <f>Daily_Data[[#This Row],[Room_rate]]*Daily_Data[[#This Row],[Rooms_Occupied]]</f>
        <v>18802</v>
      </c>
      <c r="J533" s="10">
        <f>Daily_Data[[#This Row],[Total_Sales]] * 0.22</f>
        <v>4136.4399999999996</v>
      </c>
      <c r="K533" s="10">
        <f>INDEX(Expense_master[Monthly_Rent],MATCH(Daily_Data[[#This Row],[Month_key]],Expense_master[Month_Key],0)) / INDEX(Expense_master[Days_in_Month],MATCH(Daily_Data[[#This Row],[Month_key]],Expense_master[Month_Key],0))</f>
        <v>8333.3333333333339</v>
      </c>
      <c r="L533" s="10">
        <f>SUMIFS(Expense_master[Staff_Salary],Expense_master[Month_Key],Daily_Data[[#This Row],[Month_key]]) / SUMIFS(Expense_master[Days_in_Month],Expense_master[Month_Key],Daily_Data[[#This Row],[Month_key]])</f>
        <v>2333.3333333333335</v>
      </c>
      <c r="M533" s="10">
        <f>Daily_Data[[#This Row],[Rooms_Occupied]] * (SUMIFS(Expense_master[Housekeeping_Laundy],Expense_master[Month_Key],Daily_Data[[#This Row],[Month_key]]) / SUMIFS(Occupancy_table[Monthly_rooms_Occupied],Occupancy_table[Month_Key],Daily_Data[[#This Row],[Month_key]]))</f>
        <v>419.16167664670661</v>
      </c>
      <c r="N5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1866.2347305389221</v>
      </c>
      <c r="O533" s="10">
        <f>SUMIFS(Expense_master[Monthly_Maintenance],Expense_master[Month_Key],Daily_Data[[#This Row],[Month_key]]) / SUMIFS(Expense_master[Days_in_Month],Expense_master[Month_Key], Daily_Data[[#This Row],[Month_key]])</f>
        <v>666.66666666666663</v>
      </c>
      <c r="P533" s="10">
        <f xml:space="preserve"> Daily_Data[[#This Row],[OTA Commision]] + Daily_Data[[#This Row],[Daily_Rent]]+Daily_Data[[#This Row],[Daily_Staff]]+Daily_Data[[#This Row],[Daily_HK]]+Daily_Data[[#This Row],[Daily_Electricity]] + Daily_Data[[#This Row],[Daily Maintenance]]</f>
        <v>17755.169740518966</v>
      </c>
      <c r="Q533" s="10">
        <f>Daily_Data[[#This Row],[Total_Sales]]-Daily_Data[[#This Row],[Total_Daily_Expense]]</f>
        <v>1046.8302594810339</v>
      </c>
      <c r="R533" s="10">
        <f>Daily_Data[[#This Row],[Total_Sales]]/Daily_Data[[#This Row],[Rooms_Occupied]]</f>
        <v>1343</v>
      </c>
      <c r="S533" s="10">
        <f>Daily_Data[[#This Row],[Total_Sales]] / Daily_Data[[#This Row],[Max_rooms]]</f>
        <v>1343</v>
      </c>
    </row>
    <row r="534" spans="1:19" x14ac:dyDescent="0.25">
      <c r="A534" s="6">
        <v>45459</v>
      </c>
      <c r="B534" s="20">
        <f>DATE(YEAR(Daily_Data[[#This Row],[Date]]), MONTH(Daily_Data[[#This Row],[Date]]), 1)</f>
        <v>45444</v>
      </c>
      <c r="C534" s="20" t="str">
        <f>TEXT(Daily_Data[[#This Row],[Month_key]],"mmmm")</f>
        <v>June</v>
      </c>
      <c r="D534" s="20" t="str">
        <f>TEXT(Daily_Data[[#This Row],[Month_key]],"yyyy")</f>
        <v>2024</v>
      </c>
      <c r="E534" s="7">
        <v>13</v>
      </c>
      <c r="F534" s="7">
        <v>14</v>
      </c>
      <c r="G534" s="8">
        <f>Daily_Data[[#This Row],[Rooms_Occupied]]/F534</f>
        <v>0.9285714285714286</v>
      </c>
      <c r="H534" s="7">
        <v>1452</v>
      </c>
      <c r="I534" s="7">
        <f>Daily_Data[[#This Row],[Room_rate]]*Daily_Data[[#This Row],[Rooms_Occupied]]</f>
        <v>18876</v>
      </c>
      <c r="J534" s="10">
        <f>Daily_Data[[#This Row],[Total_Sales]] * 0.22</f>
        <v>4152.72</v>
      </c>
      <c r="K534" s="10">
        <f>INDEX(Expense_master[Monthly_Rent],MATCH(Daily_Data[[#This Row],[Month_key]],Expense_master[Month_Key],0)) / INDEX(Expense_master[Days_in_Month],MATCH(Daily_Data[[#This Row],[Month_key]],Expense_master[Month_Key],0))</f>
        <v>8333.3333333333339</v>
      </c>
      <c r="L534" s="10">
        <f>SUMIFS(Expense_master[Staff_Salary],Expense_master[Month_Key],Daily_Data[[#This Row],[Month_key]]) / SUMIFS(Expense_master[Days_in_Month],Expense_master[Month_Key],Daily_Data[[#This Row],[Month_key]])</f>
        <v>2333.3333333333335</v>
      </c>
      <c r="M534" s="10">
        <f>Daily_Data[[#This Row],[Rooms_Occupied]] * (SUMIFS(Expense_master[Housekeeping_Laundy],Expense_master[Month_Key],Daily_Data[[#This Row],[Month_key]]) / SUMIFS(Occupancy_table[Monthly_rooms_Occupied],Occupancy_table[Month_Key],Daily_Data[[#This Row],[Month_key]]))</f>
        <v>389.22155688622757</v>
      </c>
      <c r="N5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34" s="10">
        <f>SUMIFS(Expense_master[Monthly_Maintenance],Expense_master[Month_Key],Daily_Data[[#This Row],[Month_key]]) / SUMIFS(Expense_master[Days_in_Month],Expense_master[Month_Key], Daily_Data[[#This Row],[Month_key]])</f>
        <v>666.66666666666663</v>
      </c>
      <c r="P534" s="10">
        <f xml:space="preserve"> Daily_Data[[#This Row],[OTA Commision]] + Daily_Data[[#This Row],[Daily_Rent]]+Daily_Data[[#This Row],[Daily_Staff]]+Daily_Data[[#This Row],[Daily_HK]]+Daily_Data[[#This Row],[Daily_Electricity]] + Daily_Data[[#This Row],[Daily Maintenance]]</f>
        <v>17654.392854291418</v>
      </c>
      <c r="Q534" s="10">
        <f>Daily_Data[[#This Row],[Total_Sales]]-Daily_Data[[#This Row],[Total_Daily_Expense]]</f>
        <v>1221.6071457085818</v>
      </c>
      <c r="R534" s="10">
        <f>Daily_Data[[#This Row],[Total_Sales]]/Daily_Data[[#This Row],[Rooms_Occupied]]</f>
        <v>1452</v>
      </c>
      <c r="S534" s="10">
        <f>Daily_Data[[#This Row],[Total_Sales]] / Daily_Data[[#This Row],[Max_rooms]]</f>
        <v>1348.2857142857142</v>
      </c>
    </row>
    <row r="535" spans="1:19" x14ac:dyDescent="0.25">
      <c r="A535" s="6">
        <v>45460</v>
      </c>
      <c r="B535" s="20">
        <f>DATE(YEAR(Daily_Data[[#This Row],[Date]]), MONTH(Daily_Data[[#This Row],[Date]]), 1)</f>
        <v>45444</v>
      </c>
      <c r="C535" s="20" t="str">
        <f>TEXT(Daily_Data[[#This Row],[Month_key]],"mmmm")</f>
        <v>June</v>
      </c>
      <c r="D535" s="20" t="str">
        <f>TEXT(Daily_Data[[#This Row],[Month_key]],"yyyy")</f>
        <v>2024</v>
      </c>
      <c r="E535" s="7">
        <v>9</v>
      </c>
      <c r="F535" s="7">
        <v>14</v>
      </c>
      <c r="G535" s="8">
        <f>Daily_Data[[#This Row],[Rooms_Occupied]]/F535</f>
        <v>0.6428571428571429</v>
      </c>
      <c r="H535" s="7">
        <v>1623</v>
      </c>
      <c r="I535" s="7">
        <f>Daily_Data[[#This Row],[Room_rate]]*Daily_Data[[#This Row],[Rooms_Occupied]]</f>
        <v>14607</v>
      </c>
      <c r="J535" s="10">
        <f>Daily_Data[[#This Row],[Total_Sales]] * 0.22</f>
        <v>3213.54</v>
      </c>
      <c r="K535" s="10">
        <f>INDEX(Expense_master[Monthly_Rent],MATCH(Daily_Data[[#This Row],[Month_key]],Expense_master[Month_Key],0)) / INDEX(Expense_master[Days_in_Month],MATCH(Daily_Data[[#This Row],[Month_key]],Expense_master[Month_Key],0))</f>
        <v>8333.3333333333339</v>
      </c>
      <c r="L535" s="10">
        <f>SUMIFS(Expense_master[Staff_Salary],Expense_master[Month_Key],Daily_Data[[#This Row],[Month_key]]) / SUMIFS(Expense_master[Days_in_Month],Expense_master[Month_Key],Daily_Data[[#This Row],[Month_key]])</f>
        <v>2333.3333333333335</v>
      </c>
      <c r="M535" s="10">
        <f>Daily_Data[[#This Row],[Rooms_Occupied]] * (SUMIFS(Expense_master[Housekeeping_Laundy],Expense_master[Month_Key],Daily_Data[[#This Row],[Month_key]]) / SUMIFS(Occupancy_table[Monthly_rooms_Occupied],Occupancy_table[Month_Key],Daily_Data[[#This Row],[Month_key]]))</f>
        <v>269.46107784431138</v>
      </c>
      <c r="N5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1430.650898203593</v>
      </c>
      <c r="O535" s="10">
        <f>SUMIFS(Expense_master[Monthly_Maintenance],Expense_master[Month_Key],Daily_Data[[#This Row],[Month_key]]) / SUMIFS(Expense_master[Days_in_Month],Expense_master[Month_Key], Daily_Data[[#This Row],[Month_key]])</f>
        <v>666.66666666666663</v>
      </c>
      <c r="P535" s="10">
        <f xml:space="preserve"> Daily_Data[[#This Row],[OTA Commision]] + Daily_Data[[#This Row],[Daily_Rent]]+Daily_Data[[#This Row],[Daily_Staff]]+Daily_Data[[#This Row],[Daily_HK]]+Daily_Data[[#This Row],[Daily_Electricity]] + Daily_Data[[#This Row],[Daily Maintenance]]</f>
        <v>16246.985309381236</v>
      </c>
      <c r="Q535" s="10">
        <f>Daily_Data[[#This Row],[Total_Sales]]-Daily_Data[[#This Row],[Total_Daily_Expense]]</f>
        <v>-1639.9853093812362</v>
      </c>
      <c r="R535" s="10">
        <f>Daily_Data[[#This Row],[Total_Sales]]/Daily_Data[[#This Row],[Rooms_Occupied]]</f>
        <v>1623</v>
      </c>
      <c r="S535" s="10">
        <f>Daily_Data[[#This Row],[Total_Sales]] / Daily_Data[[#This Row],[Max_rooms]]</f>
        <v>1043.3571428571429</v>
      </c>
    </row>
    <row r="536" spans="1:19" x14ac:dyDescent="0.25">
      <c r="A536" s="6">
        <v>45461</v>
      </c>
      <c r="B536" s="20">
        <f>DATE(YEAR(Daily_Data[[#This Row],[Date]]), MONTH(Daily_Data[[#This Row],[Date]]), 1)</f>
        <v>45444</v>
      </c>
      <c r="C536" s="20" t="str">
        <f>TEXT(Daily_Data[[#This Row],[Month_key]],"mmmm")</f>
        <v>June</v>
      </c>
      <c r="D536" s="20" t="str">
        <f>TEXT(Daily_Data[[#This Row],[Month_key]],"yyyy")</f>
        <v>2024</v>
      </c>
      <c r="E536" s="7">
        <v>13</v>
      </c>
      <c r="F536" s="7">
        <v>14</v>
      </c>
      <c r="G536" s="8">
        <f>Daily_Data[[#This Row],[Rooms_Occupied]]/F536</f>
        <v>0.9285714285714286</v>
      </c>
      <c r="H536" s="7">
        <v>1877</v>
      </c>
      <c r="I536" s="7">
        <f>Daily_Data[[#This Row],[Room_rate]]*Daily_Data[[#This Row],[Rooms_Occupied]]</f>
        <v>24401</v>
      </c>
      <c r="J536" s="10">
        <f>Daily_Data[[#This Row],[Total_Sales]] * 0.22</f>
        <v>5368.22</v>
      </c>
      <c r="K536" s="10">
        <f>INDEX(Expense_master[Monthly_Rent],MATCH(Daily_Data[[#This Row],[Month_key]],Expense_master[Month_Key],0)) / INDEX(Expense_master[Days_in_Month],MATCH(Daily_Data[[#This Row],[Month_key]],Expense_master[Month_Key],0))</f>
        <v>8333.3333333333339</v>
      </c>
      <c r="L536" s="10">
        <f>SUMIFS(Expense_master[Staff_Salary],Expense_master[Month_Key],Daily_Data[[#This Row],[Month_key]]) / SUMIFS(Expense_master[Days_in_Month],Expense_master[Month_Key],Daily_Data[[#This Row],[Month_key]])</f>
        <v>2333.3333333333335</v>
      </c>
      <c r="M536" s="10">
        <f>Daily_Data[[#This Row],[Rooms_Occupied]] * (SUMIFS(Expense_master[Housekeeping_Laundy],Expense_master[Month_Key],Daily_Data[[#This Row],[Month_key]]) / SUMIFS(Occupancy_table[Monthly_rooms_Occupied],Occupancy_table[Month_Key],Daily_Data[[#This Row],[Month_key]]))</f>
        <v>389.22155688622757</v>
      </c>
      <c r="N5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36" s="10">
        <f>SUMIFS(Expense_master[Monthly_Maintenance],Expense_master[Month_Key],Daily_Data[[#This Row],[Month_key]]) / SUMIFS(Expense_master[Days_in_Month],Expense_master[Month_Key], Daily_Data[[#This Row],[Month_key]])</f>
        <v>666.66666666666663</v>
      </c>
      <c r="P536" s="10">
        <f xml:space="preserve"> Daily_Data[[#This Row],[OTA Commision]] + Daily_Data[[#This Row],[Daily_Rent]]+Daily_Data[[#This Row],[Daily_Staff]]+Daily_Data[[#This Row],[Daily_HK]]+Daily_Data[[#This Row],[Daily_Electricity]] + Daily_Data[[#This Row],[Daily Maintenance]]</f>
        <v>18869.892854291418</v>
      </c>
      <c r="Q536" s="10">
        <f>Daily_Data[[#This Row],[Total_Sales]]-Daily_Data[[#This Row],[Total_Daily_Expense]]</f>
        <v>5531.1071457085818</v>
      </c>
      <c r="R536" s="10">
        <f>Daily_Data[[#This Row],[Total_Sales]]/Daily_Data[[#This Row],[Rooms_Occupied]]</f>
        <v>1877</v>
      </c>
      <c r="S536" s="10">
        <f>Daily_Data[[#This Row],[Total_Sales]] / Daily_Data[[#This Row],[Max_rooms]]</f>
        <v>1742.9285714285713</v>
      </c>
    </row>
    <row r="537" spans="1:19" x14ac:dyDescent="0.25">
      <c r="A537" s="6">
        <v>45462</v>
      </c>
      <c r="B537" s="20">
        <f>DATE(YEAR(Daily_Data[[#This Row],[Date]]), MONTH(Daily_Data[[#This Row],[Date]]), 1)</f>
        <v>45444</v>
      </c>
      <c r="C537" s="20" t="str">
        <f>TEXT(Daily_Data[[#This Row],[Month_key]],"mmmm")</f>
        <v>June</v>
      </c>
      <c r="D537" s="20" t="str">
        <f>TEXT(Daily_Data[[#This Row],[Month_key]],"yyyy")</f>
        <v>2024</v>
      </c>
      <c r="E537" s="7">
        <v>8</v>
      </c>
      <c r="F537" s="7">
        <v>14</v>
      </c>
      <c r="G537" s="8">
        <f>Daily_Data[[#This Row],[Rooms_Occupied]]/F537</f>
        <v>0.5714285714285714</v>
      </c>
      <c r="H537" s="7">
        <v>1943</v>
      </c>
      <c r="I537" s="7">
        <f>Daily_Data[[#This Row],[Room_rate]]*Daily_Data[[#This Row],[Rooms_Occupied]]</f>
        <v>15544</v>
      </c>
      <c r="J537" s="10">
        <f>Daily_Data[[#This Row],[Total_Sales]] * 0.22</f>
        <v>3419.68</v>
      </c>
      <c r="K537" s="10">
        <f>INDEX(Expense_master[Monthly_Rent],MATCH(Daily_Data[[#This Row],[Month_key]],Expense_master[Month_Key],0)) / INDEX(Expense_master[Days_in_Month],MATCH(Daily_Data[[#This Row],[Month_key]],Expense_master[Month_Key],0))</f>
        <v>8333.3333333333339</v>
      </c>
      <c r="L537" s="10">
        <f>SUMIFS(Expense_master[Staff_Salary],Expense_master[Month_Key],Daily_Data[[#This Row],[Month_key]]) / SUMIFS(Expense_master[Days_in_Month],Expense_master[Month_Key],Daily_Data[[#This Row],[Month_key]])</f>
        <v>2333.3333333333335</v>
      </c>
      <c r="M537" s="10">
        <f>Daily_Data[[#This Row],[Rooms_Occupied]] * (SUMIFS(Expense_master[Housekeeping_Laundy],Expense_master[Month_Key],Daily_Data[[#This Row],[Month_key]]) / SUMIFS(Occupancy_table[Monthly_rooms_Occupied],Occupancy_table[Month_Key],Daily_Data[[#This Row],[Month_key]]))</f>
        <v>239.52095808383234</v>
      </c>
      <c r="N5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37" s="10">
        <f>SUMIFS(Expense_master[Monthly_Maintenance],Expense_master[Month_Key],Daily_Data[[#This Row],[Month_key]]) / SUMIFS(Expense_master[Days_in_Month],Expense_master[Month_Key], Daily_Data[[#This Row],[Month_key]])</f>
        <v>666.66666666666663</v>
      </c>
      <c r="P537" s="10">
        <f xml:space="preserve"> Daily_Data[[#This Row],[OTA Commision]] + Daily_Data[[#This Row],[Daily_Rent]]+Daily_Data[[#This Row],[Daily_Staff]]+Daily_Data[[#This Row],[Daily_HK]]+Daily_Data[[#This Row],[Daily_Electricity]] + Daily_Data[[#This Row],[Daily Maintenance]]</f>
        <v>16336.068423153694</v>
      </c>
      <c r="Q537" s="10">
        <f>Daily_Data[[#This Row],[Total_Sales]]-Daily_Data[[#This Row],[Total_Daily_Expense]]</f>
        <v>-792.06842315369431</v>
      </c>
      <c r="R537" s="10">
        <f>Daily_Data[[#This Row],[Total_Sales]]/Daily_Data[[#This Row],[Rooms_Occupied]]</f>
        <v>1943</v>
      </c>
      <c r="S537" s="10">
        <f>Daily_Data[[#This Row],[Total_Sales]] / Daily_Data[[#This Row],[Max_rooms]]</f>
        <v>1110.2857142857142</v>
      </c>
    </row>
    <row r="538" spans="1:19" x14ac:dyDescent="0.25">
      <c r="A538" s="6">
        <v>45463</v>
      </c>
      <c r="B538" s="20">
        <f>DATE(YEAR(Daily_Data[[#This Row],[Date]]), MONTH(Daily_Data[[#This Row],[Date]]), 1)</f>
        <v>45444</v>
      </c>
      <c r="C538" s="20" t="str">
        <f>TEXT(Daily_Data[[#This Row],[Month_key]],"mmmm")</f>
        <v>June</v>
      </c>
      <c r="D538" s="20" t="str">
        <f>TEXT(Daily_Data[[#This Row],[Month_key]],"yyyy")</f>
        <v>2024</v>
      </c>
      <c r="E538" s="7">
        <v>12</v>
      </c>
      <c r="F538" s="7">
        <v>14</v>
      </c>
      <c r="G538" s="8">
        <f>Daily_Data[[#This Row],[Rooms_Occupied]]/F538</f>
        <v>0.8571428571428571</v>
      </c>
      <c r="H538" s="7">
        <v>1769</v>
      </c>
      <c r="I538" s="7">
        <f>Daily_Data[[#This Row],[Room_rate]]*Daily_Data[[#This Row],[Rooms_Occupied]]</f>
        <v>21228</v>
      </c>
      <c r="J538" s="10">
        <f>Daily_Data[[#This Row],[Total_Sales]] * 0.22</f>
        <v>4670.16</v>
      </c>
      <c r="K538" s="10">
        <f>INDEX(Expense_master[Monthly_Rent],MATCH(Daily_Data[[#This Row],[Month_key]],Expense_master[Month_Key],0)) / INDEX(Expense_master[Days_in_Month],MATCH(Daily_Data[[#This Row],[Month_key]],Expense_master[Month_Key],0))</f>
        <v>8333.3333333333339</v>
      </c>
      <c r="L538" s="10">
        <f>SUMIFS(Expense_master[Staff_Salary],Expense_master[Month_Key],Daily_Data[[#This Row],[Month_key]]) / SUMIFS(Expense_master[Days_in_Month],Expense_master[Month_Key],Daily_Data[[#This Row],[Month_key]])</f>
        <v>2333.3333333333335</v>
      </c>
      <c r="M538" s="10">
        <f>Daily_Data[[#This Row],[Rooms_Occupied]] * (SUMIFS(Expense_master[Housekeeping_Laundy],Expense_master[Month_Key],Daily_Data[[#This Row],[Month_key]]) / SUMIFS(Occupancy_table[Monthly_rooms_Occupied],Occupancy_table[Month_Key],Daily_Data[[#This Row],[Month_key]]))</f>
        <v>359.28143712574854</v>
      </c>
      <c r="N5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1692.0011976047904</v>
      </c>
      <c r="O538" s="10">
        <f>SUMIFS(Expense_master[Monthly_Maintenance],Expense_master[Month_Key],Daily_Data[[#This Row],[Month_key]]) / SUMIFS(Expense_master[Days_in_Month],Expense_master[Month_Key], Daily_Data[[#This Row],[Month_key]])</f>
        <v>666.66666666666663</v>
      </c>
      <c r="P538" s="10">
        <f xml:space="preserve"> Daily_Data[[#This Row],[OTA Commision]] + Daily_Data[[#This Row],[Daily_Rent]]+Daily_Data[[#This Row],[Daily_Staff]]+Daily_Data[[#This Row],[Daily_HK]]+Daily_Data[[#This Row],[Daily_Electricity]] + Daily_Data[[#This Row],[Daily Maintenance]]</f>
        <v>18054.775968063874</v>
      </c>
      <c r="Q538" s="10">
        <f>Daily_Data[[#This Row],[Total_Sales]]-Daily_Data[[#This Row],[Total_Daily_Expense]]</f>
        <v>3173.2240319361263</v>
      </c>
      <c r="R538" s="10">
        <f>Daily_Data[[#This Row],[Total_Sales]]/Daily_Data[[#This Row],[Rooms_Occupied]]</f>
        <v>1769</v>
      </c>
      <c r="S538" s="10">
        <f>Daily_Data[[#This Row],[Total_Sales]] / Daily_Data[[#This Row],[Max_rooms]]</f>
        <v>1516.2857142857142</v>
      </c>
    </row>
    <row r="539" spans="1:19" x14ac:dyDescent="0.25">
      <c r="A539" s="6">
        <v>45464</v>
      </c>
      <c r="B539" s="20">
        <f>DATE(YEAR(Daily_Data[[#This Row],[Date]]), MONTH(Daily_Data[[#This Row],[Date]]), 1)</f>
        <v>45444</v>
      </c>
      <c r="C539" s="20" t="str">
        <f>TEXT(Daily_Data[[#This Row],[Month_key]],"mmmm")</f>
        <v>June</v>
      </c>
      <c r="D539" s="20" t="str">
        <f>TEXT(Daily_Data[[#This Row],[Month_key]],"yyyy")</f>
        <v>2024</v>
      </c>
      <c r="E539" s="7">
        <v>11</v>
      </c>
      <c r="F539" s="7">
        <v>14</v>
      </c>
      <c r="G539" s="8">
        <f>Daily_Data[[#This Row],[Rooms_Occupied]]/F539</f>
        <v>0.7857142857142857</v>
      </c>
      <c r="H539" s="7">
        <v>1316</v>
      </c>
      <c r="I539" s="7">
        <f>Daily_Data[[#This Row],[Room_rate]]*Daily_Data[[#This Row],[Rooms_Occupied]]</f>
        <v>14476</v>
      </c>
      <c r="J539" s="10">
        <f>Daily_Data[[#This Row],[Total_Sales]] * 0.22</f>
        <v>3184.72</v>
      </c>
      <c r="K539" s="10">
        <f>INDEX(Expense_master[Monthly_Rent],MATCH(Daily_Data[[#This Row],[Month_key]],Expense_master[Month_Key],0)) / INDEX(Expense_master[Days_in_Month],MATCH(Daily_Data[[#This Row],[Month_key]],Expense_master[Month_Key],0))</f>
        <v>8333.3333333333339</v>
      </c>
      <c r="L539" s="10">
        <f>SUMIFS(Expense_master[Staff_Salary],Expense_master[Month_Key],Daily_Data[[#This Row],[Month_key]]) / SUMIFS(Expense_master[Days_in_Month],Expense_master[Month_Key],Daily_Data[[#This Row],[Month_key]])</f>
        <v>2333.3333333333335</v>
      </c>
      <c r="M539" s="10">
        <f>Daily_Data[[#This Row],[Rooms_Occupied]] * (SUMIFS(Expense_master[Housekeeping_Laundy],Expense_master[Month_Key],Daily_Data[[#This Row],[Month_key]]) / SUMIFS(Occupancy_table[Monthly_rooms_Occupied],Occupancy_table[Month_Key],Daily_Data[[#This Row],[Month_key]]))</f>
        <v>329.34131736526945</v>
      </c>
      <c r="N5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1604.8844311377247</v>
      </c>
      <c r="O539" s="10">
        <f>SUMIFS(Expense_master[Monthly_Maintenance],Expense_master[Month_Key],Daily_Data[[#This Row],[Month_key]]) / SUMIFS(Expense_master[Days_in_Month],Expense_master[Month_Key], Daily_Data[[#This Row],[Month_key]])</f>
        <v>666.66666666666663</v>
      </c>
      <c r="P539" s="10">
        <f xml:space="preserve"> Daily_Data[[#This Row],[OTA Commision]] + Daily_Data[[#This Row],[Daily_Rent]]+Daily_Data[[#This Row],[Daily_Staff]]+Daily_Data[[#This Row],[Daily_HK]]+Daily_Data[[#This Row],[Daily_Electricity]] + Daily_Data[[#This Row],[Daily Maintenance]]</f>
        <v>16452.279081836328</v>
      </c>
      <c r="Q539" s="10">
        <f>Daily_Data[[#This Row],[Total_Sales]]-Daily_Data[[#This Row],[Total_Daily_Expense]]</f>
        <v>-1976.2790818363283</v>
      </c>
      <c r="R539" s="10">
        <f>Daily_Data[[#This Row],[Total_Sales]]/Daily_Data[[#This Row],[Rooms_Occupied]]</f>
        <v>1316</v>
      </c>
      <c r="S539" s="10">
        <f>Daily_Data[[#This Row],[Total_Sales]] / Daily_Data[[#This Row],[Max_rooms]]</f>
        <v>1034</v>
      </c>
    </row>
    <row r="540" spans="1:19" x14ac:dyDescent="0.25">
      <c r="A540" s="6">
        <v>45465</v>
      </c>
      <c r="B540" s="20">
        <f>DATE(YEAR(Daily_Data[[#This Row],[Date]]), MONTH(Daily_Data[[#This Row],[Date]]), 1)</f>
        <v>45444</v>
      </c>
      <c r="C540" s="20" t="str">
        <f>TEXT(Daily_Data[[#This Row],[Month_key]],"mmmm")</f>
        <v>June</v>
      </c>
      <c r="D540" s="20" t="str">
        <f>TEXT(Daily_Data[[#This Row],[Month_key]],"yyyy")</f>
        <v>2024</v>
      </c>
      <c r="E540" s="7">
        <v>13</v>
      </c>
      <c r="F540" s="7">
        <v>14</v>
      </c>
      <c r="G540" s="8">
        <f>Daily_Data[[#This Row],[Rooms_Occupied]]/F540</f>
        <v>0.9285714285714286</v>
      </c>
      <c r="H540" s="7">
        <v>1855</v>
      </c>
      <c r="I540" s="7">
        <f>Daily_Data[[#This Row],[Room_rate]]*Daily_Data[[#This Row],[Rooms_Occupied]]</f>
        <v>24115</v>
      </c>
      <c r="J540" s="10">
        <f>Daily_Data[[#This Row],[Total_Sales]] * 0.22</f>
        <v>5305.3</v>
      </c>
      <c r="K540" s="10">
        <f>INDEX(Expense_master[Monthly_Rent],MATCH(Daily_Data[[#This Row],[Month_key]],Expense_master[Month_Key],0)) / INDEX(Expense_master[Days_in_Month],MATCH(Daily_Data[[#This Row],[Month_key]],Expense_master[Month_Key],0))</f>
        <v>8333.3333333333339</v>
      </c>
      <c r="L540" s="10">
        <f>SUMIFS(Expense_master[Staff_Salary],Expense_master[Month_Key],Daily_Data[[#This Row],[Month_key]]) / SUMIFS(Expense_master[Days_in_Month],Expense_master[Month_Key],Daily_Data[[#This Row],[Month_key]])</f>
        <v>2333.3333333333335</v>
      </c>
      <c r="M540" s="10">
        <f>Daily_Data[[#This Row],[Rooms_Occupied]] * (SUMIFS(Expense_master[Housekeeping_Laundy],Expense_master[Month_Key],Daily_Data[[#This Row],[Month_key]]) / SUMIFS(Occupancy_table[Monthly_rooms_Occupied],Occupancy_table[Month_Key],Daily_Data[[#This Row],[Month_key]]))</f>
        <v>389.22155688622757</v>
      </c>
      <c r="N5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40" s="10">
        <f>SUMIFS(Expense_master[Monthly_Maintenance],Expense_master[Month_Key],Daily_Data[[#This Row],[Month_key]]) / SUMIFS(Expense_master[Days_in_Month],Expense_master[Month_Key], Daily_Data[[#This Row],[Month_key]])</f>
        <v>666.66666666666663</v>
      </c>
      <c r="P540" s="10">
        <f xml:space="preserve"> Daily_Data[[#This Row],[OTA Commision]] + Daily_Data[[#This Row],[Daily_Rent]]+Daily_Data[[#This Row],[Daily_Staff]]+Daily_Data[[#This Row],[Daily_HK]]+Daily_Data[[#This Row],[Daily_Electricity]] + Daily_Data[[#This Row],[Daily Maintenance]]</f>
        <v>18806.97285429142</v>
      </c>
      <c r="Q540" s="10">
        <f>Daily_Data[[#This Row],[Total_Sales]]-Daily_Data[[#This Row],[Total_Daily_Expense]]</f>
        <v>5308.0271457085801</v>
      </c>
      <c r="R540" s="10">
        <f>Daily_Data[[#This Row],[Total_Sales]]/Daily_Data[[#This Row],[Rooms_Occupied]]</f>
        <v>1855</v>
      </c>
      <c r="S540" s="10">
        <f>Daily_Data[[#This Row],[Total_Sales]] / Daily_Data[[#This Row],[Max_rooms]]</f>
        <v>1722.5</v>
      </c>
    </row>
    <row r="541" spans="1:19" x14ac:dyDescent="0.25">
      <c r="A541" s="6">
        <v>45466</v>
      </c>
      <c r="B541" s="20">
        <f>DATE(YEAR(Daily_Data[[#This Row],[Date]]), MONTH(Daily_Data[[#This Row],[Date]]), 1)</f>
        <v>45444</v>
      </c>
      <c r="C541" s="20" t="str">
        <f>TEXT(Daily_Data[[#This Row],[Month_key]],"mmmm")</f>
        <v>June</v>
      </c>
      <c r="D541" s="20" t="str">
        <f>TEXT(Daily_Data[[#This Row],[Month_key]],"yyyy")</f>
        <v>2024</v>
      </c>
      <c r="E541" s="7">
        <v>13</v>
      </c>
      <c r="F541" s="7">
        <v>14</v>
      </c>
      <c r="G541" s="8">
        <f>Daily_Data[[#This Row],[Rooms_Occupied]]/F541</f>
        <v>0.9285714285714286</v>
      </c>
      <c r="H541" s="7">
        <v>1029</v>
      </c>
      <c r="I541" s="7">
        <f>Daily_Data[[#This Row],[Room_rate]]*Daily_Data[[#This Row],[Rooms_Occupied]]</f>
        <v>13377</v>
      </c>
      <c r="J541" s="10">
        <f>Daily_Data[[#This Row],[Total_Sales]] * 0.22</f>
        <v>2942.94</v>
      </c>
      <c r="K541" s="10">
        <f>INDEX(Expense_master[Monthly_Rent],MATCH(Daily_Data[[#This Row],[Month_key]],Expense_master[Month_Key],0)) / INDEX(Expense_master[Days_in_Month],MATCH(Daily_Data[[#This Row],[Month_key]],Expense_master[Month_Key],0))</f>
        <v>8333.3333333333339</v>
      </c>
      <c r="L541" s="10">
        <f>SUMIFS(Expense_master[Staff_Salary],Expense_master[Month_Key],Daily_Data[[#This Row],[Month_key]]) / SUMIFS(Expense_master[Days_in_Month],Expense_master[Month_Key],Daily_Data[[#This Row],[Month_key]])</f>
        <v>2333.3333333333335</v>
      </c>
      <c r="M541" s="10">
        <f>Daily_Data[[#This Row],[Rooms_Occupied]] * (SUMIFS(Expense_master[Housekeeping_Laundy],Expense_master[Month_Key],Daily_Data[[#This Row],[Month_key]]) / SUMIFS(Occupancy_table[Monthly_rooms_Occupied],Occupancy_table[Month_Key],Daily_Data[[#This Row],[Month_key]]))</f>
        <v>389.22155688622757</v>
      </c>
      <c r="N5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41" s="10">
        <f>SUMIFS(Expense_master[Monthly_Maintenance],Expense_master[Month_Key],Daily_Data[[#This Row],[Month_key]]) / SUMIFS(Expense_master[Days_in_Month],Expense_master[Month_Key], Daily_Data[[#This Row],[Month_key]])</f>
        <v>666.66666666666663</v>
      </c>
      <c r="P541" s="10">
        <f xml:space="preserve"> Daily_Data[[#This Row],[OTA Commision]] + Daily_Data[[#This Row],[Daily_Rent]]+Daily_Data[[#This Row],[Daily_Staff]]+Daily_Data[[#This Row],[Daily_HK]]+Daily_Data[[#This Row],[Daily_Electricity]] + Daily_Data[[#This Row],[Daily Maintenance]]</f>
        <v>16444.612854291419</v>
      </c>
      <c r="Q541" s="10">
        <f>Daily_Data[[#This Row],[Total_Sales]]-Daily_Data[[#This Row],[Total_Daily_Expense]]</f>
        <v>-3067.6128542914194</v>
      </c>
      <c r="R541" s="10">
        <f>Daily_Data[[#This Row],[Total_Sales]]/Daily_Data[[#This Row],[Rooms_Occupied]]</f>
        <v>1029</v>
      </c>
      <c r="S541" s="10">
        <f>Daily_Data[[#This Row],[Total_Sales]] / Daily_Data[[#This Row],[Max_rooms]]</f>
        <v>955.5</v>
      </c>
    </row>
    <row r="542" spans="1:19" x14ac:dyDescent="0.25">
      <c r="A542" s="6">
        <v>45467</v>
      </c>
      <c r="B542" s="20">
        <f>DATE(YEAR(Daily_Data[[#This Row],[Date]]), MONTH(Daily_Data[[#This Row],[Date]]), 1)</f>
        <v>45444</v>
      </c>
      <c r="C542" s="20" t="str">
        <f>TEXT(Daily_Data[[#This Row],[Month_key]],"mmmm")</f>
        <v>June</v>
      </c>
      <c r="D542" s="20" t="str">
        <f>TEXT(Daily_Data[[#This Row],[Month_key]],"yyyy")</f>
        <v>2024</v>
      </c>
      <c r="E542" s="7">
        <v>8</v>
      </c>
      <c r="F542" s="7">
        <v>14</v>
      </c>
      <c r="G542" s="8">
        <f>Daily_Data[[#This Row],[Rooms_Occupied]]/F542</f>
        <v>0.5714285714285714</v>
      </c>
      <c r="H542" s="7">
        <v>1824</v>
      </c>
      <c r="I542" s="7">
        <f>Daily_Data[[#This Row],[Room_rate]]*Daily_Data[[#This Row],[Rooms_Occupied]]</f>
        <v>14592</v>
      </c>
      <c r="J542" s="10">
        <f>Daily_Data[[#This Row],[Total_Sales]] * 0.22</f>
        <v>3210.2400000000002</v>
      </c>
      <c r="K542" s="10">
        <f>INDEX(Expense_master[Monthly_Rent],MATCH(Daily_Data[[#This Row],[Month_key]],Expense_master[Month_Key],0)) / INDEX(Expense_master[Days_in_Month],MATCH(Daily_Data[[#This Row],[Month_key]],Expense_master[Month_Key],0))</f>
        <v>8333.3333333333339</v>
      </c>
      <c r="L542" s="10">
        <f>SUMIFS(Expense_master[Staff_Salary],Expense_master[Month_Key],Daily_Data[[#This Row],[Month_key]]) / SUMIFS(Expense_master[Days_in_Month],Expense_master[Month_Key],Daily_Data[[#This Row],[Month_key]])</f>
        <v>2333.3333333333335</v>
      </c>
      <c r="M542" s="10">
        <f>Daily_Data[[#This Row],[Rooms_Occupied]] * (SUMIFS(Expense_master[Housekeeping_Laundy],Expense_master[Month_Key],Daily_Data[[#This Row],[Month_key]]) / SUMIFS(Occupancy_table[Monthly_rooms_Occupied],Occupancy_table[Month_Key],Daily_Data[[#This Row],[Month_key]]))</f>
        <v>239.52095808383234</v>
      </c>
      <c r="N5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42" s="10">
        <f>SUMIFS(Expense_master[Monthly_Maintenance],Expense_master[Month_Key],Daily_Data[[#This Row],[Month_key]]) / SUMIFS(Expense_master[Days_in_Month],Expense_master[Month_Key], Daily_Data[[#This Row],[Month_key]])</f>
        <v>666.66666666666663</v>
      </c>
      <c r="P542" s="10">
        <f xml:space="preserve"> Daily_Data[[#This Row],[OTA Commision]] + Daily_Data[[#This Row],[Daily_Rent]]+Daily_Data[[#This Row],[Daily_Staff]]+Daily_Data[[#This Row],[Daily_HK]]+Daily_Data[[#This Row],[Daily_Electricity]] + Daily_Data[[#This Row],[Daily Maintenance]]</f>
        <v>16126.628423153694</v>
      </c>
      <c r="Q542" s="10">
        <f>Daily_Data[[#This Row],[Total_Sales]]-Daily_Data[[#This Row],[Total_Daily_Expense]]</f>
        <v>-1534.6284231536938</v>
      </c>
      <c r="R542" s="10">
        <f>Daily_Data[[#This Row],[Total_Sales]]/Daily_Data[[#This Row],[Rooms_Occupied]]</f>
        <v>1824</v>
      </c>
      <c r="S542" s="10">
        <f>Daily_Data[[#This Row],[Total_Sales]] / Daily_Data[[#This Row],[Max_rooms]]</f>
        <v>1042.2857142857142</v>
      </c>
    </row>
    <row r="543" spans="1:19" x14ac:dyDescent="0.25">
      <c r="A543" s="6">
        <v>45468</v>
      </c>
      <c r="B543" s="20">
        <f>DATE(YEAR(Daily_Data[[#This Row],[Date]]), MONTH(Daily_Data[[#This Row],[Date]]), 1)</f>
        <v>45444</v>
      </c>
      <c r="C543" s="20" t="str">
        <f>TEXT(Daily_Data[[#This Row],[Month_key]],"mmmm")</f>
        <v>June</v>
      </c>
      <c r="D543" s="20" t="str">
        <f>TEXT(Daily_Data[[#This Row],[Month_key]],"yyyy")</f>
        <v>2024</v>
      </c>
      <c r="E543" s="7">
        <v>14</v>
      </c>
      <c r="F543" s="7">
        <v>14</v>
      </c>
      <c r="G543" s="8">
        <f>Daily_Data[[#This Row],[Rooms_Occupied]]/F543</f>
        <v>1</v>
      </c>
      <c r="H543" s="7">
        <v>1784</v>
      </c>
      <c r="I543" s="7">
        <f>Daily_Data[[#This Row],[Room_rate]]*Daily_Data[[#This Row],[Rooms_Occupied]]</f>
        <v>24976</v>
      </c>
      <c r="J543" s="10">
        <f>Daily_Data[[#This Row],[Total_Sales]] * 0.22</f>
        <v>5494.72</v>
      </c>
      <c r="K543" s="10">
        <f>INDEX(Expense_master[Monthly_Rent],MATCH(Daily_Data[[#This Row],[Month_key]],Expense_master[Month_Key],0)) / INDEX(Expense_master[Days_in_Month],MATCH(Daily_Data[[#This Row],[Month_key]],Expense_master[Month_Key],0))</f>
        <v>8333.3333333333339</v>
      </c>
      <c r="L543" s="10">
        <f>SUMIFS(Expense_master[Staff_Salary],Expense_master[Month_Key],Daily_Data[[#This Row],[Month_key]]) / SUMIFS(Expense_master[Days_in_Month],Expense_master[Month_Key],Daily_Data[[#This Row],[Month_key]])</f>
        <v>2333.3333333333335</v>
      </c>
      <c r="M543" s="10">
        <f>Daily_Data[[#This Row],[Rooms_Occupied]] * (SUMIFS(Expense_master[Housekeeping_Laundy],Expense_master[Month_Key],Daily_Data[[#This Row],[Month_key]]) / SUMIFS(Occupancy_table[Monthly_rooms_Occupied],Occupancy_table[Month_Key],Daily_Data[[#This Row],[Month_key]]))</f>
        <v>419.16167664670661</v>
      </c>
      <c r="N5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1866.2347305389221</v>
      </c>
      <c r="O543" s="10">
        <f>SUMIFS(Expense_master[Monthly_Maintenance],Expense_master[Month_Key],Daily_Data[[#This Row],[Month_key]]) / SUMIFS(Expense_master[Days_in_Month],Expense_master[Month_Key], Daily_Data[[#This Row],[Month_key]])</f>
        <v>666.66666666666663</v>
      </c>
      <c r="P543" s="10">
        <f xml:space="preserve"> Daily_Data[[#This Row],[OTA Commision]] + Daily_Data[[#This Row],[Daily_Rent]]+Daily_Data[[#This Row],[Daily_Staff]]+Daily_Data[[#This Row],[Daily_HK]]+Daily_Data[[#This Row],[Daily_Electricity]] + Daily_Data[[#This Row],[Daily Maintenance]]</f>
        <v>19113.449740518965</v>
      </c>
      <c r="Q543" s="10">
        <f>Daily_Data[[#This Row],[Total_Sales]]-Daily_Data[[#This Row],[Total_Daily_Expense]]</f>
        <v>5862.550259481035</v>
      </c>
      <c r="R543" s="10">
        <f>Daily_Data[[#This Row],[Total_Sales]]/Daily_Data[[#This Row],[Rooms_Occupied]]</f>
        <v>1784</v>
      </c>
      <c r="S543" s="10">
        <f>Daily_Data[[#This Row],[Total_Sales]] / Daily_Data[[#This Row],[Max_rooms]]</f>
        <v>1784</v>
      </c>
    </row>
    <row r="544" spans="1:19" x14ac:dyDescent="0.25">
      <c r="A544" s="6">
        <v>45469</v>
      </c>
      <c r="B544" s="20">
        <f>DATE(YEAR(Daily_Data[[#This Row],[Date]]), MONTH(Daily_Data[[#This Row],[Date]]), 1)</f>
        <v>45444</v>
      </c>
      <c r="C544" s="20" t="str">
        <f>TEXT(Daily_Data[[#This Row],[Month_key]],"mmmm")</f>
        <v>June</v>
      </c>
      <c r="D544" s="20" t="str">
        <f>TEXT(Daily_Data[[#This Row],[Month_key]],"yyyy")</f>
        <v>2024</v>
      </c>
      <c r="E544" s="7">
        <v>12</v>
      </c>
      <c r="F544" s="7">
        <v>14</v>
      </c>
      <c r="G544" s="8">
        <f>Daily_Data[[#This Row],[Rooms_Occupied]]/F544</f>
        <v>0.8571428571428571</v>
      </c>
      <c r="H544" s="7">
        <v>1495</v>
      </c>
      <c r="I544" s="7">
        <f>Daily_Data[[#This Row],[Room_rate]]*Daily_Data[[#This Row],[Rooms_Occupied]]</f>
        <v>17940</v>
      </c>
      <c r="J544" s="10">
        <f>Daily_Data[[#This Row],[Total_Sales]] * 0.22</f>
        <v>3946.8</v>
      </c>
      <c r="K544" s="10">
        <f>INDEX(Expense_master[Monthly_Rent],MATCH(Daily_Data[[#This Row],[Month_key]],Expense_master[Month_Key],0)) / INDEX(Expense_master[Days_in_Month],MATCH(Daily_Data[[#This Row],[Month_key]],Expense_master[Month_Key],0))</f>
        <v>8333.3333333333339</v>
      </c>
      <c r="L544" s="10">
        <f>SUMIFS(Expense_master[Staff_Salary],Expense_master[Month_Key],Daily_Data[[#This Row],[Month_key]]) / SUMIFS(Expense_master[Days_in_Month],Expense_master[Month_Key],Daily_Data[[#This Row],[Month_key]])</f>
        <v>2333.3333333333335</v>
      </c>
      <c r="M544" s="10">
        <f>Daily_Data[[#This Row],[Rooms_Occupied]] * (SUMIFS(Expense_master[Housekeeping_Laundy],Expense_master[Month_Key],Daily_Data[[#This Row],[Month_key]]) / SUMIFS(Occupancy_table[Monthly_rooms_Occupied],Occupancy_table[Month_Key],Daily_Data[[#This Row],[Month_key]]))</f>
        <v>359.28143712574854</v>
      </c>
      <c r="N5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1692.0011976047904</v>
      </c>
      <c r="O544" s="10">
        <f>SUMIFS(Expense_master[Monthly_Maintenance],Expense_master[Month_Key],Daily_Data[[#This Row],[Month_key]]) / SUMIFS(Expense_master[Days_in_Month],Expense_master[Month_Key], Daily_Data[[#This Row],[Month_key]])</f>
        <v>666.66666666666663</v>
      </c>
      <c r="P544" s="10">
        <f xml:space="preserve"> Daily_Data[[#This Row],[OTA Commision]] + Daily_Data[[#This Row],[Daily_Rent]]+Daily_Data[[#This Row],[Daily_Staff]]+Daily_Data[[#This Row],[Daily_HK]]+Daily_Data[[#This Row],[Daily_Electricity]] + Daily_Data[[#This Row],[Daily Maintenance]]</f>
        <v>17331.415968063877</v>
      </c>
      <c r="Q544" s="10">
        <f>Daily_Data[[#This Row],[Total_Sales]]-Daily_Data[[#This Row],[Total_Daily_Expense]]</f>
        <v>608.58403193612321</v>
      </c>
      <c r="R544" s="10">
        <f>Daily_Data[[#This Row],[Total_Sales]]/Daily_Data[[#This Row],[Rooms_Occupied]]</f>
        <v>1495</v>
      </c>
      <c r="S544" s="10">
        <f>Daily_Data[[#This Row],[Total_Sales]] / Daily_Data[[#This Row],[Max_rooms]]</f>
        <v>1281.4285714285713</v>
      </c>
    </row>
    <row r="545" spans="1:19" x14ac:dyDescent="0.25">
      <c r="A545" s="6">
        <v>45470</v>
      </c>
      <c r="B545" s="20">
        <f>DATE(YEAR(Daily_Data[[#This Row],[Date]]), MONTH(Daily_Data[[#This Row],[Date]]), 1)</f>
        <v>45444</v>
      </c>
      <c r="C545" s="20" t="str">
        <f>TEXT(Daily_Data[[#This Row],[Month_key]],"mmmm")</f>
        <v>June</v>
      </c>
      <c r="D545" s="20" t="str">
        <f>TEXT(Daily_Data[[#This Row],[Month_key]],"yyyy")</f>
        <v>2024</v>
      </c>
      <c r="E545" s="7">
        <v>13</v>
      </c>
      <c r="F545" s="7">
        <v>14</v>
      </c>
      <c r="G545" s="8">
        <f>Daily_Data[[#This Row],[Rooms_Occupied]]/F545</f>
        <v>0.9285714285714286</v>
      </c>
      <c r="H545" s="7">
        <v>1809</v>
      </c>
      <c r="I545" s="7">
        <f>Daily_Data[[#This Row],[Room_rate]]*Daily_Data[[#This Row],[Rooms_Occupied]]</f>
        <v>23517</v>
      </c>
      <c r="J545" s="10">
        <f>Daily_Data[[#This Row],[Total_Sales]] * 0.22</f>
        <v>5173.74</v>
      </c>
      <c r="K545" s="10">
        <f>INDEX(Expense_master[Monthly_Rent],MATCH(Daily_Data[[#This Row],[Month_key]],Expense_master[Month_Key],0)) / INDEX(Expense_master[Days_in_Month],MATCH(Daily_Data[[#This Row],[Month_key]],Expense_master[Month_Key],0))</f>
        <v>8333.3333333333339</v>
      </c>
      <c r="L545" s="10">
        <f>SUMIFS(Expense_master[Staff_Salary],Expense_master[Month_Key],Daily_Data[[#This Row],[Month_key]]) / SUMIFS(Expense_master[Days_in_Month],Expense_master[Month_Key],Daily_Data[[#This Row],[Month_key]])</f>
        <v>2333.3333333333335</v>
      </c>
      <c r="M545" s="10">
        <f>Daily_Data[[#This Row],[Rooms_Occupied]] * (SUMIFS(Expense_master[Housekeeping_Laundy],Expense_master[Month_Key],Daily_Data[[#This Row],[Month_key]]) / SUMIFS(Occupancy_table[Monthly_rooms_Occupied],Occupancy_table[Month_Key],Daily_Data[[#This Row],[Month_key]]))</f>
        <v>389.22155688622757</v>
      </c>
      <c r="N5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45" s="10">
        <f>SUMIFS(Expense_master[Monthly_Maintenance],Expense_master[Month_Key],Daily_Data[[#This Row],[Month_key]]) / SUMIFS(Expense_master[Days_in_Month],Expense_master[Month_Key], Daily_Data[[#This Row],[Month_key]])</f>
        <v>666.66666666666663</v>
      </c>
      <c r="P545" s="10">
        <f xml:space="preserve"> Daily_Data[[#This Row],[OTA Commision]] + Daily_Data[[#This Row],[Daily_Rent]]+Daily_Data[[#This Row],[Daily_Staff]]+Daily_Data[[#This Row],[Daily_HK]]+Daily_Data[[#This Row],[Daily_Electricity]] + Daily_Data[[#This Row],[Daily Maintenance]]</f>
        <v>18675.412854291422</v>
      </c>
      <c r="Q545" s="10">
        <f>Daily_Data[[#This Row],[Total_Sales]]-Daily_Data[[#This Row],[Total_Daily_Expense]]</f>
        <v>4841.5871457085777</v>
      </c>
      <c r="R545" s="10">
        <f>Daily_Data[[#This Row],[Total_Sales]]/Daily_Data[[#This Row],[Rooms_Occupied]]</f>
        <v>1809</v>
      </c>
      <c r="S545" s="10">
        <f>Daily_Data[[#This Row],[Total_Sales]] / Daily_Data[[#This Row],[Max_rooms]]</f>
        <v>1679.7857142857142</v>
      </c>
    </row>
    <row r="546" spans="1:19" x14ac:dyDescent="0.25">
      <c r="A546" s="6">
        <v>45471</v>
      </c>
      <c r="B546" s="20">
        <f>DATE(YEAR(Daily_Data[[#This Row],[Date]]), MONTH(Daily_Data[[#This Row],[Date]]), 1)</f>
        <v>45444</v>
      </c>
      <c r="C546" s="20" t="str">
        <f>TEXT(Daily_Data[[#This Row],[Month_key]],"mmmm")</f>
        <v>June</v>
      </c>
      <c r="D546" s="20" t="str">
        <f>TEXT(Daily_Data[[#This Row],[Month_key]],"yyyy")</f>
        <v>2024</v>
      </c>
      <c r="E546" s="7">
        <v>12</v>
      </c>
      <c r="F546" s="7">
        <v>14</v>
      </c>
      <c r="G546" s="8">
        <f>Daily_Data[[#This Row],[Rooms_Occupied]]/F546</f>
        <v>0.8571428571428571</v>
      </c>
      <c r="H546" s="7">
        <v>1166</v>
      </c>
      <c r="I546" s="7">
        <f>Daily_Data[[#This Row],[Room_rate]]*Daily_Data[[#This Row],[Rooms_Occupied]]</f>
        <v>13992</v>
      </c>
      <c r="J546" s="10">
        <f>Daily_Data[[#This Row],[Total_Sales]] * 0.22</f>
        <v>3078.2400000000002</v>
      </c>
      <c r="K546" s="10">
        <f>INDEX(Expense_master[Monthly_Rent],MATCH(Daily_Data[[#This Row],[Month_key]],Expense_master[Month_Key],0)) / INDEX(Expense_master[Days_in_Month],MATCH(Daily_Data[[#This Row],[Month_key]],Expense_master[Month_Key],0))</f>
        <v>8333.3333333333339</v>
      </c>
      <c r="L546" s="10">
        <f>SUMIFS(Expense_master[Staff_Salary],Expense_master[Month_Key],Daily_Data[[#This Row],[Month_key]]) / SUMIFS(Expense_master[Days_in_Month],Expense_master[Month_Key],Daily_Data[[#This Row],[Month_key]])</f>
        <v>2333.3333333333335</v>
      </c>
      <c r="M546" s="10">
        <f>Daily_Data[[#This Row],[Rooms_Occupied]] * (SUMIFS(Expense_master[Housekeeping_Laundy],Expense_master[Month_Key],Daily_Data[[#This Row],[Month_key]]) / SUMIFS(Occupancy_table[Monthly_rooms_Occupied],Occupancy_table[Month_Key],Daily_Data[[#This Row],[Month_key]]))</f>
        <v>359.28143712574854</v>
      </c>
      <c r="N5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1692.0011976047904</v>
      </c>
      <c r="O546" s="10">
        <f>SUMIFS(Expense_master[Monthly_Maintenance],Expense_master[Month_Key],Daily_Data[[#This Row],[Month_key]]) / SUMIFS(Expense_master[Days_in_Month],Expense_master[Month_Key], Daily_Data[[#This Row],[Month_key]])</f>
        <v>666.66666666666663</v>
      </c>
      <c r="P546" s="10">
        <f xml:space="preserve"> Daily_Data[[#This Row],[OTA Commision]] + Daily_Data[[#This Row],[Daily_Rent]]+Daily_Data[[#This Row],[Daily_Staff]]+Daily_Data[[#This Row],[Daily_HK]]+Daily_Data[[#This Row],[Daily_Electricity]] + Daily_Data[[#This Row],[Daily Maintenance]]</f>
        <v>16462.855968063872</v>
      </c>
      <c r="Q546" s="10">
        <f>Daily_Data[[#This Row],[Total_Sales]]-Daily_Data[[#This Row],[Total_Daily_Expense]]</f>
        <v>-2470.8559680638718</v>
      </c>
      <c r="R546" s="10">
        <f>Daily_Data[[#This Row],[Total_Sales]]/Daily_Data[[#This Row],[Rooms_Occupied]]</f>
        <v>1166</v>
      </c>
      <c r="S546" s="10">
        <f>Daily_Data[[#This Row],[Total_Sales]] / Daily_Data[[#This Row],[Max_rooms]]</f>
        <v>999.42857142857144</v>
      </c>
    </row>
    <row r="547" spans="1:19" x14ac:dyDescent="0.25">
      <c r="A547" s="6">
        <v>45472</v>
      </c>
      <c r="B547" s="20">
        <f>DATE(YEAR(Daily_Data[[#This Row],[Date]]), MONTH(Daily_Data[[#This Row],[Date]]), 1)</f>
        <v>45444</v>
      </c>
      <c r="C547" s="20" t="str">
        <f>TEXT(Daily_Data[[#This Row],[Month_key]],"mmmm")</f>
        <v>June</v>
      </c>
      <c r="D547" s="20" t="str">
        <f>TEXT(Daily_Data[[#This Row],[Month_key]],"yyyy")</f>
        <v>2024</v>
      </c>
      <c r="E547" s="7">
        <v>8</v>
      </c>
      <c r="F547" s="7">
        <v>14</v>
      </c>
      <c r="G547" s="8">
        <f>Daily_Data[[#This Row],[Rooms_Occupied]]/F547</f>
        <v>0.5714285714285714</v>
      </c>
      <c r="H547" s="7">
        <v>1378</v>
      </c>
      <c r="I547" s="7">
        <f>Daily_Data[[#This Row],[Room_rate]]*Daily_Data[[#This Row],[Rooms_Occupied]]</f>
        <v>11024</v>
      </c>
      <c r="J547" s="10">
        <f>Daily_Data[[#This Row],[Total_Sales]] * 0.22</f>
        <v>2425.2800000000002</v>
      </c>
      <c r="K547" s="10">
        <f>INDEX(Expense_master[Monthly_Rent],MATCH(Daily_Data[[#This Row],[Month_key]],Expense_master[Month_Key],0)) / INDEX(Expense_master[Days_in_Month],MATCH(Daily_Data[[#This Row],[Month_key]],Expense_master[Month_Key],0))</f>
        <v>8333.3333333333339</v>
      </c>
      <c r="L547" s="10">
        <f>SUMIFS(Expense_master[Staff_Salary],Expense_master[Month_Key],Daily_Data[[#This Row],[Month_key]]) / SUMIFS(Expense_master[Days_in_Month],Expense_master[Month_Key],Daily_Data[[#This Row],[Month_key]])</f>
        <v>2333.3333333333335</v>
      </c>
      <c r="M547" s="10">
        <f>Daily_Data[[#This Row],[Rooms_Occupied]] * (SUMIFS(Expense_master[Housekeeping_Laundy],Expense_master[Month_Key],Daily_Data[[#This Row],[Month_key]]) / SUMIFS(Occupancy_table[Monthly_rooms_Occupied],Occupancy_table[Month_Key],Daily_Data[[#This Row],[Month_key]]))</f>
        <v>239.52095808383234</v>
      </c>
      <c r="N5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1343.5341317365269</v>
      </c>
      <c r="O547" s="10">
        <f>SUMIFS(Expense_master[Monthly_Maintenance],Expense_master[Month_Key],Daily_Data[[#This Row],[Month_key]]) / SUMIFS(Expense_master[Days_in_Month],Expense_master[Month_Key], Daily_Data[[#This Row],[Month_key]])</f>
        <v>666.66666666666663</v>
      </c>
      <c r="P547" s="10">
        <f xml:space="preserve"> Daily_Data[[#This Row],[OTA Commision]] + Daily_Data[[#This Row],[Daily_Rent]]+Daily_Data[[#This Row],[Daily_Staff]]+Daily_Data[[#This Row],[Daily_HK]]+Daily_Data[[#This Row],[Daily_Electricity]] + Daily_Data[[#This Row],[Daily Maintenance]]</f>
        <v>15341.668423153695</v>
      </c>
      <c r="Q547" s="10">
        <f>Daily_Data[[#This Row],[Total_Sales]]-Daily_Data[[#This Row],[Total_Daily_Expense]]</f>
        <v>-4317.6684231536947</v>
      </c>
      <c r="R547" s="10">
        <f>Daily_Data[[#This Row],[Total_Sales]]/Daily_Data[[#This Row],[Rooms_Occupied]]</f>
        <v>1378</v>
      </c>
      <c r="S547" s="10">
        <f>Daily_Data[[#This Row],[Total_Sales]] / Daily_Data[[#This Row],[Max_rooms]]</f>
        <v>787.42857142857144</v>
      </c>
    </row>
    <row r="548" spans="1:19" x14ac:dyDescent="0.25">
      <c r="A548" s="6">
        <v>45473</v>
      </c>
      <c r="B548" s="20">
        <f>DATE(YEAR(Daily_Data[[#This Row],[Date]]), MONTH(Daily_Data[[#This Row],[Date]]), 1)</f>
        <v>45444</v>
      </c>
      <c r="C548" s="20" t="str">
        <f>TEXT(Daily_Data[[#This Row],[Month_key]],"mmmm")</f>
        <v>June</v>
      </c>
      <c r="D548" s="20" t="str">
        <f>TEXT(Daily_Data[[#This Row],[Month_key]],"yyyy")</f>
        <v>2024</v>
      </c>
      <c r="E548" s="7">
        <v>13</v>
      </c>
      <c r="F548" s="7">
        <v>14</v>
      </c>
      <c r="G548" s="8">
        <f>Daily_Data[[#This Row],[Rooms_Occupied]]/F548</f>
        <v>0.9285714285714286</v>
      </c>
      <c r="H548" s="7">
        <v>1776</v>
      </c>
      <c r="I548" s="7">
        <f>Daily_Data[[#This Row],[Room_rate]]*Daily_Data[[#This Row],[Rooms_Occupied]]</f>
        <v>23088</v>
      </c>
      <c r="J548" s="10">
        <f>Daily_Data[[#This Row],[Total_Sales]] * 0.22</f>
        <v>5079.3599999999997</v>
      </c>
      <c r="K548" s="10">
        <f>INDEX(Expense_master[Monthly_Rent],MATCH(Daily_Data[[#This Row],[Month_key]],Expense_master[Month_Key],0)) / INDEX(Expense_master[Days_in_Month],MATCH(Daily_Data[[#This Row],[Month_key]],Expense_master[Month_Key],0))</f>
        <v>8333.3333333333339</v>
      </c>
      <c r="L548" s="10">
        <f>SUMIFS(Expense_master[Staff_Salary],Expense_master[Month_Key],Daily_Data[[#This Row],[Month_key]]) / SUMIFS(Expense_master[Days_in_Month],Expense_master[Month_Key],Daily_Data[[#This Row],[Month_key]])</f>
        <v>2333.3333333333335</v>
      </c>
      <c r="M548" s="10">
        <f>Daily_Data[[#This Row],[Rooms_Occupied]] * (SUMIFS(Expense_master[Housekeeping_Laundy],Expense_master[Month_Key],Daily_Data[[#This Row],[Month_key]]) / SUMIFS(Occupancy_table[Monthly_rooms_Occupied],Occupancy_table[Month_Key],Daily_Data[[#This Row],[Month_key]]))</f>
        <v>389.22155688622757</v>
      </c>
      <c r="N5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1779.1179640718565</v>
      </c>
      <c r="O548" s="10">
        <f>SUMIFS(Expense_master[Monthly_Maintenance],Expense_master[Month_Key],Daily_Data[[#This Row],[Month_key]]) / SUMIFS(Expense_master[Days_in_Month],Expense_master[Month_Key], Daily_Data[[#This Row],[Month_key]])</f>
        <v>666.66666666666663</v>
      </c>
      <c r="P548" s="10">
        <f xml:space="preserve"> Daily_Data[[#This Row],[OTA Commision]] + Daily_Data[[#This Row],[Daily_Rent]]+Daily_Data[[#This Row],[Daily_Staff]]+Daily_Data[[#This Row],[Daily_HK]]+Daily_Data[[#This Row],[Daily_Electricity]] + Daily_Data[[#This Row],[Daily Maintenance]]</f>
        <v>18581.032854291418</v>
      </c>
      <c r="Q548" s="10">
        <f>Daily_Data[[#This Row],[Total_Sales]]-Daily_Data[[#This Row],[Total_Daily_Expense]]</f>
        <v>4506.9671457085824</v>
      </c>
      <c r="R548" s="10">
        <f>Daily_Data[[#This Row],[Total_Sales]]/Daily_Data[[#This Row],[Rooms_Occupied]]</f>
        <v>1776</v>
      </c>
      <c r="S548" s="10">
        <f>Daily_Data[[#This Row],[Total_Sales]] / Daily_Data[[#This Row],[Max_rooms]]</f>
        <v>1649.1428571428571</v>
      </c>
    </row>
    <row r="549" spans="1:19" x14ac:dyDescent="0.25">
      <c r="A549" s="6">
        <v>45474</v>
      </c>
      <c r="B549" s="20">
        <f>DATE(YEAR(Daily_Data[[#This Row],[Date]]), MONTH(Daily_Data[[#This Row],[Date]]), 1)</f>
        <v>45474</v>
      </c>
      <c r="C549" s="20" t="str">
        <f>TEXT(Daily_Data[[#This Row],[Month_key]],"mmmm")</f>
        <v>July</v>
      </c>
      <c r="D549" s="20" t="str">
        <f>TEXT(Daily_Data[[#This Row],[Month_key]],"yyyy")</f>
        <v>2024</v>
      </c>
      <c r="E549" s="7">
        <v>8</v>
      </c>
      <c r="F549" s="7">
        <v>14</v>
      </c>
      <c r="G549" s="8">
        <f>Daily_Data[[#This Row],[Rooms_Occupied]]/F549</f>
        <v>0.5714285714285714</v>
      </c>
      <c r="H549" s="7">
        <v>1294</v>
      </c>
      <c r="I549" s="7">
        <f>Daily_Data[[#This Row],[Room_rate]]*Daily_Data[[#This Row],[Rooms_Occupied]]</f>
        <v>10352</v>
      </c>
      <c r="J549" s="10">
        <f>Daily_Data[[#This Row],[Total_Sales]] * 0.22</f>
        <v>2277.44</v>
      </c>
      <c r="K549" s="10">
        <f>INDEX(Expense_master[Monthly_Rent],MATCH(Daily_Data[[#This Row],[Month_key]],Expense_master[Month_Key],0)) / INDEX(Expense_master[Days_in_Month],MATCH(Daily_Data[[#This Row],[Month_key]],Expense_master[Month_Key],0))</f>
        <v>8064.5161290322585</v>
      </c>
      <c r="L549" s="10">
        <f>SUMIFS(Expense_master[Staff_Salary],Expense_master[Month_Key],Daily_Data[[#This Row],[Month_key]]) / SUMIFS(Expense_master[Days_in_Month],Expense_master[Month_Key],Daily_Data[[#This Row],[Month_key]])</f>
        <v>2258.0645161290322</v>
      </c>
      <c r="M549" s="10">
        <f>Daily_Data[[#This Row],[Rooms_Occupied]] * (SUMIFS(Expense_master[Housekeeping_Laundy],Expense_master[Month_Key],Daily_Data[[#This Row],[Month_key]]) / SUMIFS(Occupancy_table[Monthly_rooms_Occupied],Occupancy_table[Month_Key],Daily_Data[[#This Row],[Month_key]]))</f>
        <v>241.69184290030211</v>
      </c>
      <c r="N5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1418.9624403079622</v>
      </c>
      <c r="O549" s="10">
        <f>SUMIFS(Expense_master[Monthly_Maintenance],Expense_master[Month_Key],Daily_Data[[#This Row],[Month_key]]) / SUMIFS(Expense_master[Days_in_Month],Expense_master[Month_Key], Daily_Data[[#This Row],[Month_key]])</f>
        <v>645.16129032258061</v>
      </c>
      <c r="P549" s="10">
        <f xml:space="preserve"> Daily_Data[[#This Row],[OTA Commision]] + Daily_Data[[#This Row],[Daily_Rent]]+Daily_Data[[#This Row],[Daily_Staff]]+Daily_Data[[#This Row],[Daily_HK]]+Daily_Data[[#This Row],[Daily_Electricity]] + Daily_Data[[#This Row],[Daily Maintenance]]</f>
        <v>14905.836218692135</v>
      </c>
      <c r="Q549" s="10">
        <f>Daily_Data[[#This Row],[Total_Sales]]-Daily_Data[[#This Row],[Total_Daily_Expense]]</f>
        <v>-4553.8362186921349</v>
      </c>
      <c r="R549" s="10">
        <f>Daily_Data[[#This Row],[Total_Sales]]/Daily_Data[[#This Row],[Rooms_Occupied]]</f>
        <v>1294</v>
      </c>
      <c r="S549" s="10">
        <f>Daily_Data[[#This Row],[Total_Sales]] / Daily_Data[[#This Row],[Max_rooms]]</f>
        <v>739.42857142857144</v>
      </c>
    </row>
    <row r="550" spans="1:19" x14ac:dyDescent="0.25">
      <c r="A550" s="6">
        <v>45475</v>
      </c>
      <c r="B550" s="20">
        <f>DATE(YEAR(Daily_Data[[#This Row],[Date]]), MONTH(Daily_Data[[#This Row],[Date]]), 1)</f>
        <v>45474</v>
      </c>
      <c r="C550" s="20" t="str">
        <f>TEXT(Daily_Data[[#This Row],[Month_key]],"mmmm")</f>
        <v>July</v>
      </c>
      <c r="D550" s="20" t="str">
        <f>TEXT(Daily_Data[[#This Row],[Month_key]],"yyyy")</f>
        <v>2024</v>
      </c>
      <c r="E550" s="7">
        <v>9</v>
      </c>
      <c r="F550" s="7">
        <v>14</v>
      </c>
      <c r="G550" s="8">
        <f>Daily_Data[[#This Row],[Rooms_Occupied]]/F550</f>
        <v>0.6428571428571429</v>
      </c>
      <c r="H550" s="7">
        <v>1451</v>
      </c>
      <c r="I550" s="7">
        <f>Daily_Data[[#This Row],[Room_rate]]*Daily_Data[[#This Row],[Rooms_Occupied]]</f>
        <v>13059</v>
      </c>
      <c r="J550" s="10">
        <f>Daily_Data[[#This Row],[Total_Sales]] * 0.22</f>
        <v>2872.98</v>
      </c>
      <c r="K550" s="10">
        <f>INDEX(Expense_master[Monthly_Rent],MATCH(Daily_Data[[#This Row],[Month_key]],Expense_master[Month_Key],0)) / INDEX(Expense_master[Days_in_Month],MATCH(Daily_Data[[#This Row],[Month_key]],Expense_master[Month_Key],0))</f>
        <v>8064.5161290322585</v>
      </c>
      <c r="L550" s="10">
        <f>SUMIFS(Expense_master[Staff_Salary],Expense_master[Month_Key],Daily_Data[[#This Row],[Month_key]]) / SUMIFS(Expense_master[Days_in_Month],Expense_master[Month_Key],Daily_Data[[#This Row],[Month_key]])</f>
        <v>2258.0645161290322</v>
      </c>
      <c r="M550" s="10">
        <f>Daily_Data[[#This Row],[Rooms_Occupied]] * (SUMIFS(Expense_master[Housekeeping_Laundy],Expense_master[Month_Key],Daily_Data[[#This Row],[Month_key]]) / SUMIFS(Occupancy_table[Monthly_rooms_Occupied],Occupancy_table[Month_Key],Daily_Data[[#This Row],[Month_key]]))</f>
        <v>271.90332326283988</v>
      </c>
      <c r="N5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1512.8198421206512</v>
      </c>
      <c r="O550" s="10">
        <f>SUMIFS(Expense_master[Monthly_Maintenance],Expense_master[Month_Key],Daily_Data[[#This Row],[Month_key]]) / SUMIFS(Expense_master[Days_in_Month],Expense_master[Month_Key], Daily_Data[[#This Row],[Month_key]])</f>
        <v>645.16129032258061</v>
      </c>
      <c r="P550" s="10">
        <f xml:space="preserve"> Daily_Data[[#This Row],[OTA Commision]] + Daily_Data[[#This Row],[Daily_Rent]]+Daily_Data[[#This Row],[Daily_Staff]]+Daily_Data[[#This Row],[Daily_HK]]+Daily_Data[[#This Row],[Daily_Electricity]] + Daily_Data[[#This Row],[Daily Maintenance]]</f>
        <v>15625.445100867362</v>
      </c>
      <c r="Q550" s="10">
        <f>Daily_Data[[#This Row],[Total_Sales]]-Daily_Data[[#This Row],[Total_Daily_Expense]]</f>
        <v>-2566.4451008673623</v>
      </c>
      <c r="R550" s="10">
        <f>Daily_Data[[#This Row],[Total_Sales]]/Daily_Data[[#This Row],[Rooms_Occupied]]</f>
        <v>1451</v>
      </c>
      <c r="S550" s="10">
        <f>Daily_Data[[#This Row],[Total_Sales]] / Daily_Data[[#This Row],[Max_rooms]]</f>
        <v>932.78571428571433</v>
      </c>
    </row>
    <row r="551" spans="1:19" x14ac:dyDescent="0.25">
      <c r="A551" s="6">
        <v>45476</v>
      </c>
      <c r="B551" s="20">
        <f>DATE(YEAR(Daily_Data[[#This Row],[Date]]), MONTH(Daily_Data[[#This Row],[Date]]), 1)</f>
        <v>45474</v>
      </c>
      <c r="C551" s="20" t="str">
        <f>TEXT(Daily_Data[[#This Row],[Month_key]],"mmmm")</f>
        <v>July</v>
      </c>
      <c r="D551" s="20" t="str">
        <f>TEXT(Daily_Data[[#This Row],[Month_key]],"yyyy")</f>
        <v>2024</v>
      </c>
      <c r="E551" s="7">
        <v>9</v>
      </c>
      <c r="F551" s="7">
        <v>14</v>
      </c>
      <c r="G551" s="8">
        <f>Daily_Data[[#This Row],[Rooms_Occupied]]/F551</f>
        <v>0.6428571428571429</v>
      </c>
      <c r="H551" s="7">
        <v>1695</v>
      </c>
      <c r="I551" s="7">
        <f>Daily_Data[[#This Row],[Room_rate]]*Daily_Data[[#This Row],[Rooms_Occupied]]</f>
        <v>15255</v>
      </c>
      <c r="J551" s="10">
        <f>Daily_Data[[#This Row],[Total_Sales]] * 0.22</f>
        <v>3356.1</v>
      </c>
      <c r="K551" s="10">
        <f>INDEX(Expense_master[Monthly_Rent],MATCH(Daily_Data[[#This Row],[Month_key]],Expense_master[Month_Key],0)) / INDEX(Expense_master[Days_in_Month],MATCH(Daily_Data[[#This Row],[Month_key]],Expense_master[Month_Key],0))</f>
        <v>8064.5161290322585</v>
      </c>
      <c r="L551" s="10">
        <f>SUMIFS(Expense_master[Staff_Salary],Expense_master[Month_Key],Daily_Data[[#This Row],[Month_key]]) / SUMIFS(Expense_master[Days_in_Month],Expense_master[Month_Key],Daily_Data[[#This Row],[Month_key]])</f>
        <v>2258.0645161290322</v>
      </c>
      <c r="M551" s="10">
        <f>Daily_Data[[#This Row],[Rooms_Occupied]] * (SUMIFS(Expense_master[Housekeeping_Laundy],Expense_master[Month_Key],Daily_Data[[#This Row],[Month_key]]) / SUMIFS(Occupancy_table[Monthly_rooms_Occupied],Occupancy_table[Month_Key],Daily_Data[[#This Row],[Month_key]]))</f>
        <v>271.90332326283988</v>
      </c>
      <c r="N5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1512.8198421206512</v>
      </c>
      <c r="O551" s="10">
        <f>SUMIFS(Expense_master[Monthly_Maintenance],Expense_master[Month_Key],Daily_Data[[#This Row],[Month_key]]) / SUMIFS(Expense_master[Days_in_Month],Expense_master[Month_Key], Daily_Data[[#This Row],[Month_key]])</f>
        <v>645.16129032258061</v>
      </c>
      <c r="P551" s="10">
        <f xml:space="preserve"> Daily_Data[[#This Row],[OTA Commision]] + Daily_Data[[#This Row],[Daily_Rent]]+Daily_Data[[#This Row],[Daily_Staff]]+Daily_Data[[#This Row],[Daily_HK]]+Daily_Data[[#This Row],[Daily_Electricity]] + Daily_Data[[#This Row],[Daily Maintenance]]</f>
        <v>16108.565100867361</v>
      </c>
      <c r="Q551" s="10">
        <f>Daily_Data[[#This Row],[Total_Sales]]-Daily_Data[[#This Row],[Total_Daily_Expense]]</f>
        <v>-853.56510086736125</v>
      </c>
      <c r="R551" s="10">
        <f>Daily_Data[[#This Row],[Total_Sales]]/Daily_Data[[#This Row],[Rooms_Occupied]]</f>
        <v>1695</v>
      </c>
      <c r="S551" s="10">
        <f>Daily_Data[[#This Row],[Total_Sales]] / Daily_Data[[#This Row],[Max_rooms]]</f>
        <v>1089.6428571428571</v>
      </c>
    </row>
    <row r="552" spans="1:19" x14ac:dyDescent="0.25">
      <c r="A552" s="6">
        <v>45477</v>
      </c>
      <c r="B552" s="20">
        <f>DATE(YEAR(Daily_Data[[#This Row],[Date]]), MONTH(Daily_Data[[#This Row],[Date]]), 1)</f>
        <v>45474</v>
      </c>
      <c r="C552" s="20" t="str">
        <f>TEXT(Daily_Data[[#This Row],[Month_key]],"mmmm")</f>
        <v>July</v>
      </c>
      <c r="D552" s="20" t="str">
        <f>TEXT(Daily_Data[[#This Row],[Month_key]],"yyyy")</f>
        <v>2024</v>
      </c>
      <c r="E552" s="7">
        <v>12</v>
      </c>
      <c r="F552" s="7">
        <v>14</v>
      </c>
      <c r="G552" s="8">
        <f>Daily_Data[[#This Row],[Rooms_Occupied]]/F552</f>
        <v>0.8571428571428571</v>
      </c>
      <c r="H552" s="7">
        <v>1232</v>
      </c>
      <c r="I552" s="7">
        <f>Daily_Data[[#This Row],[Room_rate]]*Daily_Data[[#This Row],[Rooms_Occupied]]</f>
        <v>14784</v>
      </c>
      <c r="J552" s="10">
        <f>Daily_Data[[#This Row],[Total_Sales]] * 0.22</f>
        <v>3252.48</v>
      </c>
      <c r="K552" s="10">
        <f>INDEX(Expense_master[Monthly_Rent],MATCH(Daily_Data[[#This Row],[Month_key]],Expense_master[Month_Key],0)) / INDEX(Expense_master[Days_in_Month],MATCH(Daily_Data[[#This Row],[Month_key]],Expense_master[Month_Key],0))</f>
        <v>8064.5161290322585</v>
      </c>
      <c r="L552" s="10">
        <f>SUMIFS(Expense_master[Staff_Salary],Expense_master[Month_Key],Daily_Data[[#This Row],[Month_key]]) / SUMIFS(Expense_master[Days_in_Month],Expense_master[Month_Key],Daily_Data[[#This Row],[Month_key]])</f>
        <v>2258.0645161290322</v>
      </c>
      <c r="M552" s="10">
        <f>Daily_Data[[#This Row],[Rooms_Occupied]] * (SUMIFS(Expense_master[Housekeeping_Laundy],Expense_master[Month_Key],Daily_Data[[#This Row],[Month_key]]) / SUMIFS(Occupancy_table[Monthly_rooms_Occupied],Occupancy_table[Month_Key],Daily_Data[[#This Row],[Month_key]]))</f>
        <v>362.53776435045313</v>
      </c>
      <c r="N5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1794.3920475587174</v>
      </c>
      <c r="O552" s="10">
        <f>SUMIFS(Expense_master[Monthly_Maintenance],Expense_master[Month_Key],Daily_Data[[#This Row],[Month_key]]) / SUMIFS(Expense_master[Days_in_Month],Expense_master[Month_Key], Daily_Data[[#This Row],[Month_key]])</f>
        <v>645.16129032258061</v>
      </c>
      <c r="P552" s="10">
        <f xml:space="preserve"> Daily_Data[[#This Row],[OTA Commision]] + Daily_Data[[#This Row],[Daily_Rent]]+Daily_Data[[#This Row],[Daily_Staff]]+Daily_Data[[#This Row],[Daily_HK]]+Daily_Data[[#This Row],[Daily_Electricity]] + Daily_Data[[#This Row],[Daily Maintenance]]</f>
        <v>16377.151747393042</v>
      </c>
      <c r="Q552" s="10">
        <f>Daily_Data[[#This Row],[Total_Sales]]-Daily_Data[[#This Row],[Total_Daily_Expense]]</f>
        <v>-1593.1517473930417</v>
      </c>
      <c r="R552" s="10">
        <f>Daily_Data[[#This Row],[Total_Sales]]/Daily_Data[[#This Row],[Rooms_Occupied]]</f>
        <v>1232</v>
      </c>
      <c r="S552" s="10">
        <f>Daily_Data[[#This Row],[Total_Sales]] / Daily_Data[[#This Row],[Max_rooms]]</f>
        <v>1056</v>
      </c>
    </row>
    <row r="553" spans="1:19" x14ac:dyDescent="0.25">
      <c r="A553" s="6">
        <v>45478</v>
      </c>
      <c r="B553" s="20">
        <f>DATE(YEAR(Daily_Data[[#This Row],[Date]]), MONTH(Daily_Data[[#This Row],[Date]]), 1)</f>
        <v>45474</v>
      </c>
      <c r="C553" s="20" t="str">
        <f>TEXT(Daily_Data[[#This Row],[Month_key]],"mmmm")</f>
        <v>July</v>
      </c>
      <c r="D553" s="20" t="str">
        <f>TEXT(Daily_Data[[#This Row],[Month_key]],"yyyy")</f>
        <v>2024</v>
      </c>
      <c r="E553" s="7">
        <v>10</v>
      </c>
      <c r="F553" s="7">
        <v>14</v>
      </c>
      <c r="G553" s="8">
        <f>Daily_Data[[#This Row],[Rooms_Occupied]]/F553</f>
        <v>0.7142857142857143</v>
      </c>
      <c r="H553" s="7">
        <v>1664</v>
      </c>
      <c r="I553" s="7">
        <f>Daily_Data[[#This Row],[Room_rate]]*Daily_Data[[#This Row],[Rooms_Occupied]]</f>
        <v>16640</v>
      </c>
      <c r="J553" s="10">
        <f>Daily_Data[[#This Row],[Total_Sales]] * 0.22</f>
        <v>3660.8</v>
      </c>
      <c r="K553" s="10">
        <f>INDEX(Expense_master[Monthly_Rent],MATCH(Daily_Data[[#This Row],[Month_key]],Expense_master[Month_Key],0)) / INDEX(Expense_master[Days_in_Month],MATCH(Daily_Data[[#This Row],[Month_key]],Expense_master[Month_Key],0))</f>
        <v>8064.5161290322585</v>
      </c>
      <c r="L553" s="10">
        <f>SUMIFS(Expense_master[Staff_Salary],Expense_master[Month_Key],Daily_Data[[#This Row],[Month_key]]) / SUMIFS(Expense_master[Days_in_Month],Expense_master[Month_Key],Daily_Data[[#This Row],[Month_key]])</f>
        <v>2258.0645161290322</v>
      </c>
      <c r="M553" s="10">
        <f>Daily_Data[[#This Row],[Rooms_Occupied]] * (SUMIFS(Expense_master[Housekeeping_Laundy],Expense_master[Month_Key],Daily_Data[[#This Row],[Month_key]]) / SUMIFS(Occupancy_table[Monthly_rooms_Occupied],Occupancy_table[Month_Key],Daily_Data[[#This Row],[Month_key]]))</f>
        <v>302.11480362537765</v>
      </c>
      <c r="N5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1606.6772439333399</v>
      </c>
      <c r="O553" s="10">
        <f>SUMIFS(Expense_master[Monthly_Maintenance],Expense_master[Month_Key],Daily_Data[[#This Row],[Month_key]]) / SUMIFS(Expense_master[Days_in_Month],Expense_master[Month_Key], Daily_Data[[#This Row],[Month_key]])</f>
        <v>645.16129032258061</v>
      </c>
      <c r="P553" s="10">
        <f xml:space="preserve"> Daily_Data[[#This Row],[OTA Commision]] + Daily_Data[[#This Row],[Daily_Rent]]+Daily_Data[[#This Row],[Daily_Staff]]+Daily_Data[[#This Row],[Daily_HK]]+Daily_Data[[#This Row],[Daily_Electricity]] + Daily_Data[[#This Row],[Daily Maintenance]]</f>
        <v>16537.33398304259</v>
      </c>
      <c r="Q553" s="10">
        <f>Daily_Data[[#This Row],[Total_Sales]]-Daily_Data[[#This Row],[Total_Daily_Expense]]</f>
        <v>102.66601695740974</v>
      </c>
      <c r="R553" s="10">
        <f>Daily_Data[[#This Row],[Total_Sales]]/Daily_Data[[#This Row],[Rooms_Occupied]]</f>
        <v>1664</v>
      </c>
      <c r="S553" s="10">
        <f>Daily_Data[[#This Row],[Total_Sales]] / Daily_Data[[#This Row],[Max_rooms]]</f>
        <v>1188.5714285714287</v>
      </c>
    </row>
    <row r="554" spans="1:19" x14ac:dyDescent="0.25">
      <c r="A554" s="6">
        <v>45479</v>
      </c>
      <c r="B554" s="20">
        <f>DATE(YEAR(Daily_Data[[#This Row],[Date]]), MONTH(Daily_Data[[#This Row],[Date]]), 1)</f>
        <v>45474</v>
      </c>
      <c r="C554" s="20" t="str">
        <f>TEXT(Daily_Data[[#This Row],[Month_key]],"mmmm")</f>
        <v>July</v>
      </c>
      <c r="D554" s="20" t="str">
        <f>TEXT(Daily_Data[[#This Row],[Month_key]],"yyyy")</f>
        <v>2024</v>
      </c>
      <c r="E554" s="7">
        <v>9</v>
      </c>
      <c r="F554" s="7">
        <v>14</v>
      </c>
      <c r="G554" s="8">
        <f>Daily_Data[[#This Row],[Rooms_Occupied]]/F554</f>
        <v>0.6428571428571429</v>
      </c>
      <c r="H554" s="7">
        <v>1413</v>
      </c>
      <c r="I554" s="7">
        <f>Daily_Data[[#This Row],[Room_rate]]*Daily_Data[[#This Row],[Rooms_Occupied]]</f>
        <v>12717</v>
      </c>
      <c r="J554" s="10">
        <f>Daily_Data[[#This Row],[Total_Sales]] * 0.22</f>
        <v>2797.7400000000002</v>
      </c>
      <c r="K554" s="10">
        <f>INDEX(Expense_master[Monthly_Rent],MATCH(Daily_Data[[#This Row],[Month_key]],Expense_master[Month_Key],0)) / INDEX(Expense_master[Days_in_Month],MATCH(Daily_Data[[#This Row],[Month_key]],Expense_master[Month_Key],0))</f>
        <v>8064.5161290322585</v>
      </c>
      <c r="L554" s="10">
        <f>SUMIFS(Expense_master[Staff_Salary],Expense_master[Month_Key],Daily_Data[[#This Row],[Month_key]]) / SUMIFS(Expense_master[Days_in_Month],Expense_master[Month_Key],Daily_Data[[#This Row],[Month_key]])</f>
        <v>2258.0645161290322</v>
      </c>
      <c r="M554" s="10">
        <f>Daily_Data[[#This Row],[Rooms_Occupied]] * (SUMIFS(Expense_master[Housekeeping_Laundy],Expense_master[Month_Key],Daily_Data[[#This Row],[Month_key]]) / SUMIFS(Occupancy_table[Monthly_rooms_Occupied],Occupancy_table[Month_Key],Daily_Data[[#This Row],[Month_key]]))</f>
        <v>271.90332326283988</v>
      </c>
      <c r="N5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1512.8198421206512</v>
      </c>
      <c r="O554" s="10">
        <f>SUMIFS(Expense_master[Monthly_Maintenance],Expense_master[Month_Key],Daily_Data[[#This Row],[Month_key]]) / SUMIFS(Expense_master[Days_in_Month],Expense_master[Month_Key], Daily_Data[[#This Row],[Month_key]])</f>
        <v>645.16129032258061</v>
      </c>
      <c r="P554" s="10">
        <f xml:space="preserve"> Daily_Data[[#This Row],[OTA Commision]] + Daily_Data[[#This Row],[Daily_Rent]]+Daily_Data[[#This Row],[Daily_Staff]]+Daily_Data[[#This Row],[Daily_HK]]+Daily_Data[[#This Row],[Daily_Electricity]] + Daily_Data[[#This Row],[Daily Maintenance]]</f>
        <v>15550.205100867364</v>
      </c>
      <c r="Q554" s="10">
        <f>Daily_Data[[#This Row],[Total_Sales]]-Daily_Data[[#This Row],[Total_Daily_Expense]]</f>
        <v>-2833.2051008673643</v>
      </c>
      <c r="R554" s="10">
        <f>Daily_Data[[#This Row],[Total_Sales]]/Daily_Data[[#This Row],[Rooms_Occupied]]</f>
        <v>1413</v>
      </c>
      <c r="S554" s="10">
        <f>Daily_Data[[#This Row],[Total_Sales]] / Daily_Data[[#This Row],[Max_rooms]]</f>
        <v>908.35714285714289</v>
      </c>
    </row>
    <row r="555" spans="1:19" x14ac:dyDescent="0.25">
      <c r="A555" s="6">
        <v>45480</v>
      </c>
      <c r="B555" s="20">
        <f>DATE(YEAR(Daily_Data[[#This Row],[Date]]), MONTH(Daily_Data[[#This Row],[Date]]), 1)</f>
        <v>45474</v>
      </c>
      <c r="C555" s="20" t="str">
        <f>TEXT(Daily_Data[[#This Row],[Month_key]],"mmmm")</f>
        <v>July</v>
      </c>
      <c r="D555" s="20" t="str">
        <f>TEXT(Daily_Data[[#This Row],[Month_key]],"yyyy")</f>
        <v>2024</v>
      </c>
      <c r="E555" s="7">
        <v>8</v>
      </c>
      <c r="F555" s="7">
        <v>14</v>
      </c>
      <c r="G555" s="8">
        <f>Daily_Data[[#This Row],[Rooms_Occupied]]/F555</f>
        <v>0.5714285714285714</v>
      </c>
      <c r="H555" s="7">
        <v>1712</v>
      </c>
      <c r="I555" s="7">
        <f>Daily_Data[[#This Row],[Room_rate]]*Daily_Data[[#This Row],[Rooms_Occupied]]</f>
        <v>13696</v>
      </c>
      <c r="J555" s="10">
        <f>Daily_Data[[#This Row],[Total_Sales]] * 0.22</f>
        <v>3013.12</v>
      </c>
      <c r="K555" s="10">
        <f>INDEX(Expense_master[Monthly_Rent],MATCH(Daily_Data[[#This Row],[Month_key]],Expense_master[Month_Key],0)) / INDEX(Expense_master[Days_in_Month],MATCH(Daily_Data[[#This Row],[Month_key]],Expense_master[Month_Key],0))</f>
        <v>8064.5161290322585</v>
      </c>
      <c r="L555" s="10">
        <f>SUMIFS(Expense_master[Staff_Salary],Expense_master[Month_Key],Daily_Data[[#This Row],[Month_key]]) / SUMIFS(Expense_master[Days_in_Month],Expense_master[Month_Key],Daily_Data[[#This Row],[Month_key]])</f>
        <v>2258.0645161290322</v>
      </c>
      <c r="M555" s="10">
        <f>Daily_Data[[#This Row],[Rooms_Occupied]] * (SUMIFS(Expense_master[Housekeeping_Laundy],Expense_master[Month_Key],Daily_Data[[#This Row],[Month_key]]) / SUMIFS(Occupancy_table[Monthly_rooms_Occupied],Occupancy_table[Month_Key],Daily_Data[[#This Row],[Month_key]]))</f>
        <v>241.69184290030211</v>
      </c>
      <c r="N5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1418.9624403079622</v>
      </c>
      <c r="O555" s="10">
        <f>SUMIFS(Expense_master[Monthly_Maintenance],Expense_master[Month_Key],Daily_Data[[#This Row],[Month_key]]) / SUMIFS(Expense_master[Days_in_Month],Expense_master[Month_Key], Daily_Data[[#This Row],[Month_key]])</f>
        <v>645.16129032258061</v>
      </c>
      <c r="P555" s="10">
        <f xml:space="preserve"> Daily_Data[[#This Row],[OTA Commision]] + Daily_Data[[#This Row],[Daily_Rent]]+Daily_Data[[#This Row],[Daily_Staff]]+Daily_Data[[#This Row],[Daily_HK]]+Daily_Data[[#This Row],[Daily_Electricity]] + Daily_Data[[#This Row],[Daily Maintenance]]</f>
        <v>15641.516218692135</v>
      </c>
      <c r="Q555" s="10">
        <f>Daily_Data[[#This Row],[Total_Sales]]-Daily_Data[[#This Row],[Total_Daily_Expense]]</f>
        <v>-1945.5162186921352</v>
      </c>
      <c r="R555" s="10">
        <f>Daily_Data[[#This Row],[Total_Sales]]/Daily_Data[[#This Row],[Rooms_Occupied]]</f>
        <v>1712</v>
      </c>
      <c r="S555" s="10">
        <f>Daily_Data[[#This Row],[Total_Sales]] / Daily_Data[[#This Row],[Max_rooms]]</f>
        <v>978.28571428571433</v>
      </c>
    </row>
    <row r="556" spans="1:19" x14ac:dyDescent="0.25">
      <c r="A556" s="6">
        <v>45481</v>
      </c>
      <c r="B556" s="20">
        <f>DATE(YEAR(Daily_Data[[#This Row],[Date]]), MONTH(Daily_Data[[#This Row],[Date]]), 1)</f>
        <v>45474</v>
      </c>
      <c r="C556" s="20" t="str">
        <f>TEXT(Daily_Data[[#This Row],[Month_key]],"mmmm")</f>
        <v>July</v>
      </c>
      <c r="D556" s="20" t="str">
        <f>TEXT(Daily_Data[[#This Row],[Month_key]],"yyyy")</f>
        <v>2024</v>
      </c>
      <c r="E556" s="7">
        <v>11</v>
      </c>
      <c r="F556" s="7">
        <v>14</v>
      </c>
      <c r="G556" s="8">
        <f>Daily_Data[[#This Row],[Rooms_Occupied]]/F556</f>
        <v>0.7857142857142857</v>
      </c>
      <c r="H556" s="7">
        <v>1421</v>
      </c>
      <c r="I556" s="7">
        <f>Daily_Data[[#This Row],[Room_rate]]*Daily_Data[[#This Row],[Rooms_Occupied]]</f>
        <v>15631</v>
      </c>
      <c r="J556" s="10">
        <f>Daily_Data[[#This Row],[Total_Sales]] * 0.22</f>
        <v>3438.82</v>
      </c>
      <c r="K556" s="10">
        <f>INDEX(Expense_master[Monthly_Rent],MATCH(Daily_Data[[#This Row],[Month_key]],Expense_master[Month_Key],0)) / INDEX(Expense_master[Days_in_Month],MATCH(Daily_Data[[#This Row],[Month_key]],Expense_master[Month_Key],0))</f>
        <v>8064.5161290322585</v>
      </c>
      <c r="L556" s="10">
        <f>SUMIFS(Expense_master[Staff_Salary],Expense_master[Month_Key],Daily_Data[[#This Row],[Month_key]]) / SUMIFS(Expense_master[Days_in_Month],Expense_master[Month_Key],Daily_Data[[#This Row],[Month_key]])</f>
        <v>2258.0645161290322</v>
      </c>
      <c r="M556" s="10">
        <f>Daily_Data[[#This Row],[Rooms_Occupied]] * (SUMIFS(Expense_master[Housekeeping_Laundy],Expense_master[Month_Key],Daily_Data[[#This Row],[Month_key]]) / SUMIFS(Occupancy_table[Monthly_rooms_Occupied],Occupancy_table[Month_Key],Daily_Data[[#This Row],[Month_key]]))</f>
        <v>332.32628398791542</v>
      </c>
      <c r="N5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1700.5346457460287</v>
      </c>
      <c r="O556" s="10">
        <f>SUMIFS(Expense_master[Monthly_Maintenance],Expense_master[Month_Key],Daily_Data[[#This Row],[Month_key]]) / SUMIFS(Expense_master[Days_in_Month],Expense_master[Month_Key], Daily_Data[[#This Row],[Month_key]])</f>
        <v>645.16129032258061</v>
      </c>
      <c r="P556" s="10">
        <f xml:space="preserve"> Daily_Data[[#This Row],[OTA Commision]] + Daily_Data[[#This Row],[Daily_Rent]]+Daily_Data[[#This Row],[Daily_Staff]]+Daily_Data[[#This Row],[Daily_HK]]+Daily_Data[[#This Row],[Daily_Electricity]] + Daily_Data[[#This Row],[Daily Maintenance]]</f>
        <v>16439.422865217817</v>
      </c>
      <c r="Q556" s="10">
        <f>Daily_Data[[#This Row],[Total_Sales]]-Daily_Data[[#This Row],[Total_Daily_Expense]]</f>
        <v>-808.42286521781716</v>
      </c>
      <c r="R556" s="10">
        <f>Daily_Data[[#This Row],[Total_Sales]]/Daily_Data[[#This Row],[Rooms_Occupied]]</f>
        <v>1421</v>
      </c>
      <c r="S556" s="10">
        <f>Daily_Data[[#This Row],[Total_Sales]] / Daily_Data[[#This Row],[Max_rooms]]</f>
        <v>1116.5</v>
      </c>
    </row>
    <row r="557" spans="1:19" x14ac:dyDescent="0.25">
      <c r="A557" s="6">
        <v>45482</v>
      </c>
      <c r="B557" s="20">
        <f>DATE(YEAR(Daily_Data[[#This Row],[Date]]), MONTH(Daily_Data[[#This Row],[Date]]), 1)</f>
        <v>45474</v>
      </c>
      <c r="C557" s="20" t="str">
        <f>TEXT(Daily_Data[[#This Row],[Month_key]],"mmmm")</f>
        <v>July</v>
      </c>
      <c r="D557" s="20" t="str">
        <f>TEXT(Daily_Data[[#This Row],[Month_key]],"yyyy")</f>
        <v>2024</v>
      </c>
      <c r="E557" s="7">
        <v>13</v>
      </c>
      <c r="F557" s="7">
        <v>14</v>
      </c>
      <c r="G557" s="8">
        <f>Daily_Data[[#This Row],[Rooms_Occupied]]/F557</f>
        <v>0.9285714285714286</v>
      </c>
      <c r="H557" s="7">
        <v>1607</v>
      </c>
      <c r="I557" s="7">
        <f>Daily_Data[[#This Row],[Room_rate]]*Daily_Data[[#This Row],[Rooms_Occupied]]</f>
        <v>20891</v>
      </c>
      <c r="J557" s="10">
        <f>Daily_Data[[#This Row],[Total_Sales]] * 0.22</f>
        <v>4596.0200000000004</v>
      </c>
      <c r="K557" s="10">
        <f>INDEX(Expense_master[Monthly_Rent],MATCH(Daily_Data[[#This Row],[Month_key]],Expense_master[Month_Key],0)) / INDEX(Expense_master[Days_in_Month],MATCH(Daily_Data[[#This Row],[Month_key]],Expense_master[Month_Key],0))</f>
        <v>8064.5161290322585</v>
      </c>
      <c r="L557" s="10">
        <f>SUMIFS(Expense_master[Staff_Salary],Expense_master[Month_Key],Daily_Data[[#This Row],[Month_key]]) / SUMIFS(Expense_master[Days_in_Month],Expense_master[Month_Key],Daily_Data[[#This Row],[Month_key]])</f>
        <v>2258.0645161290322</v>
      </c>
      <c r="M557" s="10">
        <f>Daily_Data[[#This Row],[Rooms_Occupied]] * (SUMIFS(Expense_master[Housekeeping_Laundy],Expense_master[Month_Key],Daily_Data[[#This Row],[Month_key]]) / SUMIFS(Occupancy_table[Monthly_rooms_Occupied],Occupancy_table[Month_Key],Daily_Data[[#This Row],[Month_key]]))</f>
        <v>392.7492447129909</v>
      </c>
      <c r="N5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1888.2494493714062</v>
      </c>
      <c r="O557" s="10">
        <f>SUMIFS(Expense_master[Monthly_Maintenance],Expense_master[Month_Key],Daily_Data[[#This Row],[Month_key]]) / SUMIFS(Expense_master[Days_in_Month],Expense_master[Month_Key], Daily_Data[[#This Row],[Month_key]])</f>
        <v>645.16129032258061</v>
      </c>
      <c r="P557" s="10">
        <f xml:space="preserve"> Daily_Data[[#This Row],[OTA Commision]] + Daily_Data[[#This Row],[Daily_Rent]]+Daily_Data[[#This Row],[Daily_Staff]]+Daily_Data[[#This Row],[Daily_HK]]+Daily_Data[[#This Row],[Daily_Electricity]] + Daily_Data[[#This Row],[Daily Maintenance]]</f>
        <v>17844.760629568267</v>
      </c>
      <c r="Q557" s="10">
        <f>Daily_Data[[#This Row],[Total_Sales]]-Daily_Data[[#This Row],[Total_Daily_Expense]]</f>
        <v>3046.2393704317328</v>
      </c>
      <c r="R557" s="10">
        <f>Daily_Data[[#This Row],[Total_Sales]]/Daily_Data[[#This Row],[Rooms_Occupied]]</f>
        <v>1607</v>
      </c>
      <c r="S557" s="10">
        <f>Daily_Data[[#This Row],[Total_Sales]] / Daily_Data[[#This Row],[Max_rooms]]</f>
        <v>1492.2142857142858</v>
      </c>
    </row>
    <row r="558" spans="1:19" x14ac:dyDescent="0.25">
      <c r="A558" s="6">
        <v>45483</v>
      </c>
      <c r="B558" s="20">
        <f>DATE(YEAR(Daily_Data[[#This Row],[Date]]), MONTH(Daily_Data[[#This Row],[Date]]), 1)</f>
        <v>45474</v>
      </c>
      <c r="C558" s="20" t="str">
        <f>TEXT(Daily_Data[[#This Row],[Month_key]],"mmmm")</f>
        <v>July</v>
      </c>
      <c r="D558" s="20" t="str">
        <f>TEXT(Daily_Data[[#This Row],[Month_key]],"yyyy")</f>
        <v>2024</v>
      </c>
      <c r="E558" s="7">
        <v>12</v>
      </c>
      <c r="F558" s="7">
        <v>14</v>
      </c>
      <c r="G558" s="8">
        <f>Daily_Data[[#This Row],[Rooms_Occupied]]/F558</f>
        <v>0.8571428571428571</v>
      </c>
      <c r="H558" s="7">
        <v>1868</v>
      </c>
      <c r="I558" s="7">
        <f>Daily_Data[[#This Row],[Room_rate]]*Daily_Data[[#This Row],[Rooms_Occupied]]</f>
        <v>22416</v>
      </c>
      <c r="J558" s="10">
        <f>Daily_Data[[#This Row],[Total_Sales]] * 0.22</f>
        <v>4931.5200000000004</v>
      </c>
      <c r="K558" s="10">
        <f>INDEX(Expense_master[Monthly_Rent],MATCH(Daily_Data[[#This Row],[Month_key]],Expense_master[Month_Key],0)) / INDEX(Expense_master[Days_in_Month],MATCH(Daily_Data[[#This Row],[Month_key]],Expense_master[Month_Key],0))</f>
        <v>8064.5161290322585</v>
      </c>
      <c r="L558" s="10">
        <f>SUMIFS(Expense_master[Staff_Salary],Expense_master[Month_Key],Daily_Data[[#This Row],[Month_key]]) / SUMIFS(Expense_master[Days_in_Month],Expense_master[Month_Key],Daily_Data[[#This Row],[Month_key]])</f>
        <v>2258.0645161290322</v>
      </c>
      <c r="M558" s="10">
        <f>Daily_Data[[#This Row],[Rooms_Occupied]] * (SUMIFS(Expense_master[Housekeeping_Laundy],Expense_master[Month_Key],Daily_Data[[#This Row],[Month_key]]) / SUMIFS(Occupancy_table[Monthly_rooms_Occupied],Occupancy_table[Month_Key],Daily_Data[[#This Row],[Month_key]]))</f>
        <v>362.53776435045313</v>
      </c>
      <c r="N5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1794.3920475587174</v>
      </c>
      <c r="O558" s="10">
        <f>SUMIFS(Expense_master[Monthly_Maintenance],Expense_master[Month_Key],Daily_Data[[#This Row],[Month_key]]) / SUMIFS(Expense_master[Days_in_Month],Expense_master[Month_Key], Daily_Data[[#This Row],[Month_key]])</f>
        <v>645.16129032258061</v>
      </c>
      <c r="P558" s="10">
        <f xml:space="preserve"> Daily_Data[[#This Row],[OTA Commision]] + Daily_Data[[#This Row],[Daily_Rent]]+Daily_Data[[#This Row],[Daily_Staff]]+Daily_Data[[#This Row],[Daily_HK]]+Daily_Data[[#This Row],[Daily_Electricity]] + Daily_Data[[#This Row],[Daily Maintenance]]</f>
        <v>18056.191747393041</v>
      </c>
      <c r="Q558" s="10">
        <f>Daily_Data[[#This Row],[Total_Sales]]-Daily_Data[[#This Row],[Total_Daily_Expense]]</f>
        <v>4359.8082526069593</v>
      </c>
      <c r="R558" s="10">
        <f>Daily_Data[[#This Row],[Total_Sales]]/Daily_Data[[#This Row],[Rooms_Occupied]]</f>
        <v>1868</v>
      </c>
      <c r="S558" s="10">
        <f>Daily_Data[[#This Row],[Total_Sales]] / Daily_Data[[#This Row],[Max_rooms]]</f>
        <v>1601.1428571428571</v>
      </c>
    </row>
    <row r="559" spans="1:19" x14ac:dyDescent="0.25">
      <c r="A559" s="6">
        <v>45484</v>
      </c>
      <c r="B559" s="20">
        <f>DATE(YEAR(Daily_Data[[#This Row],[Date]]), MONTH(Daily_Data[[#This Row],[Date]]), 1)</f>
        <v>45474</v>
      </c>
      <c r="C559" s="20" t="str">
        <f>TEXT(Daily_Data[[#This Row],[Month_key]],"mmmm")</f>
        <v>July</v>
      </c>
      <c r="D559" s="20" t="str">
        <f>TEXT(Daily_Data[[#This Row],[Month_key]],"yyyy")</f>
        <v>2024</v>
      </c>
      <c r="E559" s="7">
        <v>8</v>
      </c>
      <c r="F559" s="7">
        <v>14</v>
      </c>
      <c r="G559" s="8">
        <f>Daily_Data[[#This Row],[Rooms_Occupied]]/F559</f>
        <v>0.5714285714285714</v>
      </c>
      <c r="H559" s="7">
        <v>1109</v>
      </c>
      <c r="I559" s="7">
        <f>Daily_Data[[#This Row],[Room_rate]]*Daily_Data[[#This Row],[Rooms_Occupied]]</f>
        <v>8872</v>
      </c>
      <c r="J559" s="10">
        <f>Daily_Data[[#This Row],[Total_Sales]] * 0.22</f>
        <v>1951.84</v>
      </c>
      <c r="K559" s="10">
        <f>INDEX(Expense_master[Monthly_Rent],MATCH(Daily_Data[[#This Row],[Month_key]],Expense_master[Month_Key],0)) / INDEX(Expense_master[Days_in_Month],MATCH(Daily_Data[[#This Row],[Month_key]],Expense_master[Month_Key],0))</f>
        <v>8064.5161290322585</v>
      </c>
      <c r="L559" s="10">
        <f>SUMIFS(Expense_master[Staff_Salary],Expense_master[Month_Key],Daily_Data[[#This Row],[Month_key]]) / SUMIFS(Expense_master[Days_in_Month],Expense_master[Month_Key],Daily_Data[[#This Row],[Month_key]])</f>
        <v>2258.0645161290322</v>
      </c>
      <c r="M559" s="10">
        <f>Daily_Data[[#This Row],[Rooms_Occupied]] * (SUMIFS(Expense_master[Housekeeping_Laundy],Expense_master[Month_Key],Daily_Data[[#This Row],[Month_key]]) / SUMIFS(Occupancy_table[Monthly_rooms_Occupied],Occupancy_table[Month_Key],Daily_Data[[#This Row],[Month_key]]))</f>
        <v>241.69184290030211</v>
      </c>
      <c r="N5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1418.9624403079622</v>
      </c>
      <c r="O559" s="10">
        <f>SUMIFS(Expense_master[Monthly_Maintenance],Expense_master[Month_Key],Daily_Data[[#This Row],[Month_key]]) / SUMIFS(Expense_master[Days_in_Month],Expense_master[Month_Key], Daily_Data[[#This Row],[Month_key]])</f>
        <v>645.16129032258061</v>
      </c>
      <c r="P559" s="10">
        <f xml:space="preserve"> Daily_Data[[#This Row],[OTA Commision]] + Daily_Data[[#This Row],[Daily_Rent]]+Daily_Data[[#This Row],[Daily_Staff]]+Daily_Data[[#This Row],[Daily_HK]]+Daily_Data[[#This Row],[Daily_Electricity]] + Daily_Data[[#This Row],[Daily Maintenance]]</f>
        <v>14580.236218692135</v>
      </c>
      <c r="Q559" s="10">
        <f>Daily_Data[[#This Row],[Total_Sales]]-Daily_Data[[#This Row],[Total_Daily_Expense]]</f>
        <v>-5708.2362186921346</v>
      </c>
      <c r="R559" s="10">
        <f>Daily_Data[[#This Row],[Total_Sales]]/Daily_Data[[#This Row],[Rooms_Occupied]]</f>
        <v>1109</v>
      </c>
      <c r="S559" s="10">
        <f>Daily_Data[[#This Row],[Total_Sales]] / Daily_Data[[#This Row],[Max_rooms]]</f>
        <v>633.71428571428567</v>
      </c>
    </row>
    <row r="560" spans="1:19" x14ac:dyDescent="0.25">
      <c r="A560" s="6">
        <v>45485</v>
      </c>
      <c r="B560" s="20">
        <f>DATE(YEAR(Daily_Data[[#This Row],[Date]]), MONTH(Daily_Data[[#This Row],[Date]]), 1)</f>
        <v>45474</v>
      </c>
      <c r="C560" s="20" t="str">
        <f>TEXT(Daily_Data[[#This Row],[Month_key]],"mmmm")</f>
        <v>July</v>
      </c>
      <c r="D560" s="20" t="str">
        <f>TEXT(Daily_Data[[#This Row],[Month_key]],"yyyy")</f>
        <v>2024</v>
      </c>
      <c r="E560" s="7">
        <v>13</v>
      </c>
      <c r="F560" s="7">
        <v>14</v>
      </c>
      <c r="G560" s="8">
        <f>Daily_Data[[#This Row],[Rooms_Occupied]]/F560</f>
        <v>0.9285714285714286</v>
      </c>
      <c r="H560" s="7">
        <v>1137</v>
      </c>
      <c r="I560" s="7">
        <f>Daily_Data[[#This Row],[Room_rate]]*Daily_Data[[#This Row],[Rooms_Occupied]]</f>
        <v>14781</v>
      </c>
      <c r="J560" s="10">
        <f>Daily_Data[[#This Row],[Total_Sales]] * 0.22</f>
        <v>3251.82</v>
      </c>
      <c r="K560" s="10">
        <f>INDEX(Expense_master[Monthly_Rent],MATCH(Daily_Data[[#This Row],[Month_key]],Expense_master[Month_Key],0)) / INDEX(Expense_master[Days_in_Month],MATCH(Daily_Data[[#This Row],[Month_key]],Expense_master[Month_Key],0))</f>
        <v>8064.5161290322585</v>
      </c>
      <c r="L560" s="10">
        <f>SUMIFS(Expense_master[Staff_Salary],Expense_master[Month_Key],Daily_Data[[#This Row],[Month_key]]) / SUMIFS(Expense_master[Days_in_Month],Expense_master[Month_Key],Daily_Data[[#This Row],[Month_key]])</f>
        <v>2258.0645161290322</v>
      </c>
      <c r="M560" s="10">
        <f>Daily_Data[[#This Row],[Rooms_Occupied]] * (SUMIFS(Expense_master[Housekeeping_Laundy],Expense_master[Month_Key],Daily_Data[[#This Row],[Month_key]]) / SUMIFS(Occupancy_table[Monthly_rooms_Occupied],Occupancy_table[Month_Key],Daily_Data[[#This Row],[Month_key]]))</f>
        <v>392.7492447129909</v>
      </c>
      <c r="N5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1888.2494493714062</v>
      </c>
      <c r="O560" s="10">
        <f>SUMIFS(Expense_master[Monthly_Maintenance],Expense_master[Month_Key],Daily_Data[[#This Row],[Month_key]]) / SUMIFS(Expense_master[Days_in_Month],Expense_master[Month_Key], Daily_Data[[#This Row],[Month_key]])</f>
        <v>645.16129032258061</v>
      </c>
      <c r="P560" s="10">
        <f xml:space="preserve"> Daily_Data[[#This Row],[OTA Commision]] + Daily_Data[[#This Row],[Daily_Rent]]+Daily_Data[[#This Row],[Daily_Staff]]+Daily_Data[[#This Row],[Daily_HK]]+Daily_Data[[#This Row],[Daily_Electricity]] + Daily_Data[[#This Row],[Daily Maintenance]]</f>
        <v>16500.56062956827</v>
      </c>
      <c r="Q560" s="10">
        <f>Daily_Data[[#This Row],[Total_Sales]]-Daily_Data[[#This Row],[Total_Daily_Expense]]</f>
        <v>-1719.5606295682701</v>
      </c>
      <c r="R560" s="10">
        <f>Daily_Data[[#This Row],[Total_Sales]]/Daily_Data[[#This Row],[Rooms_Occupied]]</f>
        <v>1137</v>
      </c>
      <c r="S560" s="10">
        <f>Daily_Data[[#This Row],[Total_Sales]] / Daily_Data[[#This Row],[Max_rooms]]</f>
        <v>1055.7857142857142</v>
      </c>
    </row>
    <row r="561" spans="1:19" x14ac:dyDescent="0.25">
      <c r="A561" s="6">
        <v>45486</v>
      </c>
      <c r="B561" s="20">
        <f>DATE(YEAR(Daily_Data[[#This Row],[Date]]), MONTH(Daily_Data[[#This Row],[Date]]), 1)</f>
        <v>45474</v>
      </c>
      <c r="C561" s="20" t="str">
        <f>TEXT(Daily_Data[[#This Row],[Month_key]],"mmmm")</f>
        <v>July</v>
      </c>
      <c r="D561" s="20" t="str">
        <f>TEXT(Daily_Data[[#This Row],[Month_key]],"yyyy")</f>
        <v>2024</v>
      </c>
      <c r="E561" s="7">
        <v>8</v>
      </c>
      <c r="F561" s="7">
        <v>14</v>
      </c>
      <c r="G561" s="8">
        <f>Daily_Data[[#This Row],[Rooms_Occupied]]/F561</f>
        <v>0.5714285714285714</v>
      </c>
      <c r="H561" s="7">
        <v>1257</v>
      </c>
      <c r="I561" s="7">
        <f>Daily_Data[[#This Row],[Room_rate]]*Daily_Data[[#This Row],[Rooms_Occupied]]</f>
        <v>10056</v>
      </c>
      <c r="J561" s="10">
        <f>Daily_Data[[#This Row],[Total_Sales]] * 0.22</f>
        <v>2212.3200000000002</v>
      </c>
      <c r="K561" s="10">
        <f>INDEX(Expense_master[Monthly_Rent],MATCH(Daily_Data[[#This Row],[Month_key]],Expense_master[Month_Key],0)) / INDEX(Expense_master[Days_in_Month],MATCH(Daily_Data[[#This Row],[Month_key]],Expense_master[Month_Key],0))</f>
        <v>8064.5161290322585</v>
      </c>
      <c r="L561" s="10">
        <f>SUMIFS(Expense_master[Staff_Salary],Expense_master[Month_Key],Daily_Data[[#This Row],[Month_key]]) / SUMIFS(Expense_master[Days_in_Month],Expense_master[Month_Key],Daily_Data[[#This Row],[Month_key]])</f>
        <v>2258.0645161290322</v>
      </c>
      <c r="M561" s="10">
        <f>Daily_Data[[#This Row],[Rooms_Occupied]] * (SUMIFS(Expense_master[Housekeeping_Laundy],Expense_master[Month_Key],Daily_Data[[#This Row],[Month_key]]) / SUMIFS(Occupancy_table[Monthly_rooms_Occupied],Occupancy_table[Month_Key],Daily_Data[[#This Row],[Month_key]]))</f>
        <v>241.69184290030211</v>
      </c>
      <c r="N5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1418.9624403079622</v>
      </c>
      <c r="O561" s="10">
        <f>SUMIFS(Expense_master[Monthly_Maintenance],Expense_master[Month_Key],Daily_Data[[#This Row],[Month_key]]) / SUMIFS(Expense_master[Days_in_Month],Expense_master[Month_Key], Daily_Data[[#This Row],[Month_key]])</f>
        <v>645.16129032258061</v>
      </c>
      <c r="P561" s="10">
        <f xml:space="preserve"> Daily_Data[[#This Row],[OTA Commision]] + Daily_Data[[#This Row],[Daily_Rent]]+Daily_Data[[#This Row],[Daily_Staff]]+Daily_Data[[#This Row],[Daily_HK]]+Daily_Data[[#This Row],[Daily_Electricity]] + Daily_Data[[#This Row],[Daily Maintenance]]</f>
        <v>14840.716218692136</v>
      </c>
      <c r="Q561" s="10">
        <f>Daily_Data[[#This Row],[Total_Sales]]-Daily_Data[[#This Row],[Total_Daily_Expense]]</f>
        <v>-4784.716218692136</v>
      </c>
      <c r="R561" s="10">
        <f>Daily_Data[[#This Row],[Total_Sales]]/Daily_Data[[#This Row],[Rooms_Occupied]]</f>
        <v>1257</v>
      </c>
      <c r="S561" s="10">
        <f>Daily_Data[[#This Row],[Total_Sales]] / Daily_Data[[#This Row],[Max_rooms]]</f>
        <v>718.28571428571433</v>
      </c>
    </row>
    <row r="562" spans="1:19" x14ac:dyDescent="0.25">
      <c r="A562" s="6">
        <v>45487</v>
      </c>
      <c r="B562" s="20">
        <f>DATE(YEAR(Daily_Data[[#This Row],[Date]]), MONTH(Daily_Data[[#This Row],[Date]]), 1)</f>
        <v>45474</v>
      </c>
      <c r="C562" s="20" t="str">
        <f>TEXT(Daily_Data[[#This Row],[Month_key]],"mmmm")</f>
        <v>July</v>
      </c>
      <c r="D562" s="20" t="str">
        <f>TEXT(Daily_Data[[#This Row],[Month_key]],"yyyy")</f>
        <v>2024</v>
      </c>
      <c r="E562" s="7">
        <v>12</v>
      </c>
      <c r="F562" s="7">
        <v>14</v>
      </c>
      <c r="G562" s="8">
        <f>Daily_Data[[#This Row],[Rooms_Occupied]]/F562</f>
        <v>0.8571428571428571</v>
      </c>
      <c r="H562" s="7">
        <v>1129</v>
      </c>
      <c r="I562" s="7">
        <f>Daily_Data[[#This Row],[Room_rate]]*Daily_Data[[#This Row],[Rooms_Occupied]]</f>
        <v>13548</v>
      </c>
      <c r="J562" s="10">
        <f>Daily_Data[[#This Row],[Total_Sales]] * 0.22</f>
        <v>2980.56</v>
      </c>
      <c r="K562" s="10">
        <f>INDEX(Expense_master[Monthly_Rent],MATCH(Daily_Data[[#This Row],[Month_key]],Expense_master[Month_Key],0)) / INDEX(Expense_master[Days_in_Month],MATCH(Daily_Data[[#This Row],[Month_key]],Expense_master[Month_Key],0))</f>
        <v>8064.5161290322585</v>
      </c>
      <c r="L562" s="10">
        <f>SUMIFS(Expense_master[Staff_Salary],Expense_master[Month_Key],Daily_Data[[#This Row],[Month_key]]) / SUMIFS(Expense_master[Days_in_Month],Expense_master[Month_Key],Daily_Data[[#This Row],[Month_key]])</f>
        <v>2258.0645161290322</v>
      </c>
      <c r="M562" s="10">
        <f>Daily_Data[[#This Row],[Rooms_Occupied]] * (SUMIFS(Expense_master[Housekeeping_Laundy],Expense_master[Month_Key],Daily_Data[[#This Row],[Month_key]]) / SUMIFS(Occupancy_table[Monthly_rooms_Occupied],Occupancy_table[Month_Key],Daily_Data[[#This Row],[Month_key]]))</f>
        <v>362.53776435045313</v>
      </c>
      <c r="N5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1794.3920475587174</v>
      </c>
      <c r="O562" s="10">
        <f>SUMIFS(Expense_master[Monthly_Maintenance],Expense_master[Month_Key],Daily_Data[[#This Row],[Month_key]]) / SUMIFS(Expense_master[Days_in_Month],Expense_master[Month_Key], Daily_Data[[#This Row],[Month_key]])</f>
        <v>645.16129032258061</v>
      </c>
      <c r="P562" s="10">
        <f xml:space="preserve"> Daily_Data[[#This Row],[OTA Commision]] + Daily_Data[[#This Row],[Daily_Rent]]+Daily_Data[[#This Row],[Daily_Staff]]+Daily_Data[[#This Row],[Daily_HK]]+Daily_Data[[#This Row],[Daily_Electricity]] + Daily_Data[[#This Row],[Daily Maintenance]]</f>
        <v>16105.231747393043</v>
      </c>
      <c r="Q562" s="10">
        <f>Daily_Data[[#This Row],[Total_Sales]]-Daily_Data[[#This Row],[Total_Daily_Expense]]</f>
        <v>-2557.2317473930434</v>
      </c>
      <c r="R562" s="10">
        <f>Daily_Data[[#This Row],[Total_Sales]]/Daily_Data[[#This Row],[Rooms_Occupied]]</f>
        <v>1129</v>
      </c>
      <c r="S562" s="10">
        <f>Daily_Data[[#This Row],[Total_Sales]] / Daily_Data[[#This Row],[Max_rooms]]</f>
        <v>967.71428571428567</v>
      </c>
    </row>
    <row r="563" spans="1:19" x14ac:dyDescent="0.25">
      <c r="A563" s="6">
        <v>45488</v>
      </c>
      <c r="B563" s="20">
        <f>DATE(YEAR(Daily_Data[[#This Row],[Date]]), MONTH(Daily_Data[[#This Row],[Date]]), 1)</f>
        <v>45474</v>
      </c>
      <c r="C563" s="20" t="str">
        <f>TEXT(Daily_Data[[#This Row],[Month_key]],"mmmm")</f>
        <v>July</v>
      </c>
      <c r="D563" s="20" t="str">
        <f>TEXT(Daily_Data[[#This Row],[Month_key]],"yyyy")</f>
        <v>2024</v>
      </c>
      <c r="E563" s="7">
        <v>11</v>
      </c>
      <c r="F563" s="7">
        <v>14</v>
      </c>
      <c r="G563" s="8">
        <f>Daily_Data[[#This Row],[Rooms_Occupied]]/F563</f>
        <v>0.7857142857142857</v>
      </c>
      <c r="H563" s="7">
        <v>1961</v>
      </c>
      <c r="I563" s="7">
        <f>Daily_Data[[#This Row],[Room_rate]]*Daily_Data[[#This Row],[Rooms_Occupied]]</f>
        <v>21571</v>
      </c>
      <c r="J563" s="10">
        <f>Daily_Data[[#This Row],[Total_Sales]] * 0.22</f>
        <v>4745.62</v>
      </c>
      <c r="K563" s="10">
        <f>INDEX(Expense_master[Monthly_Rent],MATCH(Daily_Data[[#This Row],[Month_key]],Expense_master[Month_Key],0)) / INDEX(Expense_master[Days_in_Month],MATCH(Daily_Data[[#This Row],[Month_key]],Expense_master[Month_Key],0))</f>
        <v>8064.5161290322585</v>
      </c>
      <c r="L563" s="10">
        <f>SUMIFS(Expense_master[Staff_Salary],Expense_master[Month_Key],Daily_Data[[#This Row],[Month_key]]) / SUMIFS(Expense_master[Days_in_Month],Expense_master[Month_Key],Daily_Data[[#This Row],[Month_key]])</f>
        <v>2258.0645161290322</v>
      </c>
      <c r="M563" s="10">
        <f>Daily_Data[[#This Row],[Rooms_Occupied]] * (SUMIFS(Expense_master[Housekeeping_Laundy],Expense_master[Month_Key],Daily_Data[[#This Row],[Month_key]]) / SUMIFS(Occupancy_table[Monthly_rooms_Occupied],Occupancy_table[Month_Key],Daily_Data[[#This Row],[Month_key]]))</f>
        <v>332.32628398791542</v>
      </c>
      <c r="N5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1700.5346457460287</v>
      </c>
      <c r="O563" s="10">
        <f>SUMIFS(Expense_master[Monthly_Maintenance],Expense_master[Month_Key],Daily_Data[[#This Row],[Month_key]]) / SUMIFS(Expense_master[Days_in_Month],Expense_master[Month_Key], Daily_Data[[#This Row],[Month_key]])</f>
        <v>645.16129032258061</v>
      </c>
      <c r="P563" s="10">
        <f xml:space="preserve"> Daily_Data[[#This Row],[OTA Commision]] + Daily_Data[[#This Row],[Daily_Rent]]+Daily_Data[[#This Row],[Daily_Staff]]+Daily_Data[[#This Row],[Daily_HK]]+Daily_Data[[#This Row],[Daily_Electricity]] + Daily_Data[[#This Row],[Daily Maintenance]]</f>
        <v>17746.222865217813</v>
      </c>
      <c r="Q563" s="10">
        <f>Daily_Data[[#This Row],[Total_Sales]]-Daily_Data[[#This Row],[Total_Daily_Expense]]</f>
        <v>3824.7771347821872</v>
      </c>
      <c r="R563" s="10">
        <f>Daily_Data[[#This Row],[Total_Sales]]/Daily_Data[[#This Row],[Rooms_Occupied]]</f>
        <v>1961</v>
      </c>
      <c r="S563" s="10">
        <f>Daily_Data[[#This Row],[Total_Sales]] / Daily_Data[[#This Row],[Max_rooms]]</f>
        <v>1540.7857142857142</v>
      </c>
    </row>
    <row r="564" spans="1:19" x14ac:dyDescent="0.25">
      <c r="A564" s="6">
        <v>45489</v>
      </c>
      <c r="B564" s="20">
        <f>DATE(YEAR(Daily_Data[[#This Row],[Date]]), MONTH(Daily_Data[[#This Row],[Date]]), 1)</f>
        <v>45474</v>
      </c>
      <c r="C564" s="20" t="str">
        <f>TEXT(Daily_Data[[#This Row],[Month_key]],"mmmm")</f>
        <v>July</v>
      </c>
      <c r="D564" s="20" t="str">
        <f>TEXT(Daily_Data[[#This Row],[Month_key]],"yyyy")</f>
        <v>2024</v>
      </c>
      <c r="E564" s="7">
        <v>12</v>
      </c>
      <c r="F564" s="7">
        <v>14</v>
      </c>
      <c r="G564" s="8">
        <f>Daily_Data[[#This Row],[Rooms_Occupied]]/F564</f>
        <v>0.8571428571428571</v>
      </c>
      <c r="H564" s="7">
        <v>1387</v>
      </c>
      <c r="I564" s="7">
        <f>Daily_Data[[#This Row],[Room_rate]]*Daily_Data[[#This Row],[Rooms_Occupied]]</f>
        <v>16644</v>
      </c>
      <c r="J564" s="10">
        <f>Daily_Data[[#This Row],[Total_Sales]] * 0.22</f>
        <v>3661.68</v>
      </c>
      <c r="K564" s="10">
        <f>INDEX(Expense_master[Monthly_Rent],MATCH(Daily_Data[[#This Row],[Month_key]],Expense_master[Month_Key],0)) / INDEX(Expense_master[Days_in_Month],MATCH(Daily_Data[[#This Row],[Month_key]],Expense_master[Month_Key],0))</f>
        <v>8064.5161290322585</v>
      </c>
      <c r="L564" s="10">
        <f>SUMIFS(Expense_master[Staff_Salary],Expense_master[Month_Key],Daily_Data[[#This Row],[Month_key]]) / SUMIFS(Expense_master[Days_in_Month],Expense_master[Month_Key],Daily_Data[[#This Row],[Month_key]])</f>
        <v>2258.0645161290322</v>
      </c>
      <c r="M564" s="10">
        <f>Daily_Data[[#This Row],[Rooms_Occupied]] * (SUMIFS(Expense_master[Housekeeping_Laundy],Expense_master[Month_Key],Daily_Data[[#This Row],[Month_key]]) / SUMIFS(Occupancy_table[Monthly_rooms_Occupied],Occupancy_table[Month_Key],Daily_Data[[#This Row],[Month_key]]))</f>
        <v>362.53776435045313</v>
      </c>
      <c r="N5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1794.3920475587174</v>
      </c>
      <c r="O564" s="10">
        <f>SUMIFS(Expense_master[Monthly_Maintenance],Expense_master[Month_Key],Daily_Data[[#This Row],[Month_key]]) / SUMIFS(Expense_master[Days_in_Month],Expense_master[Month_Key], Daily_Data[[#This Row],[Month_key]])</f>
        <v>645.16129032258061</v>
      </c>
      <c r="P564" s="10">
        <f xml:space="preserve"> Daily_Data[[#This Row],[OTA Commision]] + Daily_Data[[#This Row],[Daily_Rent]]+Daily_Data[[#This Row],[Daily_Staff]]+Daily_Data[[#This Row],[Daily_HK]]+Daily_Data[[#This Row],[Daily_Electricity]] + Daily_Data[[#This Row],[Daily Maintenance]]</f>
        <v>16786.351747393041</v>
      </c>
      <c r="Q564" s="10">
        <f>Daily_Data[[#This Row],[Total_Sales]]-Daily_Data[[#This Row],[Total_Daily_Expense]]</f>
        <v>-142.35174739304057</v>
      </c>
      <c r="R564" s="10">
        <f>Daily_Data[[#This Row],[Total_Sales]]/Daily_Data[[#This Row],[Rooms_Occupied]]</f>
        <v>1387</v>
      </c>
      <c r="S564" s="10">
        <f>Daily_Data[[#This Row],[Total_Sales]] / Daily_Data[[#This Row],[Max_rooms]]</f>
        <v>1188.8571428571429</v>
      </c>
    </row>
    <row r="565" spans="1:19" x14ac:dyDescent="0.25">
      <c r="A565" s="6">
        <v>45490</v>
      </c>
      <c r="B565" s="20">
        <f>DATE(YEAR(Daily_Data[[#This Row],[Date]]), MONTH(Daily_Data[[#This Row],[Date]]), 1)</f>
        <v>45474</v>
      </c>
      <c r="C565" s="20" t="str">
        <f>TEXT(Daily_Data[[#This Row],[Month_key]],"mmmm")</f>
        <v>July</v>
      </c>
      <c r="D565" s="20" t="str">
        <f>TEXT(Daily_Data[[#This Row],[Month_key]],"yyyy")</f>
        <v>2024</v>
      </c>
      <c r="E565" s="7">
        <v>12</v>
      </c>
      <c r="F565" s="7">
        <v>14</v>
      </c>
      <c r="G565" s="8">
        <f>Daily_Data[[#This Row],[Rooms_Occupied]]/F565</f>
        <v>0.8571428571428571</v>
      </c>
      <c r="H565" s="7">
        <v>1636</v>
      </c>
      <c r="I565" s="7">
        <f>Daily_Data[[#This Row],[Room_rate]]*Daily_Data[[#This Row],[Rooms_Occupied]]</f>
        <v>19632</v>
      </c>
      <c r="J565" s="10">
        <f>Daily_Data[[#This Row],[Total_Sales]] * 0.22</f>
        <v>4319.04</v>
      </c>
      <c r="K565" s="10">
        <f>INDEX(Expense_master[Monthly_Rent],MATCH(Daily_Data[[#This Row],[Month_key]],Expense_master[Month_Key],0)) / INDEX(Expense_master[Days_in_Month],MATCH(Daily_Data[[#This Row],[Month_key]],Expense_master[Month_Key],0))</f>
        <v>8064.5161290322585</v>
      </c>
      <c r="L565" s="10">
        <f>SUMIFS(Expense_master[Staff_Salary],Expense_master[Month_Key],Daily_Data[[#This Row],[Month_key]]) / SUMIFS(Expense_master[Days_in_Month],Expense_master[Month_Key],Daily_Data[[#This Row],[Month_key]])</f>
        <v>2258.0645161290322</v>
      </c>
      <c r="M565" s="10">
        <f>Daily_Data[[#This Row],[Rooms_Occupied]] * (SUMIFS(Expense_master[Housekeeping_Laundy],Expense_master[Month_Key],Daily_Data[[#This Row],[Month_key]]) / SUMIFS(Occupancy_table[Monthly_rooms_Occupied],Occupancy_table[Month_Key],Daily_Data[[#This Row],[Month_key]]))</f>
        <v>362.53776435045313</v>
      </c>
      <c r="N5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1794.3920475587174</v>
      </c>
      <c r="O565" s="10">
        <f>SUMIFS(Expense_master[Monthly_Maintenance],Expense_master[Month_Key],Daily_Data[[#This Row],[Month_key]]) / SUMIFS(Expense_master[Days_in_Month],Expense_master[Month_Key], Daily_Data[[#This Row],[Month_key]])</f>
        <v>645.16129032258061</v>
      </c>
      <c r="P565" s="10">
        <f xml:space="preserve"> Daily_Data[[#This Row],[OTA Commision]] + Daily_Data[[#This Row],[Daily_Rent]]+Daily_Data[[#This Row],[Daily_Staff]]+Daily_Data[[#This Row],[Daily_HK]]+Daily_Data[[#This Row],[Daily_Electricity]] + Daily_Data[[#This Row],[Daily Maintenance]]</f>
        <v>17443.711747393041</v>
      </c>
      <c r="Q565" s="10">
        <f>Daily_Data[[#This Row],[Total_Sales]]-Daily_Data[[#This Row],[Total_Daily_Expense]]</f>
        <v>2188.2882526069588</v>
      </c>
      <c r="R565" s="10">
        <f>Daily_Data[[#This Row],[Total_Sales]]/Daily_Data[[#This Row],[Rooms_Occupied]]</f>
        <v>1636</v>
      </c>
      <c r="S565" s="10">
        <f>Daily_Data[[#This Row],[Total_Sales]] / Daily_Data[[#This Row],[Max_rooms]]</f>
        <v>1402.2857142857142</v>
      </c>
    </row>
    <row r="566" spans="1:19" x14ac:dyDescent="0.25">
      <c r="A566" s="6">
        <v>45491</v>
      </c>
      <c r="B566" s="20">
        <f>DATE(YEAR(Daily_Data[[#This Row],[Date]]), MONTH(Daily_Data[[#This Row],[Date]]), 1)</f>
        <v>45474</v>
      </c>
      <c r="C566" s="20" t="str">
        <f>TEXT(Daily_Data[[#This Row],[Month_key]],"mmmm")</f>
        <v>July</v>
      </c>
      <c r="D566" s="20" t="str">
        <f>TEXT(Daily_Data[[#This Row],[Month_key]],"yyyy")</f>
        <v>2024</v>
      </c>
      <c r="E566" s="7">
        <v>8</v>
      </c>
      <c r="F566" s="7">
        <v>14</v>
      </c>
      <c r="G566" s="8">
        <f>Daily_Data[[#This Row],[Rooms_Occupied]]/F566</f>
        <v>0.5714285714285714</v>
      </c>
      <c r="H566" s="7">
        <v>1476</v>
      </c>
      <c r="I566" s="7">
        <f>Daily_Data[[#This Row],[Room_rate]]*Daily_Data[[#This Row],[Rooms_Occupied]]</f>
        <v>11808</v>
      </c>
      <c r="J566" s="10">
        <f>Daily_Data[[#This Row],[Total_Sales]] * 0.22</f>
        <v>2597.7600000000002</v>
      </c>
      <c r="K566" s="10">
        <f>INDEX(Expense_master[Monthly_Rent],MATCH(Daily_Data[[#This Row],[Month_key]],Expense_master[Month_Key],0)) / INDEX(Expense_master[Days_in_Month],MATCH(Daily_Data[[#This Row],[Month_key]],Expense_master[Month_Key],0))</f>
        <v>8064.5161290322585</v>
      </c>
      <c r="L566" s="10">
        <f>SUMIFS(Expense_master[Staff_Salary],Expense_master[Month_Key],Daily_Data[[#This Row],[Month_key]]) / SUMIFS(Expense_master[Days_in_Month],Expense_master[Month_Key],Daily_Data[[#This Row],[Month_key]])</f>
        <v>2258.0645161290322</v>
      </c>
      <c r="M566" s="10">
        <f>Daily_Data[[#This Row],[Rooms_Occupied]] * (SUMIFS(Expense_master[Housekeeping_Laundy],Expense_master[Month_Key],Daily_Data[[#This Row],[Month_key]]) / SUMIFS(Occupancy_table[Monthly_rooms_Occupied],Occupancy_table[Month_Key],Daily_Data[[#This Row],[Month_key]]))</f>
        <v>241.69184290030211</v>
      </c>
      <c r="N5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1418.9624403079622</v>
      </c>
      <c r="O566" s="10">
        <f>SUMIFS(Expense_master[Monthly_Maintenance],Expense_master[Month_Key],Daily_Data[[#This Row],[Month_key]]) / SUMIFS(Expense_master[Days_in_Month],Expense_master[Month_Key], Daily_Data[[#This Row],[Month_key]])</f>
        <v>645.16129032258061</v>
      </c>
      <c r="P566" s="10">
        <f xml:space="preserve"> Daily_Data[[#This Row],[OTA Commision]] + Daily_Data[[#This Row],[Daily_Rent]]+Daily_Data[[#This Row],[Daily_Staff]]+Daily_Data[[#This Row],[Daily_HK]]+Daily_Data[[#This Row],[Daily_Electricity]] + Daily_Data[[#This Row],[Daily Maintenance]]</f>
        <v>15226.156218692136</v>
      </c>
      <c r="Q566" s="10">
        <f>Daily_Data[[#This Row],[Total_Sales]]-Daily_Data[[#This Row],[Total_Daily_Expense]]</f>
        <v>-3418.1562186921365</v>
      </c>
      <c r="R566" s="10">
        <f>Daily_Data[[#This Row],[Total_Sales]]/Daily_Data[[#This Row],[Rooms_Occupied]]</f>
        <v>1476</v>
      </c>
      <c r="S566" s="10">
        <f>Daily_Data[[#This Row],[Total_Sales]] / Daily_Data[[#This Row],[Max_rooms]]</f>
        <v>843.42857142857144</v>
      </c>
    </row>
    <row r="567" spans="1:19" x14ac:dyDescent="0.25">
      <c r="A567" s="6">
        <v>45492</v>
      </c>
      <c r="B567" s="20">
        <f>DATE(YEAR(Daily_Data[[#This Row],[Date]]), MONTH(Daily_Data[[#This Row],[Date]]), 1)</f>
        <v>45474</v>
      </c>
      <c r="C567" s="20" t="str">
        <f>TEXT(Daily_Data[[#This Row],[Month_key]],"mmmm")</f>
        <v>July</v>
      </c>
      <c r="D567" s="20" t="str">
        <f>TEXT(Daily_Data[[#This Row],[Month_key]],"yyyy")</f>
        <v>2024</v>
      </c>
      <c r="E567" s="7">
        <v>12</v>
      </c>
      <c r="F567" s="7">
        <v>14</v>
      </c>
      <c r="G567" s="8">
        <f>Daily_Data[[#This Row],[Rooms_Occupied]]/F567</f>
        <v>0.8571428571428571</v>
      </c>
      <c r="H567" s="7">
        <v>1939</v>
      </c>
      <c r="I567" s="7">
        <f>Daily_Data[[#This Row],[Room_rate]]*Daily_Data[[#This Row],[Rooms_Occupied]]</f>
        <v>23268</v>
      </c>
      <c r="J567" s="10">
        <f>Daily_Data[[#This Row],[Total_Sales]] * 0.22</f>
        <v>5118.96</v>
      </c>
      <c r="K567" s="10">
        <f>INDEX(Expense_master[Monthly_Rent],MATCH(Daily_Data[[#This Row],[Month_key]],Expense_master[Month_Key],0)) / INDEX(Expense_master[Days_in_Month],MATCH(Daily_Data[[#This Row],[Month_key]],Expense_master[Month_Key],0))</f>
        <v>8064.5161290322585</v>
      </c>
      <c r="L567" s="10">
        <f>SUMIFS(Expense_master[Staff_Salary],Expense_master[Month_Key],Daily_Data[[#This Row],[Month_key]]) / SUMIFS(Expense_master[Days_in_Month],Expense_master[Month_Key],Daily_Data[[#This Row],[Month_key]])</f>
        <v>2258.0645161290322</v>
      </c>
      <c r="M567" s="10">
        <f>Daily_Data[[#This Row],[Rooms_Occupied]] * (SUMIFS(Expense_master[Housekeeping_Laundy],Expense_master[Month_Key],Daily_Data[[#This Row],[Month_key]]) / SUMIFS(Occupancy_table[Monthly_rooms_Occupied],Occupancy_table[Month_Key],Daily_Data[[#This Row],[Month_key]]))</f>
        <v>362.53776435045313</v>
      </c>
      <c r="N5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1794.3920475587174</v>
      </c>
      <c r="O567" s="10">
        <f>SUMIFS(Expense_master[Monthly_Maintenance],Expense_master[Month_Key],Daily_Data[[#This Row],[Month_key]]) / SUMIFS(Expense_master[Days_in_Month],Expense_master[Month_Key], Daily_Data[[#This Row],[Month_key]])</f>
        <v>645.16129032258061</v>
      </c>
      <c r="P567" s="10">
        <f xml:space="preserve"> Daily_Data[[#This Row],[OTA Commision]] + Daily_Data[[#This Row],[Daily_Rent]]+Daily_Data[[#This Row],[Daily_Staff]]+Daily_Data[[#This Row],[Daily_HK]]+Daily_Data[[#This Row],[Daily_Electricity]] + Daily_Data[[#This Row],[Daily Maintenance]]</f>
        <v>18243.631747393039</v>
      </c>
      <c r="Q567" s="10">
        <f>Daily_Data[[#This Row],[Total_Sales]]-Daily_Data[[#This Row],[Total_Daily_Expense]]</f>
        <v>5024.3682526069606</v>
      </c>
      <c r="R567" s="10">
        <f>Daily_Data[[#This Row],[Total_Sales]]/Daily_Data[[#This Row],[Rooms_Occupied]]</f>
        <v>1939</v>
      </c>
      <c r="S567" s="10">
        <f>Daily_Data[[#This Row],[Total_Sales]] / Daily_Data[[#This Row],[Max_rooms]]</f>
        <v>1662</v>
      </c>
    </row>
    <row r="568" spans="1:19" x14ac:dyDescent="0.25">
      <c r="A568" s="6">
        <v>45493</v>
      </c>
      <c r="B568" s="20">
        <f>DATE(YEAR(Daily_Data[[#This Row],[Date]]), MONTH(Daily_Data[[#This Row],[Date]]), 1)</f>
        <v>45474</v>
      </c>
      <c r="C568" s="20" t="str">
        <f>TEXT(Daily_Data[[#This Row],[Month_key]],"mmmm")</f>
        <v>July</v>
      </c>
      <c r="D568" s="20" t="str">
        <f>TEXT(Daily_Data[[#This Row],[Month_key]],"yyyy")</f>
        <v>2024</v>
      </c>
      <c r="E568" s="7">
        <v>9</v>
      </c>
      <c r="F568" s="7">
        <v>14</v>
      </c>
      <c r="G568" s="8">
        <f>Daily_Data[[#This Row],[Rooms_Occupied]]/F568</f>
        <v>0.6428571428571429</v>
      </c>
      <c r="H568" s="7">
        <v>1379</v>
      </c>
      <c r="I568" s="7">
        <f>Daily_Data[[#This Row],[Room_rate]]*Daily_Data[[#This Row],[Rooms_Occupied]]</f>
        <v>12411</v>
      </c>
      <c r="J568" s="10">
        <f>Daily_Data[[#This Row],[Total_Sales]] * 0.22</f>
        <v>2730.42</v>
      </c>
      <c r="K568" s="10">
        <f>INDEX(Expense_master[Monthly_Rent],MATCH(Daily_Data[[#This Row],[Month_key]],Expense_master[Month_Key],0)) / INDEX(Expense_master[Days_in_Month],MATCH(Daily_Data[[#This Row],[Month_key]],Expense_master[Month_Key],0))</f>
        <v>8064.5161290322585</v>
      </c>
      <c r="L568" s="10">
        <f>SUMIFS(Expense_master[Staff_Salary],Expense_master[Month_Key],Daily_Data[[#This Row],[Month_key]]) / SUMIFS(Expense_master[Days_in_Month],Expense_master[Month_Key],Daily_Data[[#This Row],[Month_key]])</f>
        <v>2258.0645161290322</v>
      </c>
      <c r="M568" s="10">
        <f>Daily_Data[[#This Row],[Rooms_Occupied]] * (SUMIFS(Expense_master[Housekeeping_Laundy],Expense_master[Month_Key],Daily_Data[[#This Row],[Month_key]]) / SUMIFS(Occupancy_table[Monthly_rooms_Occupied],Occupancy_table[Month_Key],Daily_Data[[#This Row],[Month_key]]))</f>
        <v>271.90332326283988</v>
      </c>
      <c r="N5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1512.8198421206512</v>
      </c>
      <c r="O568" s="10">
        <f>SUMIFS(Expense_master[Monthly_Maintenance],Expense_master[Month_Key],Daily_Data[[#This Row],[Month_key]]) / SUMIFS(Expense_master[Days_in_Month],Expense_master[Month_Key], Daily_Data[[#This Row],[Month_key]])</f>
        <v>645.16129032258061</v>
      </c>
      <c r="P568" s="10">
        <f xml:space="preserve"> Daily_Data[[#This Row],[OTA Commision]] + Daily_Data[[#This Row],[Daily_Rent]]+Daily_Data[[#This Row],[Daily_Staff]]+Daily_Data[[#This Row],[Daily_HK]]+Daily_Data[[#This Row],[Daily_Electricity]] + Daily_Data[[#This Row],[Daily Maintenance]]</f>
        <v>15482.885100867365</v>
      </c>
      <c r="Q568" s="10">
        <f>Daily_Data[[#This Row],[Total_Sales]]-Daily_Data[[#This Row],[Total_Daily_Expense]]</f>
        <v>-3071.8851008673646</v>
      </c>
      <c r="R568" s="10">
        <f>Daily_Data[[#This Row],[Total_Sales]]/Daily_Data[[#This Row],[Rooms_Occupied]]</f>
        <v>1379</v>
      </c>
      <c r="S568" s="10">
        <f>Daily_Data[[#This Row],[Total_Sales]] / Daily_Data[[#This Row],[Max_rooms]]</f>
        <v>886.5</v>
      </c>
    </row>
    <row r="569" spans="1:19" x14ac:dyDescent="0.25">
      <c r="A569" s="6">
        <v>45494</v>
      </c>
      <c r="B569" s="20">
        <f>DATE(YEAR(Daily_Data[[#This Row],[Date]]), MONTH(Daily_Data[[#This Row],[Date]]), 1)</f>
        <v>45474</v>
      </c>
      <c r="C569" s="20" t="str">
        <f>TEXT(Daily_Data[[#This Row],[Month_key]],"mmmm")</f>
        <v>July</v>
      </c>
      <c r="D569" s="20" t="str">
        <f>TEXT(Daily_Data[[#This Row],[Month_key]],"yyyy")</f>
        <v>2024</v>
      </c>
      <c r="E569" s="7">
        <v>9</v>
      </c>
      <c r="F569" s="7">
        <v>14</v>
      </c>
      <c r="G569" s="8">
        <f>Daily_Data[[#This Row],[Rooms_Occupied]]/F569</f>
        <v>0.6428571428571429</v>
      </c>
      <c r="H569" s="7">
        <v>1737</v>
      </c>
      <c r="I569" s="7">
        <f>Daily_Data[[#This Row],[Room_rate]]*Daily_Data[[#This Row],[Rooms_Occupied]]</f>
        <v>15633</v>
      </c>
      <c r="J569" s="10">
        <f>Daily_Data[[#This Row],[Total_Sales]] * 0.22</f>
        <v>3439.26</v>
      </c>
      <c r="K569" s="10">
        <f>INDEX(Expense_master[Monthly_Rent],MATCH(Daily_Data[[#This Row],[Month_key]],Expense_master[Month_Key],0)) / INDEX(Expense_master[Days_in_Month],MATCH(Daily_Data[[#This Row],[Month_key]],Expense_master[Month_Key],0))</f>
        <v>8064.5161290322585</v>
      </c>
      <c r="L569" s="10">
        <f>SUMIFS(Expense_master[Staff_Salary],Expense_master[Month_Key],Daily_Data[[#This Row],[Month_key]]) / SUMIFS(Expense_master[Days_in_Month],Expense_master[Month_Key],Daily_Data[[#This Row],[Month_key]])</f>
        <v>2258.0645161290322</v>
      </c>
      <c r="M569" s="10">
        <f>Daily_Data[[#This Row],[Rooms_Occupied]] * (SUMIFS(Expense_master[Housekeeping_Laundy],Expense_master[Month_Key],Daily_Data[[#This Row],[Month_key]]) / SUMIFS(Occupancy_table[Monthly_rooms_Occupied],Occupancy_table[Month_Key],Daily_Data[[#This Row],[Month_key]]))</f>
        <v>271.90332326283988</v>
      </c>
      <c r="N5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1512.8198421206512</v>
      </c>
      <c r="O569" s="10">
        <f>SUMIFS(Expense_master[Monthly_Maintenance],Expense_master[Month_Key],Daily_Data[[#This Row],[Month_key]]) / SUMIFS(Expense_master[Days_in_Month],Expense_master[Month_Key], Daily_Data[[#This Row],[Month_key]])</f>
        <v>645.16129032258061</v>
      </c>
      <c r="P569" s="10">
        <f xml:space="preserve"> Daily_Data[[#This Row],[OTA Commision]] + Daily_Data[[#This Row],[Daily_Rent]]+Daily_Data[[#This Row],[Daily_Staff]]+Daily_Data[[#This Row],[Daily_HK]]+Daily_Data[[#This Row],[Daily_Electricity]] + Daily_Data[[#This Row],[Daily Maintenance]]</f>
        <v>16191.725100867365</v>
      </c>
      <c r="Q569" s="10">
        <f>Daily_Data[[#This Row],[Total_Sales]]-Daily_Data[[#This Row],[Total_Daily_Expense]]</f>
        <v>-558.72510086736474</v>
      </c>
      <c r="R569" s="10">
        <f>Daily_Data[[#This Row],[Total_Sales]]/Daily_Data[[#This Row],[Rooms_Occupied]]</f>
        <v>1737</v>
      </c>
      <c r="S569" s="10">
        <f>Daily_Data[[#This Row],[Total_Sales]] / Daily_Data[[#This Row],[Max_rooms]]</f>
        <v>1116.6428571428571</v>
      </c>
    </row>
    <row r="570" spans="1:19" x14ac:dyDescent="0.25">
      <c r="A570" s="6">
        <v>45495</v>
      </c>
      <c r="B570" s="20">
        <f>DATE(YEAR(Daily_Data[[#This Row],[Date]]), MONTH(Daily_Data[[#This Row],[Date]]), 1)</f>
        <v>45474</v>
      </c>
      <c r="C570" s="20" t="str">
        <f>TEXT(Daily_Data[[#This Row],[Month_key]],"mmmm")</f>
        <v>July</v>
      </c>
      <c r="D570" s="20" t="str">
        <f>TEXT(Daily_Data[[#This Row],[Month_key]],"yyyy")</f>
        <v>2024</v>
      </c>
      <c r="E570" s="7">
        <v>11</v>
      </c>
      <c r="F570" s="7">
        <v>14</v>
      </c>
      <c r="G570" s="8">
        <f>Daily_Data[[#This Row],[Rooms_Occupied]]/F570</f>
        <v>0.7857142857142857</v>
      </c>
      <c r="H570" s="7">
        <v>1327</v>
      </c>
      <c r="I570" s="7">
        <f>Daily_Data[[#This Row],[Room_rate]]*Daily_Data[[#This Row],[Rooms_Occupied]]</f>
        <v>14597</v>
      </c>
      <c r="J570" s="10">
        <f>Daily_Data[[#This Row],[Total_Sales]] * 0.22</f>
        <v>3211.34</v>
      </c>
      <c r="K570" s="10">
        <f>INDEX(Expense_master[Monthly_Rent],MATCH(Daily_Data[[#This Row],[Month_key]],Expense_master[Month_Key],0)) / INDEX(Expense_master[Days_in_Month],MATCH(Daily_Data[[#This Row],[Month_key]],Expense_master[Month_Key],0))</f>
        <v>8064.5161290322585</v>
      </c>
      <c r="L570" s="10">
        <f>SUMIFS(Expense_master[Staff_Salary],Expense_master[Month_Key],Daily_Data[[#This Row],[Month_key]]) / SUMIFS(Expense_master[Days_in_Month],Expense_master[Month_Key],Daily_Data[[#This Row],[Month_key]])</f>
        <v>2258.0645161290322</v>
      </c>
      <c r="M570" s="10">
        <f>Daily_Data[[#This Row],[Rooms_Occupied]] * (SUMIFS(Expense_master[Housekeeping_Laundy],Expense_master[Month_Key],Daily_Data[[#This Row],[Month_key]]) / SUMIFS(Occupancy_table[Monthly_rooms_Occupied],Occupancy_table[Month_Key],Daily_Data[[#This Row],[Month_key]]))</f>
        <v>332.32628398791542</v>
      </c>
      <c r="N5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1700.5346457460287</v>
      </c>
      <c r="O570" s="10">
        <f>SUMIFS(Expense_master[Monthly_Maintenance],Expense_master[Month_Key],Daily_Data[[#This Row],[Month_key]]) / SUMIFS(Expense_master[Days_in_Month],Expense_master[Month_Key], Daily_Data[[#This Row],[Month_key]])</f>
        <v>645.16129032258061</v>
      </c>
      <c r="P570" s="10">
        <f xml:space="preserve"> Daily_Data[[#This Row],[OTA Commision]] + Daily_Data[[#This Row],[Daily_Rent]]+Daily_Data[[#This Row],[Daily_Staff]]+Daily_Data[[#This Row],[Daily_HK]]+Daily_Data[[#This Row],[Daily_Electricity]] + Daily_Data[[#This Row],[Daily Maintenance]]</f>
        <v>16211.942865217816</v>
      </c>
      <c r="Q570" s="10">
        <f>Daily_Data[[#This Row],[Total_Sales]]-Daily_Data[[#This Row],[Total_Daily_Expense]]</f>
        <v>-1614.9428652178158</v>
      </c>
      <c r="R570" s="10">
        <f>Daily_Data[[#This Row],[Total_Sales]]/Daily_Data[[#This Row],[Rooms_Occupied]]</f>
        <v>1327</v>
      </c>
      <c r="S570" s="10">
        <f>Daily_Data[[#This Row],[Total_Sales]] / Daily_Data[[#This Row],[Max_rooms]]</f>
        <v>1042.6428571428571</v>
      </c>
    </row>
    <row r="571" spans="1:19" x14ac:dyDescent="0.25">
      <c r="A571" s="6">
        <v>45496</v>
      </c>
      <c r="B571" s="20">
        <f>DATE(YEAR(Daily_Data[[#This Row],[Date]]), MONTH(Daily_Data[[#This Row],[Date]]), 1)</f>
        <v>45474</v>
      </c>
      <c r="C571" s="20" t="str">
        <f>TEXT(Daily_Data[[#This Row],[Month_key]],"mmmm")</f>
        <v>July</v>
      </c>
      <c r="D571" s="20" t="str">
        <f>TEXT(Daily_Data[[#This Row],[Month_key]],"yyyy")</f>
        <v>2024</v>
      </c>
      <c r="E571" s="7">
        <v>10</v>
      </c>
      <c r="F571" s="7">
        <v>14</v>
      </c>
      <c r="G571" s="8">
        <f>Daily_Data[[#This Row],[Rooms_Occupied]]/F571</f>
        <v>0.7142857142857143</v>
      </c>
      <c r="H571" s="7">
        <v>1116</v>
      </c>
      <c r="I571" s="7">
        <f>Daily_Data[[#This Row],[Room_rate]]*Daily_Data[[#This Row],[Rooms_Occupied]]</f>
        <v>11160</v>
      </c>
      <c r="J571" s="10">
        <f>Daily_Data[[#This Row],[Total_Sales]] * 0.22</f>
        <v>2455.1999999999998</v>
      </c>
      <c r="K571" s="10">
        <f>INDEX(Expense_master[Monthly_Rent],MATCH(Daily_Data[[#This Row],[Month_key]],Expense_master[Month_Key],0)) / INDEX(Expense_master[Days_in_Month],MATCH(Daily_Data[[#This Row],[Month_key]],Expense_master[Month_Key],0))</f>
        <v>8064.5161290322585</v>
      </c>
      <c r="L571" s="10">
        <f>SUMIFS(Expense_master[Staff_Salary],Expense_master[Month_Key],Daily_Data[[#This Row],[Month_key]]) / SUMIFS(Expense_master[Days_in_Month],Expense_master[Month_Key],Daily_Data[[#This Row],[Month_key]])</f>
        <v>2258.0645161290322</v>
      </c>
      <c r="M571" s="10">
        <f>Daily_Data[[#This Row],[Rooms_Occupied]] * (SUMIFS(Expense_master[Housekeeping_Laundy],Expense_master[Month_Key],Daily_Data[[#This Row],[Month_key]]) / SUMIFS(Occupancy_table[Monthly_rooms_Occupied],Occupancy_table[Month_Key],Daily_Data[[#This Row],[Month_key]]))</f>
        <v>302.11480362537765</v>
      </c>
      <c r="N5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1606.6772439333399</v>
      </c>
      <c r="O571" s="10">
        <f>SUMIFS(Expense_master[Monthly_Maintenance],Expense_master[Month_Key],Daily_Data[[#This Row],[Month_key]]) / SUMIFS(Expense_master[Days_in_Month],Expense_master[Month_Key], Daily_Data[[#This Row],[Month_key]])</f>
        <v>645.16129032258061</v>
      </c>
      <c r="P571" s="10">
        <f xml:space="preserve"> Daily_Data[[#This Row],[OTA Commision]] + Daily_Data[[#This Row],[Daily_Rent]]+Daily_Data[[#This Row],[Daily_Staff]]+Daily_Data[[#This Row],[Daily_HK]]+Daily_Data[[#This Row],[Daily_Electricity]] + Daily_Data[[#This Row],[Daily Maintenance]]</f>
        <v>15331.73398304259</v>
      </c>
      <c r="Q571" s="10">
        <f>Daily_Data[[#This Row],[Total_Sales]]-Daily_Data[[#This Row],[Total_Daily_Expense]]</f>
        <v>-4171.7339830425899</v>
      </c>
      <c r="R571" s="10">
        <f>Daily_Data[[#This Row],[Total_Sales]]/Daily_Data[[#This Row],[Rooms_Occupied]]</f>
        <v>1116</v>
      </c>
      <c r="S571" s="10">
        <f>Daily_Data[[#This Row],[Total_Sales]] / Daily_Data[[#This Row],[Max_rooms]]</f>
        <v>797.14285714285711</v>
      </c>
    </row>
    <row r="572" spans="1:19" x14ac:dyDescent="0.25">
      <c r="A572" s="6">
        <v>45497</v>
      </c>
      <c r="B572" s="20">
        <f>DATE(YEAR(Daily_Data[[#This Row],[Date]]), MONTH(Daily_Data[[#This Row],[Date]]), 1)</f>
        <v>45474</v>
      </c>
      <c r="C572" s="20" t="str">
        <f>TEXT(Daily_Data[[#This Row],[Month_key]],"mmmm")</f>
        <v>July</v>
      </c>
      <c r="D572" s="20" t="str">
        <f>TEXT(Daily_Data[[#This Row],[Month_key]],"yyyy")</f>
        <v>2024</v>
      </c>
      <c r="E572" s="7">
        <v>14</v>
      </c>
      <c r="F572" s="7">
        <v>14</v>
      </c>
      <c r="G572" s="8">
        <f>Daily_Data[[#This Row],[Rooms_Occupied]]/F572</f>
        <v>1</v>
      </c>
      <c r="H572" s="7">
        <v>1243</v>
      </c>
      <c r="I572" s="7">
        <f>Daily_Data[[#This Row],[Room_rate]]*Daily_Data[[#This Row],[Rooms_Occupied]]</f>
        <v>17402</v>
      </c>
      <c r="J572" s="10">
        <f>Daily_Data[[#This Row],[Total_Sales]] * 0.22</f>
        <v>3828.44</v>
      </c>
      <c r="K572" s="10">
        <f>INDEX(Expense_master[Monthly_Rent],MATCH(Daily_Data[[#This Row],[Month_key]],Expense_master[Month_Key],0)) / INDEX(Expense_master[Days_in_Month],MATCH(Daily_Data[[#This Row],[Month_key]],Expense_master[Month_Key],0))</f>
        <v>8064.5161290322585</v>
      </c>
      <c r="L572" s="10">
        <f>SUMIFS(Expense_master[Staff_Salary],Expense_master[Month_Key],Daily_Data[[#This Row],[Month_key]]) / SUMIFS(Expense_master[Days_in_Month],Expense_master[Month_Key],Daily_Data[[#This Row],[Month_key]])</f>
        <v>2258.0645161290322</v>
      </c>
      <c r="M572" s="10">
        <f>Daily_Data[[#This Row],[Rooms_Occupied]] * (SUMIFS(Expense_master[Housekeeping_Laundy],Expense_master[Month_Key],Daily_Data[[#This Row],[Month_key]]) / SUMIFS(Occupancy_table[Monthly_rooms_Occupied],Occupancy_table[Month_Key],Daily_Data[[#This Row],[Month_key]]))</f>
        <v>422.96072507552867</v>
      </c>
      <c r="N5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1982.1068511840949</v>
      </c>
      <c r="O572" s="10">
        <f>SUMIFS(Expense_master[Monthly_Maintenance],Expense_master[Month_Key],Daily_Data[[#This Row],[Month_key]]) / SUMIFS(Expense_master[Days_in_Month],Expense_master[Month_Key], Daily_Data[[#This Row],[Month_key]])</f>
        <v>645.16129032258061</v>
      </c>
      <c r="P572" s="10">
        <f xml:space="preserve"> Daily_Data[[#This Row],[OTA Commision]] + Daily_Data[[#This Row],[Daily_Rent]]+Daily_Data[[#This Row],[Daily_Staff]]+Daily_Data[[#This Row],[Daily_HK]]+Daily_Data[[#This Row],[Daily_Electricity]] + Daily_Data[[#This Row],[Daily Maintenance]]</f>
        <v>17201.249511743492</v>
      </c>
      <c r="Q572" s="10">
        <f>Daily_Data[[#This Row],[Total_Sales]]-Daily_Data[[#This Row],[Total_Daily_Expense]]</f>
        <v>200.75048825650811</v>
      </c>
      <c r="R572" s="10">
        <f>Daily_Data[[#This Row],[Total_Sales]]/Daily_Data[[#This Row],[Rooms_Occupied]]</f>
        <v>1243</v>
      </c>
      <c r="S572" s="10">
        <f>Daily_Data[[#This Row],[Total_Sales]] / Daily_Data[[#This Row],[Max_rooms]]</f>
        <v>1243</v>
      </c>
    </row>
    <row r="573" spans="1:19" x14ac:dyDescent="0.25">
      <c r="A573" s="6">
        <v>45498</v>
      </c>
      <c r="B573" s="20">
        <f>DATE(YEAR(Daily_Data[[#This Row],[Date]]), MONTH(Daily_Data[[#This Row],[Date]]), 1)</f>
        <v>45474</v>
      </c>
      <c r="C573" s="20" t="str">
        <f>TEXT(Daily_Data[[#This Row],[Month_key]],"mmmm")</f>
        <v>July</v>
      </c>
      <c r="D573" s="20" t="str">
        <f>TEXT(Daily_Data[[#This Row],[Month_key]],"yyyy")</f>
        <v>2024</v>
      </c>
      <c r="E573" s="7">
        <v>14</v>
      </c>
      <c r="F573" s="7">
        <v>14</v>
      </c>
      <c r="G573" s="8">
        <f>Daily_Data[[#This Row],[Rooms_Occupied]]/F573</f>
        <v>1</v>
      </c>
      <c r="H573" s="7">
        <v>1013</v>
      </c>
      <c r="I573" s="7">
        <f>Daily_Data[[#This Row],[Room_rate]]*Daily_Data[[#This Row],[Rooms_Occupied]]</f>
        <v>14182</v>
      </c>
      <c r="J573" s="10">
        <f>Daily_Data[[#This Row],[Total_Sales]] * 0.22</f>
        <v>3120.04</v>
      </c>
      <c r="K573" s="10">
        <f>INDEX(Expense_master[Monthly_Rent],MATCH(Daily_Data[[#This Row],[Month_key]],Expense_master[Month_Key],0)) / INDEX(Expense_master[Days_in_Month],MATCH(Daily_Data[[#This Row],[Month_key]],Expense_master[Month_Key],0))</f>
        <v>8064.5161290322585</v>
      </c>
      <c r="L573" s="10">
        <f>SUMIFS(Expense_master[Staff_Salary],Expense_master[Month_Key],Daily_Data[[#This Row],[Month_key]]) / SUMIFS(Expense_master[Days_in_Month],Expense_master[Month_Key],Daily_Data[[#This Row],[Month_key]])</f>
        <v>2258.0645161290322</v>
      </c>
      <c r="M573" s="10">
        <f>Daily_Data[[#This Row],[Rooms_Occupied]] * (SUMIFS(Expense_master[Housekeeping_Laundy],Expense_master[Month_Key],Daily_Data[[#This Row],[Month_key]]) / SUMIFS(Occupancy_table[Monthly_rooms_Occupied],Occupancy_table[Month_Key],Daily_Data[[#This Row],[Month_key]]))</f>
        <v>422.96072507552867</v>
      </c>
      <c r="N5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1982.1068511840949</v>
      </c>
      <c r="O573" s="10">
        <f>SUMIFS(Expense_master[Monthly_Maintenance],Expense_master[Month_Key],Daily_Data[[#This Row],[Month_key]]) / SUMIFS(Expense_master[Days_in_Month],Expense_master[Month_Key], Daily_Data[[#This Row],[Month_key]])</f>
        <v>645.16129032258061</v>
      </c>
      <c r="P573" s="10">
        <f xml:space="preserve"> Daily_Data[[#This Row],[OTA Commision]] + Daily_Data[[#This Row],[Daily_Rent]]+Daily_Data[[#This Row],[Daily_Staff]]+Daily_Data[[#This Row],[Daily_HK]]+Daily_Data[[#This Row],[Daily_Electricity]] + Daily_Data[[#This Row],[Daily Maintenance]]</f>
        <v>16492.849511743494</v>
      </c>
      <c r="Q573" s="10">
        <f>Daily_Data[[#This Row],[Total_Sales]]-Daily_Data[[#This Row],[Total_Daily_Expense]]</f>
        <v>-2310.8495117434941</v>
      </c>
      <c r="R573" s="10">
        <f>Daily_Data[[#This Row],[Total_Sales]]/Daily_Data[[#This Row],[Rooms_Occupied]]</f>
        <v>1013</v>
      </c>
      <c r="S573" s="10">
        <f>Daily_Data[[#This Row],[Total_Sales]] / Daily_Data[[#This Row],[Max_rooms]]</f>
        <v>1013</v>
      </c>
    </row>
    <row r="574" spans="1:19" x14ac:dyDescent="0.25">
      <c r="A574" s="6">
        <v>45499</v>
      </c>
      <c r="B574" s="20">
        <f>DATE(YEAR(Daily_Data[[#This Row],[Date]]), MONTH(Daily_Data[[#This Row],[Date]]), 1)</f>
        <v>45474</v>
      </c>
      <c r="C574" s="20" t="str">
        <f>TEXT(Daily_Data[[#This Row],[Month_key]],"mmmm")</f>
        <v>July</v>
      </c>
      <c r="D574" s="20" t="str">
        <f>TEXT(Daily_Data[[#This Row],[Month_key]],"yyyy")</f>
        <v>2024</v>
      </c>
      <c r="E574" s="7">
        <v>14</v>
      </c>
      <c r="F574" s="7">
        <v>14</v>
      </c>
      <c r="G574" s="8">
        <f>Daily_Data[[#This Row],[Rooms_Occupied]]/F574</f>
        <v>1</v>
      </c>
      <c r="H574" s="7">
        <v>1477</v>
      </c>
      <c r="I574" s="7">
        <f>Daily_Data[[#This Row],[Room_rate]]*Daily_Data[[#This Row],[Rooms_Occupied]]</f>
        <v>20678</v>
      </c>
      <c r="J574" s="10">
        <f>Daily_Data[[#This Row],[Total_Sales]] * 0.22</f>
        <v>4549.16</v>
      </c>
      <c r="K574" s="10">
        <f>INDEX(Expense_master[Monthly_Rent],MATCH(Daily_Data[[#This Row],[Month_key]],Expense_master[Month_Key],0)) / INDEX(Expense_master[Days_in_Month],MATCH(Daily_Data[[#This Row],[Month_key]],Expense_master[Month_Key],0))</f>
        <v>8064.5161290322585</v>
      </c>
      <c r="L574" s="10">
        <f>SUMIFS(Expense_master[Staff_Salary],Expense_master[Month_Key],Daily_Data[[#This Row],[Month_key]]) / SUMIFS(Expense_master[Days_in_Month],Expense_master[Month_Key],Daily_Data[[#This Row],[Month_key]])</f>
        <v>2258.0645161290322</v>
      </c>
      <c r="M574" s="10">
        <f>Daily_Data[[#This Row],[Rooms_Occupied]] * (SUMIFS(Expense_master[Housekeeping_Laundy],Expense_master[Month_Key],Daily_Data[[#This Row],[Month_key]]) / SUMIFS(Occupancy_table[Monthly_rooms_Occupied],Occupancy_table[Month_Key],Daily_Data[[#This Row],[Month_key]]))</f>
        <v>422.96072507552867</v>
      </c>
      <c r="N5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1982.1068511840949</v>
      </c>
      <c r="O574" s="10">
        <f>SUMIFS(Expense_master[Monthly_Maintenance],Expense_master[Month_Key],Daily_Data[[#This Row],[Month_key]]) / SUMIFS(Expense_master[Days_in_Month],Expense_master[Month_Key], Daily_Data[[#This Row],[Month_key]])</f>
        <v>645.16129032258061</v>
      </c>
      <c r="P574" s="10">
        <f xml:space="preserve"> Daily_Data[[#This Row],[OTA Commision]] + Daily_Data[[#This Row],[Daily_Rent]]+Daily_Data[[#This Row],[Daily_Staff]]+Daily_Data[[#This Row],[Daily_HK]]+Daily_Data[[#This Row],[Daily_Electricity]] + Daily_Data[[#This Row],[Daily Maintenance]]</f>
        <v>17921.969511743493</v>
      </c>
      <c r="Q574" s="10">
        <f>Daily_Data[[#This Row],[Total_Sales]]-Daily_Data[[#This Row],[Total_Daily_Expense]]</f>
        <v>2756.0304882565069</v>
      </c>
      <c r="R574" s="10">
        <f>Daily_Data[[#This Row],[Total_Sales]]/Daily_Data[[#This Row],[Rooms_Occupied]]</f>
        <v>1477</v>
      </c>
      <c r="S574" s="10">
        <f>Daily_Data[[#This Row],[Total_Sales]] / Daily_Data[[#This Row],[Max_rooms]]</f>
        <v>1477</v>
      </c>
    </row>
    <row r="575" spans="1:19" x14ac:dyDescent="0.25">
      <c r="A575" s="6">
        <v>45500</v>
      </c>
      <c r="B575" s="20">
        <f>DATE(YEAR(Daily_Data[[#This Row],[Date]]), MONTH(Daily_Data[[#This Row],[Date]]), 1)</f>
        <v>45474</v>
      </c>
      <c r="C575" s="20" t="str">
        <f>TEXT(Daily_Data[[#This Row],[Month_key]],"mmmm")</f>
        <v>July</v>
      </c>
      <c r="D575" s="20" t="str">
        <f>TEXT(Daily_Data[[#This Row],[Month_key]],"yyyy")</f>
        <v>2024</v>
      </c>
      <c r="E575" s="7">
        <v>11</v>
      </c>
      <c r="F575" s="7">
        <v>14</v>
      </c>
      <c r="G575" s="8">
        <f>Daily_Data[[#This Row],[Rooms_Occupied]]/F575</f>
        <v>0.7857142857142857</v>
      </c>
      <c r="H575" s="7">
        <v>1414</v>
      </c>
      <c r="I575" s="7">
        <f>Daily_Data[[#This Row],[Room_rate]]*Daily_Data[[#This Row],[Rooms_Occupied]]</f>
        <v>15554</v>
      </c>
      <c r="J575" s="10">
        <f>Daily_Data[[#This Row],[Total_Sales]] * 0.22</f>
        <v>3421.88</v>
      </c>
      <c r="K575" s="10">
        <f>INDEX(Expense_master[Monthly_Rent],MATCH(Daily_Data[[#This Row],[Month_key]],Expense_master[Month_Key],0)) / INDEX(Expense_master[Days_in_Month],MATCH(Daily_Data[[#This Row],[Month_key]],Expense_master[Month_Key],0))</f>
        <v>8064.5161290322585</v>
      </c>
      <c r="L575" s="10">
        <f>SUMIFS(Expense_master[Staff_Salary],Expense_master[Month_Key],Daily_Data[[#This Row],[Month_key]]) / SUMIFS(Expense_master[Days_in_Month],Expense_master[Month_Key],Daily_Data[[#This Row],[Month_key]])</f>
        <v>2258.0645161290322</v>
      </c>
      <c r="M575" s="10">
        <f>Daily_Data[[#This Row],[Rooms_Occupied]] * (SUMIFS(Expense_master[Housekeeping_Laundy],Expense_master[Month_Key],Daily_Data[[#This Row],[Month_key]]) / SUMIFS(Occupancy_table[Monthly_rooms_Occupied],Occupancy_table[Month_Key],Daily_Data[[#This Row],[Month_key]]))</f>
        <v>332.32628398791542</v>
      </c>
      <c r="N5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1700.5346457460287</v>
      </c>
      <c r="O575" s="10">
        <f>SUMIFS(Expense_master[Monthly_Maintenance],Expense_master[Month_Key],Daily_Data[[#This Row],[Month_key]]) / SUMIFS(Expense_master[Days_in_Month],Expense_master[Month_Key], Daily_Data[[#This Row],[Month_key]])</f>
        <v>645.16129032258061</v>
      </c>
      <c r="P575" s="10">
        <f xml:space="preserve"> Daily_Data[[#This Row],[OTA Commision]] + Daily_Data[[#This Row],[Daily_Rent]]+Daily_Data[[#This Row],[Daily_Staff]]+Daily_Data[[#This Row],[Daily_HK]]+Daily_Data[[#This Row],[Daily_Electricity]] + Daily_Data[[#This Row],[Daily Maintenance]]</f>
        <v>16422.482865217815</v>
      </c>
      <c r="Q575" s="10">
        <f>Daily_Data[[#This Row],[Total_Sales]]-Daily_Data[[#This Row],[Total_Daily_Expense]]</f>
        <v>-868.48286521781483</v>
      </c>
      <c r="R575" s="10">
        <f>Daily_Data[[#This Row],[Total_Sales]]/Daily_Data[[#This Row],[Rooms_Occupied]]</f>
        <v>1414</v>
      </c>
      <c r="S575" s="10">
        <f>Daily_Data[[#This Row],[Total_Sales]] / Daily_Data[[#This Row],[Max_rooms]]</f>
        <v>1111</v>
      </c>
    </row>
    <row r="576" spans="1:19" x14ac:dyDescent="0.25">
      <c r="A576" s="6">
        <v>45501</v>
      </c>
      <c r="B576" s="20">
        <f>DATE(YEAR(Daily_Data[[#This Row],[Date]]), MONTH(Daily_Data[[#This Row],[Date]]), 1)</f>
        <v>45474</v>
      </c>
      <c r="C576" s="20" t="str">
        <f>TEXT(Daily_Data[[#This Row],[Month_key]],"mmmm")</f>
        <v>July</v>
      </c>
      <c r="D576" s="20" t="str">
        <f>TEXT(Daily_Data[[#This Row],[Month_key]],"yyyy")</f>
        <v>2024</v>
      </c>
      <c r="E576" s="7">
        <v>11</v>
      </c>
      <c r="F576" s="7">
        <v>14</v>
      </c>
      <c r="G576" s="8">
        <f>Daily_Data[[#This Row],[Rooms_Occupied]]/F576</f>
        <v>0.7857142857142857</v>
      </c>
      <c r="H576" s="7">
        <v>1522</v>
      </c>
      <c r="I576" s="7">
        <f>Daily_Data[[#This Row],[Room_rate]]*Daily_Data[[#This Row],[Rooms_Occupied]]</f>
        <v>16742</v>
      </c>
      <c r="J576" s="10">
        <f>Daily_Data[[#This Row],[Total_Sales]] * 0.22</f>
        <v>3683.2400000000002</v>
      </c>
      <c r="K576" s="10">
        <f>INDEX(Expense_master[Monthly_Rent],MATCH(Daily_Data[[#This Row],[Month_key]],Expense_master[Month_Key],0)) / INDEX(Expense_master[Days_in_Month],MATCH(Daily_Data[[#This Row],[Month_key]],Expense_master[Month_Key],0))</f>
        <v>8064.5161290322585</v>
      </c>
      <c r="L576" s="10">
        <f>SUMIFS(Expense_master[Staff_Salary],Expense_master[Month_Key],Daily_Data[[#This Row],[Month_key]]) / SUMIFS(Expense_master[Days_in_Month],Expense_master[Month_Key],Daily_Data[[#This Row],[Month_key]])</f>
        <v>2258.0645161290322</v>
      </c>
      <c r="M576" s="10">
        <f>Daily_Data[[#This Row],[Rooms_Occupied]] * (SUMIFS(Expense_master[Housekeeping_Laundy],Expense_master[Month_Key],Daily_Data[[#This Row],[Month_key]]) / SUMIFS(Occupancy_table[Monthly_rooms_Occupied],Occupancy_table[Month_Key],Daily_Data[[#This Row],[Month_key]]))</f>
        <v>332.32628398791542</v>
      </c>
      <c r="N5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1700.5346457460287</v>
      </c>
      <c r="O576" s="10">
        <f>SUMIFS(Expense_master[Monthly_Maintenance],Expense_master[Month_Key],Daily_Data[[#This Row],[Month_key]]) / SUMIFS(Expense_master[Days_in_Month],Expense_master[Month_Key], Daily_Data[[#This Row],[Month_key]])</f>
        <v>645.16129032258061</v>
      </c>
      <c r="P576" s="10">
        <f xml:space="preserve"> Daily_Data[[#This Row],[OTA Commision]] + Daily_Data[[#This Row],[Daily_Rent]]+Daily_Data[[#This Row],[Daily_Staff]]+Daily_Data[[#This Row],[Daily_HK]]+Daily_Data[[#This Row],[Daily_Electricity]] + Daily_Data[[#This Row],[Daily Maintenance]]</f>
        <v>16683.842865217815</v>
      </c>
      <c r="Q576" s="10">
        <f>Daily_Data[[#This Row],[Total_Sales]]-Daily_Data[[#This Row],[Total_Daily_Expense]]</f>
        <v>58.157134782184585</v>
      </c>
      <c r="R576" s="10">
        <f>Daily_Data[[#This Row],[Total_Sales]]/Daily_Data[[#This Row],[Rooms_Occupied]]</f>
        <v>1522</v>
      </c>
      <c r="S576" s="10">
        <f>Daily_Data[[#This Row],[Total_Sales]] / Daily_Data[[#This Row],[Max_rooms]]</f>
        <v>1195.8571428571429</v>
      </c>
    </row>
    <row r="577" spans="1:19" x14ac:dyDescent="0.25">
      <c r="A577" s="6">
        <v>45502</v>
      </c>
      <c r="B577" s="20">
        <f>DATE(YEAR(Daily_Data[[#This Row],[Date]]), MONTH(Daily_Data[[#This Row],[Date]]), 1)</f>
        <v>45474</v>
      </c>
      <c r="C577" s="20" t="str">
        <f>TEXT(Daily_Data[[#This Row],[Month_key]],"mmmm")</f>
        <v>July</v>
      </c>
      <c r="D577" s="20" t="str">
        <f>TEXT(Daily_Data[[#This Row],[Month_key]],"yyyy")</f>
        <v>2024</v>
      </c>
      <c r="E577" s="7">
        <v>10</v>
      </c>
      <c r="F577" s="7">
        <v>14</v>
      </c>
      <c r="G577" s="8">
        <f>Daily_Data[[#This Row],[Rooms_Occupied]]/F577</f>
        <v>0.7142857142857143</v>
      </c>
      <c r="H577" s="7">
        <v>1913</v>
      </c>
      <c r="I577" s="7">
        <f>Daily_Data[[#This Row],[Room_rate]]*Daily_Data[[#This Row],[Rooms_Occupied]]</f>
        <v>19130</v>
      </c>
      <c r="J577" s="10">
        <f>Daily_Data[[#This Row],[Total_Sales]] * 0.22</f>
        <v>4208.6000000000004</v>
      </c>
      <c r="K577" s="10">
        <f>INDEX(Expense_master[Monthly_Rent],MATCH(Daily_Data[[#This Row],[Month_key]],Expense_master[Month_Key],0)) / INDEX(Expense_master[Days_in_Month],MATCH(Daily_Data[[#This Row],[Month_key]],Expense_master[Month_Key],0))</f>
        <v>8064.5161290322585</v>
      </c>
      <c r="L577" s="10">
        <f>SUMIFS(Expense_master[Staff_Salary],Expense_master[Month_Key],Daily_Data[[#This Row],[Month_key]]) / SUMIFS(Expense_master[Days_in_Month],Expense_master[Month_Key],Daily_Data[[#This Row],[Month_key]])</f>
        <v>2258.0645161290322</v>
      </c>
      <c r="M577" s="10">
        <f>Daily_Data[[#This Row],[Rooms_Occupied]] * (SUMIFS(Expense_master[Housekeeping_Laundy],Expense_master[Month_Key],Daily_Data[[#This Row],[Month_key]]) / SUMIFS(Occupancy_table[Monthly_rooms_Occupied],Occupancy_table[Month_Key],Daily_Data[[#This Row],[Month_key]]))</f>
        <v>302.11480362537765</v>
      </c>
      <c r="N5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1606.6772439333399</v>
      </c>
      <c r="O577" s="10">
        <f>SUMIFS(Expense_master[Monthly_Maintenance],Expense_master[Month_Key],Daily_Data[[#This Row],[Month_key]]) / SUMIFS(Expense_master[Days_in_Month],Expense_master[Month_Key], Daily_Data[[#This Row],[Month_key]])</f>
        <v>645.16129032258061</v>
      </c>
      <c r="P577" s="10">
        <f xml:space="preserve"> Daily_Data[[#This Row],[OTA Commision]] + Daily_Data[[#This Row],[Daily_Rent]]+Daily_Data[[#This Row],[Daily_Staff]]+Daily_Data[[#This Row],[Daily_HK]]+Daily_Data[[#This Row],[Daily_Electricity]] + Daily_Data[[#This Row],[Daily Maintenance]]</f>
        <v>17085.13398304259</v>
      </c>
      <c r="Q577" s="10">
        <f>Daily_Data[[#This Row],[Total_Sales]]-Daily_Data[[#This Row],[Total_Daily_Expense]]</f>
        <v>2044.8660169574105</v>
      </c>
      <c r="R577" s="10">
        <f>Daily_Data[[#This Row],[Total_Sales]]/Daily_Data[[#This Row],[Rooms_Occupied]]</f>
        <v>1913</v>
      </c>
      <c r="S577" s="10">
        <f>Daily_Data[[#This Row],[Total_Sales]] / Daily_Data[[#This Row],[Max_rooms]]</f>
        <v>1366.4285714285713</v>
      </c>
    </row>
    <row r="578" spans="1:19" x14ac:dyDescent="0.25">
      <c r="A578" s="6">
        <v>45503</v>
      </c>
      <c r="B578" s="20">
        <f>DATE(YEAR(Daily_Data[[#This Row],[Date]]), MONTH(Daily_Data[[#This Row],[Date]]), 1)</f>
        <v>45474</v>
      </c>
      <c r="C578" s="20" t="str">
        <f>TEXT(Daily_Data[[#This Row],[Month_key]],"mmmm")</f>
        <v>July</v>
      </c>
      <c r="D578" s="20" t="str">
        <f>TEXT(Daily_Data[[#This Row],[Month_key]],"yyyy")</f>
        <v>2024</v>
      </c>
      <c r="E578" s="7">
        <v>11</v>
      </c>
      <c r="F578" s="7">
        <v>14</v>
      </c>
      <c r="G578" s="8">
        <f>Daily_Data[[#This Row],[Rooms_Occupied]]/F578</f>
        <v>0.7857142857142857</v>
      </c>
      <c r="H578" s="7">
        <v>1726</v>
      </c>
      <c r="I578" s="7">
        <f>Daily_Data[[#This Row],[Room_rate]]*Daily_Data[[#This Row],[Rooms_Occupied]]</f>
        <v>18986</v>
      </c>
      <c r="J578" s="10">
        <f>Daily_Data[[#This Row],[Total_Sales]] * 0.22</f>
        <v>4176.92</v>
      </c>
      <c r="K578" s="10">
        <f>INDEX(Expense_master[Monthly_Rent],MATCH(Daily_Data[[#This Row],[Month_key]],Expense_master[Month_Key],0)) / INDEX(Expense_master[Days_in_Month],MATCH(Daily_Data[[#This Row],[Month_key]],Expense_master[Month_Key],0))</f>
        <v>8064.5161290322585</v>
      </c>
      <c r="L578" s="10">
        <f>SUMIFS(Expense_master[Staff_Salary],Expense_master[Month_Key],Daily_Data[[#This Row],[Month_key]]) / SUMIFS(Expense_master[Days_in_Month],Expense_master[Month_Key],Daily_Data[[#This Row],[Month_key]])</f>
        <v>2258.0645161290322</v>
      </c>
      <c r="M578" s="10">
        <f>Daily_Data[[#This Row],[Rooms_Occupied]] * (SUMIFS(Expense_master[Housekeeping_Laundy],Expense_master[Month_Key],Daily_Data[[#This Row],[Month_key]]) / SUMIFS(Occupancy_table[Monthly_rooms_Occupied],Occupancy_table[Month_Key],Daily_Data[[#This Row],[Month_key]]))</f>
        <v>332.32628398791542</v>
      </c>
      <c r="N5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1700.5346457460287</v>
      </c>
      <c r="O578" s="10">
        <f>SUMIFS(Expense_master[Monthly_Maintenance],Expense_master[Month_Key],Daily_Data[[#This Row],[Month_key]]) / SUMIFS(Expense_master[Days_in_Month],Expense_master[Month_Key], Daily_Data[[#This Row],[Month_key]])</f>
        <v>645.16129032258061</v>
      </c>
      <c r="P578" s="10">
        <f xml:space="preserve"> Daily_Data[[#This Row],[OTA Commision]] + Daily_Data[[#This Row],[Daily_Rent]]+Daily_Data[[#This Row],[Daily_Staff]]+Daily_Data[[#This Row],[Daily_HK]]+Daily_Data[[#This Row],[Daily_Electricity]] + Daily_Data[[#This Row],[Daily Maintenance]]</f>
        <v>17177.522865217816</v>
      </c>
      <c r="Q578" s="10">
        <f>Daily_Data[[#This Row],[Total_Sales]]-Daily_Data[[#This Row],[Total_Daily_Expense]]</f>
        <v>1808.4771347821843</v>
      </c>
      <c r="R578" s="10">
        <f>Daily_Data[[#This Row],[Total_Sales]]/Daily_Data[[#This Row],[Rooms_Occupied]]</f>
        <v>1726</v>
      </c>
      <c r="S578" s="10">
        <f>Daily_Data[[#This Row],[Total_Sales]] / Daily_Data[[#This Row],[Max_rooms]]</f>
        <v>1356.1428571428571</v>
      </c>
    </row>
    <row r="579" spans="1:19" x14ac:dyDescent="0.25">
      <c r="A579" s="6">
        <v>45504</v>
      </c>
      <c r="B579" s="20">
        <f>DATE(YEAR(Daily_Data[[#This Row],[Date]]), MONTH(Daily_Data[[#This Row],[Date]]), 1)</f>
        <v>45474</v>
      </c>
      <c r="C579" s="20" t="str">
        <f>TEXT(Daily_Data[[#This Row],[Month_key]],"mmmm")</f>
        <v>July</v>
      </c>
      <c r="D579" s="20" t="str">
        <f>TEXT(Daily_Data[[#This Row],[Month_key]],"yyyy")</f>
        <v>2024</v>
      </c>
      <c r="E579" s="7">
        <v>10</v>
      </c>
      <c r="F579" s="7">
        <v>14</v>
      </c>
      <c r="G579" s="8">
        <f>Daily_Data[[#This Row],[Rooms_Occupied]]/F579</f>
        <v>0.7142857142857143</v>
      </c>
      <c r="H579" s="7">
        <v>1621</v>
      </c>
      <c r="I579" s="7">
        <f>Daily_Data[[#This Row],[Room_rate]]*Daily_Data[[#This Row],[Rooms_Occupied]]</f>
        <v>16210</v>
      </c>
      <c r="J579" s="10">
        <f>Daily_Data[[#This Row],[Total_Sales]] * 0.22</f>
        <v>3566.2</v>
      </c>
      <c r="K579" s="10">
        <f>INDEX(Expense_master[Monthly_Rent],MATCH(Daily_Data[[#This Row],[Month_key]],Expense_master[Month_Key],0)) / INDEX(Expense_master[Days_in_Month],MATCH(Daily_Data[[#This Row],[Month_key]],Expense_master[Month_Key],0))</f>
        <v>8064.5161290322585</v>
      </c>
      <c r="L579" s="10">
        <f>SUMIFS(Expense_master[Staff_Salary],Expense_master[Month_Key],Daily_Data[[#This Row],[Month_key]]) / SUMIFS(Expense_master[Days_in_Month],Expense_master[Month_Key],Daily_Data[[#This Row],[Month_key]])</f>
        <v>2258.0645161290322</v>
      </c>
      <c r="M579" s="10">
        <f>Daily_Data[[#This Row],[Rooms_Occupied]] * (SUMIFS(Expense_master[Housekeeping_Laundy],Expense_master[Month_Key],Daily_Data[[#This Row],[Month_key]]) / SUMIFS(Occupancy_table[Monthly_rooms_Occupied],Occupancy_table[Month_Key],Daily_Data[[#This Row],[Month_key]]))</f>
        <v>302.11480362537765</v>
      </c>
      <c r="N5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1606.6772439333399</v>
      </c>
      <c r="O579" s="10">
        <f>SUMIFS(Expense_master[Monthly_Maintenance],Expense_master[Month_Key],Daily_Data[[#This Row],[Month_key]]) / SUMIFS(Expense_master[Days_in_Month],Expense_master[Month_Key], Daily_Data[[#This Row],[Month_key]])</f>
        <v>645.16129032258061</v>
      </c>
      <c r="P579" s="10">
        <f xml:space="preserve"> Daily_Data[[#This Row],[OTA Commision]] + Daily_Data[[#This Row],[Daily_Rent]]+Daily_Data[[#This Row],[Daily_Staff]]+Daily_Data[[#This Row],[Daily_HK]]+Daily_Data[[#This Row],[Daily_Electricity]] + Daily_Data[[#This Row],[Daily Maintenance]]</f>
        <v>16442.733983042588</v>
      </c>
      <c r="Q579" s="10">
        <f>Daily_Data[[#This Row],[Total_Sales]]-Daily_Data[[#This Row],[Total_Daily_Expense]]</f>
        <v>-232.73398304258808</v>
      </c>
      <c r="R579" s="10">
        <f>Daily_Data[[#This Row],[Total_Sales]]/Daily_Data[[#This Row],[Rooms_Occupied]]</f>
        <v>1621</v>
      </c>
      <c r="S579" s="10">
        <f>Daily_Data[[#This Row],[Total_Sales]] / Daily_Data[[#This Row],[Max_rooms]]</f>
        <v>1157.8571428571429</v>
      </c>
    </row>
    <row r="580" spans="1:19" x14ac:dyDescent="0.25">
      <c r="A580" s="6">
        <v>45505</v>
      </c>
      <c r="B580" s="20">
        <f>DATE(YEAR(Daily_Data[[#This Row],[Date]]), MONTH(Daily_Data[[#This Row],[Date]]), 1)</f>
        <v>45505</v>
      </c>
      <c r="C580" s="20" t="str">
        <f>TEXT(Daily_Data[[#This Row],[Month_key]],"mmmm")</f>
        <v>August</v>
      </c>
      <c r="D580" s="20" t="str">
        <f>TEXT(Daily_Data[[#This Row],[Month_key]],"yyyy")</f>
        <v>2024</v>
      </c>
      <c r="E580" s="7">
        <v>12</v>
      </c>
      <c r="F580" s="7">
        <v>14</v>
      </c>
      <c r="G580" s="8">
        <f>Daily_Data[[#This Row],[Rooms_Occupied]]/F580</f>
        <v>0.8571428571428571</v>
      </c>
      <c r="H580" s="7">
        <v>1173</v>
      </c>
      <c r="I580" s="7">
        <f>Daily_Data[[#This Row],[Room_rate]]*Daily_Data[[#This Row],[Rooms_Occupied]]</f>
        <v>14076</v>
      </c>
      <c r="J580" s="10">
        <f>Daily_Data[[#This Row],[Total_Sales]] * 0.22</f>
        <v>3096.72</v>
      </c>
      <c r="K580" s="10">
        <f>INDEX(Expense_master[Monthly_Rent],MATCH(Daily_Data[[#This Row],[Month_key]],Expense_master[Month_Key],0)) / INDEX(Expense_master[Days_in_Month],MATCH(Daily_Data[[#This Row],[Month_key]],Expense_master[Month_Key],0))</f>
        <v>8064.5161290322585</v>
      </c>
      <c r="L580" s="10">
        <f>SUMIFS(Expense_master[Staff_Salary],Expense_master[Month_Key],Daily_Data[[#This Row],[Month_key]]) / SUMIFS(Expense_master[Days_in_Month],Expense_master[Month_Key],Daily_Data[[#This Row],[Month_key]])</f>
        <v>2258.0645161290322</v>
      </c>
      <c r="M580" s="10">
        <f>Daily_Data[[#This Row],[Rooms_Occupied]] * (SUMIFS(Expense_master[Housekeeping_Laundy],Expense_master[Month_Key],Daily_Data[[#This Row],[Month_key]]) / SUMIFS(Occupancy_table[Monthly_rooms_Occupied],Occupancy_table[Month_Key],Daily_Data[[#This Row],[Month_key]]))</f>
        <v>361.44578313253015</v>
      </c>
      <c r="N5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1767.9280994947533</v>
      </c>
      <c r="O580" s="10">
        <f>SUMIFS(Expense_master[Monthly_Maintenance],Expense_master[Month_Key],Daily_Data[[#This Row],[Month_key]]) / SUMIFS(Expense_master[Days_in_Month],Expense_master[Month_Key], Daily_Data[[#This Row],[Month_key]])</f>
        <v>645.16129032258061</v>
      </c>
      <c r="P580" s="10">
        <f xml:space="preserve"> Daily_Data[[#This Row],[OTA Commision]] + Daily_Data[[#This Row],[Daily_Rent]]+Daily_Data[[#This Row],[Daily_Staff]]+Daily_Data[[#This Row],[Daily_HK]]+Daily_Data[[#This Row],[Daily_Electricity]] + Daily_Data[[#This Row],[Daily Maintenance]]</f>
        <v>16193.835818111156</v>
      </c>
      <c r="Q580" s="10">
        <f>Daily_Data[[#This Row],[Total_Sales]]-Daily_Data[[#This Row],[Total_Daily_Expense]]</f>
        <v>-2117.8358181111562</v>
      </c>
      <c r="R580" s="10">
        <f>Daily_Data[[#This Row],[Total_Sales]]/Daily_Data[[#This Row],[Rooms_Occupied]]</f>
        <v>1173</v>
      </c>
      <c r="S580" s="10">
        <f>Daily_Data[[#This Row],[Total_Sales]] / Daily_Data[[#This Row],[Max_rooms]]</f>
        <v>1005.4285714285714</v>
      </c>
    </row>
    <row r="581" spans="1:19" x14ac:dyDescent="0.25">
      <c r="A581" s="6">
        <v>45506</v>
      </c>
      <c r="B581" s="20">
        <f>DATE(YEAR(Daily_Data[[#This Row],[Date]]), MONTH(Daily_Data[[#This Row],[Date]]), 1)</f>
        <v>45505</v>
      </c>
      <c r="C581" s="20" t="str">
        <f>TEXT(Daily_Data[[#This Row],[Month_key]],"mmmm")</f>
        <v>August</v>
      </c>
      <c r="D581" s="20" t="str">
        <f>TEXT(Daily_Data[[#This Row],[Month_key]],"yyyy")</f>
        <v>2024</v>
      </c>
      <c r="E581" s="7">
        <v>10</v>
      </c>
      <c r="F581" s="7">
        <v>14</v>
      </c>
      <c r="G581" s="8">
        <f>Daily_Data[[#This Row],[Rooms_Occupied]]/F581</f>
        <v>0.7142857142857143</v>
      </c>
      <c r="H581" s="7">
        <v>1838</v>
      </c>
      <c r="I581" s="7">
        <f>Daily_Data[[#This Row],[Room_rate]]*Daily_Data[[#This Row],[Rooms_Occupied]]</f>
        <v>18380</v>
      </c>
      <c r="J581" s="10">
        <f>Daily_Data[[#This Row],[Total_Sales]] * 0.22</f>
        <v>4043.6</v>
      </c>
      <c r="K581" s="10">
        <f>INDEX(Expense_master[Monthly_Rent],MATCH(Daily_Data[[#This Row],[Month_key]],Expense_master[Month_Key],0)) / INDEX(Expense_master[Days_in_Month],MATCH(Daily_Data[[#This Row],[Month_key]],Expense_master[Month_Key],0))</f>
        <v>8064.5161290322585</v>
      </c>
      <c r="L581" s="10">
        <f>SUMIFS(Expense_master[Staff_Salary],Expense_master[Month_Key],Daily_Data[[#This Row],[Month_key]]) / SUMIFS(Expense_master[Days_in_Month],Expense_master[Month_Key],Daily_Data[[#This Row],[Month_key]])</f>
        <v>2258.0645161290322</v>
      </c>
      <c r="M581" s="10">
        <f>Daily_Data[[#This Row],[Rooms_Occupied]] * (SUMIFS(Expense_master[Housekeeping_Laundy],Expense_master[Month_Key],Daily_Data[[#This Row],[Month_key]]) / SUMIFS(Occupancy_table[Monthly_rooms_Occupied],Occupancy_table[Month_Key],Daily_Data[[#This Row],[Month_key]]))</f>
        <v>301.20481927710847</v>
      </c>
      <c r="N5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581" s="10">
        <f>SUMIFS(Expense_master[Monthly_Maintenance],Expense_master[Month_Key],Daily_Data[[#This Row],[Month_key]]) / SUMIFS(Expense_master[Days_in_Month],Expense_master[Month_Key], Daily_Data[[#This Row],[Month_key]])</f>
        <v>645.16129032258061</v>
      </c>
      <c r="P581" s="10">
        <f xml:space="preserve"> Daily_Data[[#This Row],[OTA Commision]] + Daily_Data[[#This Row],[Daily_Rent]]+Daily_Data[[#This Row],[Daily_Staff]]+Daily_Data[[#This Row],[Daily_HK]]+Daily_Data[[#This Row],[Daily_Electricity]] + Daily_Data[[#This Row],[Daily Maintenance]]</f>
        <v>16895.736300038865</v>
      </c>
      <c r="Q581" s="10">
        <f>Daily_Data[[#This Row],[Total_Sales]]-Daily_Data[[#This Row],[Total_Daily_Expense]]</f>
        <v>1484.263699961135</v>
      </c>
      <c r="R581" s="10">
        <f>Daily_Data[[#This Row],[Total_Sales]]/Daily_Data[[#This Row],[Rooms_Occupied]]</f>
        <v>1838</v>
      </c>
      <c r="S581" s="10">
        <f>Daily_Data[[#This Row],[Total_Sales]] / Daily_Data[[#This Row],[Max_rooms]]</f>
        <v>1312.8571428571429</v>
      </c>
    </row>
    <row r="582" spans="1:19" x14ac:dyDescent="0.25">
      <c r="A582" s="6">
        <v>45507</v>
      </c>
      <c r="B582" s="20">
        <f>DATE(YEAR(Daily_Data[[#This Row],[Date]]), MONTH(Daily_Data[[#This Row],[Date]]), 1)</f>
        <v>45505</v>
      </c>
      <c r="C582" s="20" t="str">
        <f>TEXT(Daily_Data[[#This Row],[Month_key]],"mmmm")</f>
        <v>August</v>
      </c>
      <c r="D582" s="20" t="str">
        <f>TEXT(Daily_Data[[#This Row],[Month_key]],"yyyy")</f>
        <v>2024</v>
      </c>
      <c r="E582" s="7">
        <v>13</v>
      </c>
      <c r="F582" s="7">
        <v>14</v>
      </c>
      <c r="G582" s="8">
        <f>Daily_Data[[#This Row],[Rooms_Occupied]]/F582</f>
        <v>0.9285714285714286</v>
      </c>
      <c r="H582" s="7">
        <v>1503</v>
      </c>
      <c r="I582" s="7">
        <f>Daily_Data[[#This Row],[Room_rate]]*Daily_Data[[#This Row],[Rooms_Occupied]]</f>
        <v>19539</v>
      </c>
      <c r="J582" s="10">
        <f>Daily_Data[[#This Row],[Total_Sales]] * 0.22</f>
        <v>4298.58</v>
      </c>
      <c r="K582" s="10">
        <f>INDEX(Expense_master[Monthly_Rent],MATCH(Daily_Data[[#This Row],[Month_key]],Expense_master[Month_Key],0)) / INDEX(Expense_master[Days_in_Month],MATCH(Daily_Data[[#This Row],[Month_key]],Expense_master[Month_Key],0))</f>
        <v>8064.5161290322585</v>
      </c>
      <c r="L582" s="10">
        <f>SUMIFS(Expense_master[Staff_Salary],Expense_master[Month_Key],Daily_Data[[#This Row],[Month_key]]) / SUMIFS(Expense_master[Days_in_Month],Expense_master[Month_Key],Daily_Data[[#This Row],[Month_key]])</f>
        <v>2258.0645161290322</v>
      </c>
      <c r="M582" s="10">
        <f>Daily_Data[[#This Row],[Rooms_Occupied]] * (SUMIFS(Expense_master[Housekeeping_Laundy],Expense_master[Month_Key],Daily_Data[[#This Row],[Month_key]]) / SUMIFS(Occupancy_table[Monthly_rooms_Occupied],Occupancy_table[Month_Key],Daily_Data[[#This Row],[Month_key]]))</f>
        <v>391.56626506024099</v>
      </c>
      <c r="N5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1860.2973766031869</v>
      </c>
      <c r="O582" s="10">
        <f>SUMIFS(Expense_master[Monthly_Maintenance],Expense_master[Month_Key],Daily_Data[[#This Row],[Month_key]]) / SUMIFS(Expense_master[Days_in_Month],Expense_master[Month_Key], Daily_Data[[#This Row],[Month_key]])</f>
        <v>645.16129032258061</v>
      </c>
      <c r="P582" s="10">
        <f xml:space="preserve"> Daily_Data[[#This Row],[OTA Commision]] + Daily_Data[[#This Row],[Daily_Rent]]+Daily_Data[[#This Row],[Daily_Staff]]+Daily_Data[[#This Row],[Daily_HK]]+Daily_Data[[#This Row],[Daily_Electricity]] + Daily_Data[[#This Row],[Daily Maintenance]]</f>
        <v>17518.185577147298</v>
      </c>
      <c r="Q582" s="10">
        <f>Daily_Data[[#This Row],[Total_Sales]]-Daily_Data[[#This Row],[Total_Daily_Expense]]</f>
        <v>2020.8144228527017</v>
      </c>
      <c r="R582" s="10">
        <f>Daily_Data[[#This Row],[Total_Sales]]/Daily_Data[[#This Row],[Rooms_Occupied]]</f>
        <v>1503</v>
      </c>
      <c r="S582" s="10">
        <f>Daily_Data[[#This Row],[Total_Sales]] / Daily_Data[[#This Row],[Max_rooms]]</f>
        <v>1395.6428571428571</v>
      </c>
    </row>
    <row r="583" spans="1:19" x14ac:dyDescent="0.25">
      <c r="A583" s="6">
        <v>45508</v>
      </c>
      <c r="B583" s="20">
        <f>DATE(YEAR(Daily_Data[[#This Row],[Date]]), MONTH(Daily_Data[[#This Row],[Date]]), 1)</f>
        <v>45505</v>
      </c>
      <c r="C583" s="20" t="str">
        <f>TEXT(Daily_Data[[#This Row],[Month_key]],"mmmm")</f>
        <v>August</v>
      </c>
      <c r="D583" s="20" t="str">
        <f>TEXT(Daily_Data[[#This Row],[Month_key]],"yyyy")</f>
        <v>2024</v>
      </c>
      <c r="E583" s="7">
        <v>13</v>
      </c>
      <c r="F583" s="7">
        <v>14</v>
      </c>
      <c r="G583" s="8">
        <f>Daily_Data[[#This Row],[Rooms_Occupied]]/F583</f>
        <v>0.9285714285714286</v>
      </c>
      <c r="H583" s="7">
        <v>1947</v>
      </c>
      <c r="I583" s="7">
        <f>Daily_Data[[#This Row],[Room_rate]]*Daily_Data[[#This Row],[Rooms_Occupied]]</f>
        <v>25311</v>
      </c>
      <c r="J583" s="10">
        <f>Daily_Data[[#This Row],[Total_Sales]] * 0.22</f>
        <v>5568.42</v>
      </c>
      <c r="K583" s="10">
        <f>INDEX(Expense_master[Monthly_Rent],MATCH(Daily_Data[[#This Row],[Month_key]],Expense_master[Month_Key],0)) / INDEX(Expense_master[Days_in_Month],MATCH(Daily_Data[[#This Row],[Month_key]],Expense_master[Month_Key],0))</f>
        <v>8064.5161290322585</v>
      </c>
      <c r="L583" s="10">
        <f>SUMIFS(Expense_master[Staff_Salary],Expense_master[Month_Key],Daily_Data[[#This Row],[Month_key]]) / SUMIFS(Expense_master[Days_in_Month],Expense_master[Month_Key],Daily_Data[[#This Row],[Month_key]])</f>
        <v>2258.0645161290322</v>
      </c>
      <c r="M583" s="10">
        <f>Daily_Data[[#This Row],[Rooms_Occupied]] * (SUMIFS(Expense_master[Housekeeping_Laundy],Expense_master[Month_Key],Daily_Data[[#This Row],[Month_key]]) / SUMIFS(Occupancy_table[Monthly_rooms_Occupied],Occupancy_table[Month_Key],Daily_Data[[#This Row],[Month_key]]))</f>
        <v>391.56626506024099</v>
      </c>
      <c r="N5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1860.2973766031869</v>
      </c>
      <c r="O583" s="10">
        <f>SUMIFS(Expense_master[Monthly_Maintenance],Expense_master[Month_Key],Daily_Data[[#This Row],[Month_key]]) / SUMIFS(Expense_master[Days_in_Month],Expense_master[Month_Key], Daily_Data[[#This Row],[Month_key]])</f>
        <v>645.16129032258061</v>
      </c>
      <c r="P583" s="10">
        <f xml:space="preserve"> Daily_Data[[#This Row],[OTA Commision]] + Daily_Data[[#This Row],[Daily_Rent]]+Daily_Data[[#This Row],[Daily_Staff]]+Daily_Data[[#This Row],[Daily_HK]]+Daily_Data[[#This Row],[Daily_Electricity]] + Daily_Data[[#This Row],[Daily Maintenance]]</f>
        <v>18788.025577147298</v>
      </c>
      <c r="Q583" s="10">
        <f>Daily_Data[[#This Row],[Total_Sales]]-Daily_Data[[#This Row],[Total_Daily_Expense]]</f>
        <v>6522.9744228527015</v>
      </c>
      <c r="R583" s="10">
        <f>Daily_Data[[#This Row],[Total_Sales]]/Daily_Data[[#This Row],[Rooms_Occupied]]</f>
        <v>1947</v>
      </c>
      <c r="S583" s="10">
        <f>Daily_Data[[#This Row],[Total_Sales]] / Daily_Data[[#This Row],[Max_rooms]]</f>
        <v>1807.9285714285713</v>
      </c>
    </row>
    <row r="584" spans="1:19" x14ac:dyDescent="0.25">
      <c r="A584" s="6">
        <v>45509</v>
      </c>
      <c r="B584" s="20">
        <f>DATE(YEAR(Daily_Data[[#This Row],[Date]]), MONTH(Daily_Data[[#This Row],[Date]]), 1)</f>
        <v>45505</v>
      </c>
      <c r="C584" s="20" t="str">
        <f>TEXT(Daily_Data[[#This Row],[Month_key]],"mmmm")</f>
        <v>August</v>
      </c>
      <c r="D584" s="20" t="str">
        <f>TEXT(Daily_Data[[#This Row],[Month_key]],"yyyy")</f>
        <v>2024</v>
      </c>
      <c r="E584" s="7">
        <v>9</v>
      </c>
      <c r="F584" s="7">
        <v>14</v>
      </c>
      <c r="G584" s="8">
        <f>Daily_Data[[#This Row],[Rooms_Occupied]]/F584</f>
        <v>0.6428571428571429</v>
      </c>
      <c r="H584" s="7">
        <v>1734</v>
      </c>
      <c r="I584" s="7">
        <f>Daily_Data[[#This Row],[Room_rate]]*Daily_Data[[#This Row],[Rooms_Occupied]]</f>
        <v>15606</v>
      </c>
      <c r="J584" s="10">
        <f>Daily_Data[[#This Row],[Total_Sales]] * 0.22</f>
        <v>3433.32</v>
      </c>
      <c r="K584" s="10">
        <f>INDEX(Expense_master[Monthly_Rent],MATCH(Daily_Data[[#This Row],[Month_key]],Expense_master[Month_Key],0)) / INDEX(Expense_master[Days_in_Month],MATCH(Daily_Data[[#This Row],[Month_key]],Expense_master[Month_Key],0))</f>
        <v>8064.5161290322585</v>
      </c>
      <c r="L584" s="10">
        <f>SUMIFS(Expense_master[Staff_Salary],Expense_master[Month_Key],Daily_Data[[#This Row],[Month_key]]) / SUMIFS(Expense_master[Days_in_Month],Expense_master[Month_Key],Daily_Data[[#This Row],[Month_key]])</f>
        <v>2258.0645161290322</v>
      </c>
      <c r="M584" s="10">
        <f>Daily_Data[[#This Row],[Rooms_Occupied]] * (SUMIFS(Expense_master[Housekeeping_Laundy],Expense_master[Month_Key],Daily_Data[[#This Row],[Month_key]]) / SUMIFS(Occupancy_table[Monthly_rooms_Occupied],Occupancy_table[Month_Key],Daily_Data[[#This Row],[Month_key]]))</f>
        <v>271.08433734939763</v>
      </c>
      <c r="N5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584" s="10">
        <f>SUMIFS(Expense_master[Monthly_Maintenance],Expense_master[Month_Key],Daily_Data[[#This Row],[Month_key]]) / SUMIFS(Expense_master[Days_in_Month],Expense_master[Month_Key], Daily_Data[[#This Row],[Month_key]])</f>
        <v>645.16129032258061</v>
      </c>
      <c r="P584" s="10">
        <f xml:space="preserve"> Daily_Data[[#This Row],[OTA Commision]] + Daily_Data[[#This Row],[Daily_Rent]]+Daily_Data[[#This Row],[Daily_Staff]]+Daily_Data[[#This Row],[Daily_HK]]+Daily_Data[[#This Row],[Daily_Electricity]] + Daily_Data[[#This Row],[Daily Maintenance]]</f>
        <v>16162.966541002721</v>
      </c>
      <c r="Q584" s="10">
        <f>Daily_Data[[#This Row],[Total_Sales]]-Daily_Data[[#This Row],[Total_Daily_Expense]]</f>
        <v>-556.96654100272099</v>
      </c>
      <c r="R584" s="10">
        <f>Daily_Data[[#This Row],[Total_Sales]]/Daily_Data[[#This Row],[Rooms_Occupied]]</f>
        <v>1734</v>
      </c>
      <c r="S584" s="10">
        <f>Daily_Data[[#This Row],[Total_Sales]] / Daily_Data[[#This Row],[Max_rooms]]</f>
        <v>1114.7142857142858</v>
      </c>
    </row>
    <row r="585" spans="1:19" x14ac:dyDescent="0.25">
      <c r="A585" s="6">
        <v>45510</v>
      </c>
      <c r="B585" s="20">
        <f>DATE(YEAR(Daily_Data[[#This Row],[Date]]), MONTH(Daily_Data[[#This Row],[Date]]), 1)</f>
        <v>45505</v>
      </c>
      <c r="C585" s="20" t="str">
        <f>TEXT(Daily_Data[[#This Row],[Month_key]],"mmmm")</f>
        <v>August</v>
      </c>
      <c r="D585" s="20" t="str">
        <f>TEXT(Daily_Data[[#This Row],[Month_key]],"yyyy")</f>
        <v>2024</v>
      </c>
      <c r="E585" s="7">
        <v>8</v>
      </c>
      <c r="F585" s="7">
        <v>14</v>
      </c>
      <c r="G585" s="8">
        <f>Daily_Data[[#This Row],[Rooms_Occupied]]/F585</f>
        <v>0.5714285714285714</v>
      </c>
      <c r="H585" s="7">
        <v>1800</v>
      </c>
      <c r="I585" s="7">
        <f>Daily_Data[[#This Row],[Room_rate]]*Daily_Data[[#This Row],[Rooms_Occupied]]</f>
        <v>14400</v>
      </c>
      <c r="J585" s="10">
        <f>Daily_Data[[#This Row],[Total_Sales]] * 0.22</f>
        <v>3168</v>
      </c>
      <c r="K585" s="10">
        <f>INDEX(Expense_master[Monthly_Rent],MATCH(Daily_Data[[#This Row],[Month_key]],Expense_master[Month_Key],0)) / INDEX(Expense_master[Days_in_Month],MATCH(Daily_Data[[#This Row],[Month_key]],Expense_master[Month_Key],0))</f>
        <v>8064.5161290322585</v>
      </c>
      <c r="L585" s="10">
        <f>SUMIFS(Expense_master[Staff_Salary],Expense_master[Month_Key],Daily_Data[[#This Row],[Month_key]]) / SUMIFS(Expense_master[Days_in_Month],Expense_master[Month_Key],Daily_Data[[#This Row],[Month_key]])</f>
        <v>2258.0645161290322</v>
      </c>
      <c r="M585" s="10">
        <f>Daily_Data[[#This Row],[Rooms_Occupied]] * (SUMIFS(Expense_master[Housekeeping_Laundy],Expense_master[Month_Key],Daily_Data[[#This Row],[Month_key]]) / SUMIFS(Occupancy_table[Monthly_rooms_Occupied],Occupancy_table[Month_Key],Daily_Data[[#This Row],[Month_key]]))</f>
        <v>240.96385542168676</v>
      </c>
      <c r="N5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1398.4509910610182</v>
      </c>
      <c r="O585" s="10">
        <f>SUMIFS(Expense_master[Monthly_Maintenance],Expense_master[Month_Key],Daily_Data[[#This Row],[Month_key]]) / SUMIFS(Expense_master[Days_in_Month],Expense_master[Month_Key], Daily_Data[[#This Row],[Month_key]])</f>
        <v>645.16129032258061</v>
      </c>
      <c r="P585" s="10">
        <f xml:space="preserve"> Daily_Data[[#This Row],[OTA Commision]] + Daily_Data[[#This Row],[Daily_Rent]]+Daily_Data[[#This Row],[Daily_Staff]]+Daily_Data[[#This Row],[Daily_HK]]+Daily_Data[[#This Row],[Daily_Electricity]] + Daily_Data[[#This Row],[Daily Maintenance]]</f>
        <v>15775.156781966576</v>
      </c>
      <c r="Q585" s="10">
        <f>Daily_Data[[#This Row],[Total_Sales]]-Daily_Data[[#This Row],[Total_Daily_Expense]]</f>
        <v>-1375.1567819665761</v>
      </c>
      <c r="R585" s="10">
        <f>Daily_Data[[#This Row],[Total_Sales]]/Daily_Data[[#This Row],[Rooms_Occupied]]</f>
        <v>1800</v>
      </c>
      <c r="S585" s="10">
        <f>Daily_Data[[#This Row],[Total_Sales]] / Daily_Data[[#This Row],[Max_rooms]]</f>
        <v>1028.5714285714287</v>
      </c>
    </row>
    <row r="586" spans="1:19" x14ac:dyDescent="0.25">
      <c r="A586" s="6">
        <v>45511</v>
      </c>
      <c r="B586" s="20">
        <f>DATE(YEAR(Daily_Data[[#This Row],[Date]]), MONTH(Daily_Data[[#This Row],[Date]]), 1)</f>
        <v>45505</v>
      </c>
      <c r="C586" s="20" t="str">
        <f>TEXT(Daily_Data[[#This Row],[Month_key]],"mmmm")</f>
        <v>August</v>
      </c>
      <c r="D586" s="20" t="str">
        <f>TEXT(Daily_Data[[#This Row],[Month_key]],"yyyy")</f>
        <v>2024</v>
      </c>
      <c r="E586" s="7">
        <v>11</v>
      </c>
      <c r="F586" s="7">
        <v>14</v>
      </c>
      <c r="G586" s="8">
        <f>Daily_Data[[#This Row],[Rooms_Occupied]]/F586</f>
        <v>0.7857142857142857</v>
      </c>
      <c r="H586" s="7">
        <v>1815</v>
      </c>
      <c r="I586" s="7">
        <f>Daily_Data[[#This Row],[Room_rate]]*Daily_Data[[#This Row],[Rooms_Occupied]]</f>
        <v>19965</v>
      </c>
      <c r="J586" s="10">
        <f>Daily_Data[[#This Row],[Total_Sales]] * 0.22</f>
        <v>4392.3</v>
      </c>
      <c r="K586" s="10">
        <f>INDEX(Expense_master[Monthly_Rent],MATCH(Daily_Data[[#This Row],[Month_key]],Expense_master[Month_Key],0)) / INDEX(Expense_master[Days_in_Month],MATCH(Daily_Data[[#This Row],[Month_key]],Expense_master[Month_Key],0))</f>
        <v>8064.5161290322585</v>
      </c>
      <c r="L586" s="10">
        <f>SUMIFS(Expense_master[Staff_Salary],Expense_master[Month_Key],Daily_Data[[#This Row],[Month_key]]) / SUMIFS(Expense_master[Days_in_Month],Expense_master[Month_Key],Daily_Data[[#This Row],[Month_key]])</f>
        <v>2258.0645161290322</v>
      </c>
      <c r="M586" s="10">
        <f>Daily_Data[[#This Row],[Rooms_Occupied]] * (SUMIFS(Expense_master[Housekeeping_Laundy],Expense_master[Month_Key],Daily_Data[[#This Row],[Month_key]]) / SUMIFS(Occupancy_table[Monthly_rooms_Occupied],Occupancy_table[Month_Key],Daily_Data[[#This Row],[Month_key]]))</f>
        <v>331.32530120481931</v>
      </c>
      <c r="N5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1675.5588223863194</v>
      </c>
      <c r="O586" s="10">
        <f>SUMIFS(Expense_master[Monthly_Maintenance],Expense_master[Month_Key],Daily_Data[[#This Row],[Month_key]]) / SUMIFS(Expense_master[Days_in_Month],Expense_master[Month_Key], Daily_Data[[#This Row],[Month_key]])</f>
        <v>645.16129032258061</v>
      </c>
      <c r="P586" s="10">
        <f xml:space="preserve"> Daily_Data[[#This Row],[OTA Commision]] + Daily_Data[[#This Row],[Daily_Rent]]+Daily_Data[[#This Row],[Daily_Staff]]+Daily_Data[[#This Row],[Daily_HK]]+Daily_Data[[#This Row],[Daily_Electricity]] + Daily_Data[[#This Row],[Daily Maintenance]]</f>
        <v>17366.926059075009</v>
      </c>
      <c r="Q586" s="10">
        <f>Daily_Data[[#This Row],[Total_Sales]]-Daily_Data[[#This Row],[Total_Daily_Expense]]</f>
        <v>2598.0739409249909</v>
      </c>
      <c r="R586" s="10">
        <f>Daily_Data[[#This Row],[Total_Sales]]/Daily_Data[[#This Row],[Rooms_Occupied]]</f>
        <v>1815</v>
      </c>
      <c r="S586" s="10">
        <f>Daily_Data[[#This Row],[Total_Sales]] / Daily_Data[[#This Row],[Max_rooms]]</f>
        <v>1426.0714285714287</v>
      </c>
    </row>
    <row r="587" spans="1:19" x14ac:dyDescent="0.25">
      <c r="A587" s="6">
        <v>45512</v>
      </c>
      <c r="B587" s="20">
        <f>DATE(YEAR(Daily_Data[[#This Row],[Date]]), MONTH(Daily_Data[[#This Row],[Date]]), 1)</f>
        <v>45505</v>
      </c>
      <c r="C587" s="20" t="str">
        <f>TEXT(Daily_Data[[#This Row],[Month_key]],"mmmm")</f>
        <v>August</v>
      </c>
      <c r="D587" s="20" t="str">
        <f>TEXT(Daily_Data[[#This Row],[Month_key]],"yyyy")</f>
        <v>2024</v>
      </c>
      <c r="E587" s="7">
        <v>9</v>
      </c>
      <c r="F587" s="7">
        <v>14</v>
      </c>
      <c r="G587" s="8">
        <f>Daily_Data[[#This Row],[Rooms_Occupied]]/F587</f>
        <v>0.6428571428571429</v>
      </c>
      <c r="H587" s="7">
        <v>1816</v>
      </c>
      <c r="I587" s="7">
        <f>Daily_Data[[#This Row],[Room_rate]]*Daily_Data[[#This Row],[Rooms_Occupied]]</f>
        <v>16344</v>
      </c>
      <c r="J587" s="10">
        <f>Daily_Data[[#This Row],[Total_Sales]] * 0.22</f>
        <v>3595.68</v>
      </c>
      <c r="K587" s="10">
        <f>INDEX(Expense_master[Monthly_Rent],MATCH(Daily_Data[[#This Row],[Month_key]],Expense_master[Month_Key],0)) / INDEX(Expense_master[Days_in_Month],MATCH(Daily_Data[[#This Row],[Month_key]],Expense_master[Month_Key],0))</f>
        <v>8064.5161290322585</v>
      </c>
      <c r="L587" s="10">
        <f>SUMIFS(Expense_master[Staff_Salary],Expense_master[Month_Key],Daily_Data[[#This Row],[Month_key]]) / SUMIFS(Expense_master[Days_in_Month],Expense_master[Month_Key],Daily_Data[[#This Row],[Month_key]])</f>
        <v>2258.0645161290322</v>
      </c>
      <c r="M587" s="10">
        <f>Daily_Data[[#This Row],[Rooms_Occupied]] * (SUMIFS(Expense_master[Housekeeping_Laundy],Expense_master[Month_Key],Daily_Data[[#This Row],[Month_key]]) / SUMIFS(Occupancy_table[Monthly_rooms_Occupied],Occupancy_table[Month_Key],Daily_Data[[#This Row],[Month_key]]))</f>
        <v>271.08433734939763</v>
      </c>
      <c r="N5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587" s="10">
        <f>SUMIFS(Expense_master[Monthly_Maintenance],Expense_master[Month_Key],Daily_Data[[#This Row],[Month_key]]) / SUMIFS(Expense_master[Days_in_Month],Expense_master[Month_Key], Daily_Data[[#This Row],[Month_key]])</f>
        <v>645.16129032258061</v>
      </c>
      <c r="P587" s="10">
        <f xml:space="preserve"> Daily_Data[[#This Row],[OTA Commision]] + Daily_Data[[#This Row],[Daily_Rent]]+Daily_Data[[#This Row],[Daily_Staff]]+Daily_Data[[#This Row],[Daily_HK]]+Daily_Data[[#This Row],[Daily_Electricity]] + Daily_Data[[#This Row],[Daily Maintenance]]</f>
        <v>16325.326541002722</v>
      </c>
      <c r="Q587" s="10">
        <f>Daily_Data[[#This Row],[Total_Sales]]-Daily_Data[[#This Row],[Total_Daily_Expense]]</f>
        <v>18.673458997278431</v>
      </c>
      <c r="R587" s="10">
        <f>Daily_Data[[#This Row],[Total_Sales]]/Daily_Data[[#This Row],[Rooms_Occupied]]</f>
        <v>1816</v>
      </c>
      <c r="S587" s="10">
        <f>Daily_Data[[#This Row],[Total_Sales]] / Daily_Data[[#This Row],[Max_rooms]]</f>
        <v>1167.4285714285713</v>
      </c>
    </row>
    <row r="588" spans="1:19" x14ac:dyDescent="0.25">
      <c r="A588" s="6">
        <v>45513</v>
      </c>
      <c r="B588" s="20">
        <f>DATE(YEAR(Daily_Data[[#This Row],[Date]]), MONTH(Daily_Data[[#This Row],[Date]]), 1)</f>
        <v>45505</v>
      </c>
      <c r="C588" s="20" t="str">
        <f>TEXT(Daily_Data[[#This Row],[Month_key]],"mmmm")</f>
        <v>August</v>
      </c>
      <c r="D588" s="20" t="str">
        <f>TEXT(Daily_Data[[#This Row],[Month_key]],"yyyy")</f>
        <v>2024</v>
      </c>
      <c r="E588" s="7">
        <v>10</v>
      </c>
      <c r="F588" s="7">
        <v>14</v>
      </c>
      <c r="G588" s="8">
        <f>Daily_Data[[#This Row],[Rooms_Occupied]]/F588</f>
        <v>0.7142857142857143</v>
      </c>
      <c r="H588" s="7">
        <v>1417</v>
      </c>
      <c r="I588" s="7">
        <f>Daily_Data[[#This Row],[Room_rate]]*Daily_Data[[#This Row],[Rooms_Occupied]]</f>
        <v>14170</v>
      </c>
      <c r="J588" s="10">
        <f>Daily_Data[[#This Row],[Total_Sales]] * 0.22</f>
        <v>3117.4</v>
      </c>
      <c r="K588" s="10">
        <f>INDEX(Expense_master[Monthly_Rent],MATCH(Daily_Data[[#This Row],[Month_key]],Expense_master[Month_Key],0)) / INDEX(Expense_master[Days_in_Month],MATCH(Daily_Data[[#This Row],[Month_key]],Expense_master[Month_Key],0))</f>
        <v>8064.5161290322585</v>
      </c>
      <c r="L588" s="10">
        <f>SUMIFS(Expense_master[Staff_Salary],Expense_master[Month_Key],Daily_Data[[#This Row],[Month_key]]) / SUMIFS(Expense_master[Days_in_Month],Expense_master[Month_Key],Daily_Data[[#This Row],[Month_key]])</f>
        <v>2258.0645161290322</v>
      </c>
      <c r="M588" s="10">
        <f>Daily_Data[[#This Row],[Rooms_Occupied]] * (SUMIFS(Expense_master[Housekeeping_Laundy],Expense_master[Month_Key],Daily_Data[[#This Row],[Month_key]]) / SUMIFS(Occupancy_table[Monthly_rooms_Occupied],Occupancy_table[Month_Key],Daily_Data[[#This Row],[Month_key]]))</f>
        <v>301.20481927710847</v>
      </c>
      <c r="N5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588" s="10">
        <f>SUMIFS(Expense_master[Monthly_Maintenance],Expense_master[Month_Key],Daily_Data[[#This Row],[Month_key]]) / SUMIFS(Expense_master[Days_in_Month],Expense_master[Month_Key], Daily_Data[[#This Row],[Month_key]])</f>
        <v>645.16129032258061</v>
      </c>
      <c r="P588" s="10">
        <f xml:space="preserve"> Daily_Data[[#This Row],[OTA Commision]] + Daily_Data[[#This Row],[Daily_Rent]]+Daily_Data[[#This Row],[Daily_Staff]]+Daily_Data[[#This Row],[Daily_HK]]+Daily_Data[[#This Row],[Daily_Electricity]] + Daily_Data[[#This Row],[Daily Maintenance]]</f>
        <v>15969.536300038868</v>
      </c>
      <c r="Q588" s="10">
        <f>Daily_Data[[#This Row],[Total_Sales]]-Daily_Data[[#This Row],[Total_Daily_Expense]]</f>
        <v>-1799.5363000388679</v>
      </c>
      <c r="R588" s="10">
        <f>Daily_Data[[#This Row],[Total_Sales]]/Daily_Data[[#This Row],[Rooms_Occupied]]</f>
        <v>1417</v>
      </c>
      <c r="S588" s="10">
        <f>Daily_Data[[#This Row],[Total_Sales]] / Daily_Data[[#This Row],[Max_rooms]]</f>
        <v>1012.1428571428571</v>
      </c>
    </row>
    <row r="589" spans="1:19" x14ac:dyDescent="0.25">
      <c r="A589" s="6">
        <v>45514</v>
      </c>
      <c r="B589" s="20">
        <f>DATE(YEAR(Daily_Data[[#This Row],[Date]]), MONTH(Daily_Data[[#This Row],[Date]]), 1)</f>
        <v>45505</v>
      </c>
      <c r="C589" s="20" t="str">
        <f>TEXT(Daily_Data[[#This Row],[Month_key]],"mmmm")</f>
        <v>August</v>
      </c>
      <c r="D589" s="20" t="str">
        <f>TEXT(Daily_Data[[#This Row],[Month_key]],"yyyy")</f>
        <v>2024</v>
      </c>
      <c r="E589" s="7">
        <v>11</v>
      </c>
      <c r="F589" s="7">
        <v>14</v>
      </c>
      <c r="G589" s="8">
        <f>Daily_Data[[#This Row],[Rooms_Occupied]]/F589</f>
        <v>0.7857142857142857</v>
      </c>
      <c r="H589" s="7">
        <v>1119</v>
      </c>
      <c r="I589" s="7">
        <f>Daily_Data[[#This Row],[Room_rate]]*Daily_Data[[#This Row],[Rooms_Occupied]]</f>
        <v>12309</v>
      </c>
      <c r="J589" s="10">
        <f>Daily_Data[[#This Row],[Total_Sales]] * 0.22</f>
        <v>2707.98</v>
      </c>
      <c r="K589" s="10">
        <f>INDEX(Expense_master[Monthly_Rent],MATCH(Daily_Data[[#This Row],[Month_key]],Expense_master[Month_Key],0)) / INDEX(Expense_master[Days_in_Month],MATCH(Daily_Data[[#This Row],[Month_key]],Expense_master[Month_Key],0))</f>
        <v>8064.5161290322585</v>
      </c>
      <c r="L589" s="10">
        <f>SUMIFS(Expense_master[Staff_Salary],Expense_master[Month_Key],Daily_Data[[#This Row],[Month_key]]) / SUMIFS(Expense_master[Days_in_Month],Expense_master[Month_Key],Daily_Data[[#This Row],[Month_key]])</f>
        <v>2258.0645161290322</v>
      </c>
      <c r="M589" s="10">
        <f>Daily_Data[[#This Row],[Rooms_Occupied]] * (SUMIFS(Expense_master[Housekeeping_Laundy],Expense_master[Month_Key],Daily_Data[[#This Row],[Month_key]]) / SUMIFS(Occupancy_table[Monthly_rooms_Occupied],Occupancy_table[Month_Key],Daily_Data[[#This Row],[Month_key]]))</f>
        <v>331.32530120481931</v>
      </c>
      <c r="N5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1675.5588223863194</v>
      </c>
      <c r="O589" s="10">
        <f>SUMIFS(Expense_master[Monthly_Maintenance],Expense_master[Month_Key],Daily_Data[[#This Row],[Month_key]]) / SUMIFS(Expense_master[Days_in_Month],Expense_master[Month_Key], Daily_Data[[#This Row],[Month_key]])</f>
        <v>645.16129032258061</v>
      </c>
      <c r="P589" s="10">
        <f xml:space="preserve"> Daily_Data[[#This Row],[OTA Commision]] + Daily_Data[[#This Row],[Daily_Rent]]+Daily_Data[[#This Row],[Daily_Staff]]+Daily_Data[[#This Row],[Daily_HK]]+Daily_Data[[#This Row],[Daily_Electricity]] + Daily_Data[[#This Row],[Daily Maintenance]]</f>
        <v>15682.606059075011</v>
      </c>
      <c r="Q589" s="10">
        <f>Daily_Data[[#This Row],[Total_Sales]]-Daily_Data[[#This Row],[Total_Daily_Expense]]</f>
        <v>-3373.6060590750112</v>
      </c>
      <c r="R589" s="10">
        <f>Daily_Data[[#This Row],[Total_Sales]]/Daily_Data[[#This Row],[Rooms_Occupied]]</f>
        <v>1119</v>
      </c>
      <c r="S589" s="10">
        <f>Daily_Data[[#This Row],[Total_Sales]] / Daily_Data[[#This Row],[Max_rooms]]</f>
        <v>879.21428571428567</v>
      </c>
    </row>
    <row r="590" spans="1:19" x14ac:dyDescent="0.25">
      <c r="A590" s="6">
        <v>45515</v>
      </c>
      <c r="B590" s="20">
        <f>DATE(YEAR(Daily_Data[[#This Row],[Date]]), MONTH(Daily_Data[[#This Row],[Date]]), 1)</f>
        <v>45505</v>
      </c>
      <c r="C590" s="20" t="str">
        <f>TEXT(Daily_Data[[#This Row],[Month_key]],"mmmm")</f>
        <v>August</v>
      </c>
      <c r="D590" s="20" t="str">
        <f>TEXT(Daily_Data[[#This Row],[Month_key]],"yyyy")</f>
        <v>2024</v>
      </c>
      <c r="E590" s="7">
        <v>10</v>
      </c>
      <c r="F590" s="7">
        <v>14</v>
      </c>
      <c r="G590" s="8">
        <f>Daily_Data[[#This Row],[Rooms_Occupied]]/F590</f>
        <v>0.7142857142857143</v>
      </c>
      <c r="H590" s="7">
        <v>1616</v>
      </c>
      <c r="I590" s="7">
        <f>Daily_Data[[#This Row],[Room_rate]]*Daily_Data[[#This Row],[Rooms_Occupied]]</f>
        <v>16160</v>
      </c>
      <c r="J590" s="10">
        <f>Daily_Data[[#This Row],[Total_Sales]] * 0.22</f>
        <v>3555.2</v>
      </c>
      <c r="K590" s="10">
        <f>INDEX(Expense_master[Monthly_Rent],MATCH(Daily_Data[[#This Row],[Month_key]],Expense_master[Month_Key],0)) / INDEX(Expense_master[Days_in_Month],MATCH(Daily_Data[[#This Row],[Month_key]],Expense_master[Month_Key],0))</f>
        <v>8064.5161290322585</v>
      </c>
      <c r="L590" s="10">
        <f>SUMIFS(Expense_master[Staff_Salary],Expense_master[Month_Key],Daily_Data[[#This Row],[Month_key]]) / SUMIFS(Expense_master[Days_in_Month],Expense_master[Month_Key],Daily_Data[[#This Row],[Month_key]])</f>
        <v>2258.0645161290322</v>
      </c>
      <c r="M590" s="10">
        <f>Daily_Data[[#This Row],[Rooms_Occupied]] * (SUMIFS(Expense_master[Housekeeping_Laundy],Expense_master[Month_Key],Daily_Data[[#This Row],[Month_key]]) / SUMIFS(Occupancy_table[Monthly_rooms_Occupied],Occupancy_table[Month_Key],Daily_Data[[#This Row],[Month_key]]))</f>
        <v>301.20481927710847</v>
      </c>
      <c r="N5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590" s="10">
        <f>SUMIFS(Expense_master[Monthly_Maintenance],Expense_master[Month_Key],Daily_Data[[#This Row],[Month_key]]) / SUMIFS(Expense_master[Days_in_Month],Expense_master[Month_Key], Daily_Data[[#This Row],[Month_key]])</f>
        <v>645.16129032258061</v>
      </c>
      <c r="P590" s="10">
        <f xml:space="preserve"> Daily_Data[[#This Row],[OTA Commision]] + Daily_Data[[#This Row],[Daily_Rent]]+Daily_Data[[#This Row],[Daily_Staff]]+Daily_Data[[#This Row],[Daily_HK]]+Daily_Data[[#This Row],[Daily_Electricity]] + Daily_Data[[#This Row],[Daily Maintenance]]</f>
        <v>16407.336300038867</v>
      </c>
      <c r="Q590" s="10">
        <f>Daily_Data[[#This Row],[Total_Sales]]-Daily_Data[[#This Row],[Total_Daily_Expense]]</f>
        <v>-247.33630003886719</v>
      </c>
      <c r="R590" s="10">
        <f>Daily_Data[[#This Row],[Total_Sales]]/Daily_Data[[#This Row],[Rooms_Occupied]]</f>
        <v>1616</v>
      </c>
      <c r="S590" s="10">
        <f>Daily_Data[[#This Row],[Total_Sales]] / Daily_Data[[#This Row],[Max_rooms]]</f>
        <v>1154.2857142857142</v>
      </c>
    </row>
    <row r="591" spans="1:19" x14ac:dyDescent="0.25">
      <c r="A591" s="6">
        <v>45516</v>
      </c>
      <c r="B591" s="20">
        <f>DATE(YEAR(Daily_Data[[#This Row],[Date]]), MONTH(Daily_Data[[#This Row],[Date]]), 1)</f>
        <v>45505</v>
      </c>
      <c r="C591" s="20" t="str">
        <f>TEXT(Daily_Data[[#This Row],[Month_key]],"mmmm")</f>
        <v>August</v>
      </c>
      <c r="D591" s="20" t="str">
        <f>TEXT(Daily_Data[[#This Row],[Month_key]],"yyyy")</f>
        <v>2024</v>
      </c>
      <c r="E591" s="7">
        <v>14</v>
      </c>
      <c r="F591" s="7">
        <v>14</v>
      </c>
      <c r="G591" s="8">
        <f>Daily_Data[[#This Row],[Rooms_Occupied]]/F591</f>
        <v>1</v>
      </c>
      <c r="H591" s="7">
        <v>1422</v>
      </c>
      <c r="I591" s="7">
        <f>Daily_Data[[#This Row],[Room_rate]]*Daily_Data[[#This Row],[Rooms_Occupied]]</f>
        <v>19908</v>
      </c>
      <c r="J591" s="10">
        <f>Daily_Data[[#This Row],[Total_Sales]] * 0.22</f>
        <v>4379.76</v>
      </c>
      <c r="K591" s="10">
        <f>INDEX(Expense_master[Monthly_Rent],MATCH(Daily_Data[[#This Row],[Month_key]],Expense_master[Month_Key],0)) / INDEX(Expense_master[Days_in_Month],MATCH(Daily_Data[[#This Row],[Month_key]],Expense_master[Month_Key],0))</f>
        <v>8064.5161290322585</v>
      </c>
      <c r="L591" s="10">
        <f>SUMIFS(Expense_master[Staff_Salary],Expense_master[Month_Key],Daily_Data[[#This Row],[Month_key]]) / SUMIFS(Expense_master[Days_in_Month],Expense_master[Month_Key],Daily_Data[[#This Row],[Month_key]])</f>
        <v>2258.0645161290322</v>
      </c>
      <c r="M591" s="10">
        <f>Daily_Data[[#This Row],[Rooms_Occupied]] * (SUMIFS(Expense_master[Housekeeping_Laundy],Expense_master[Month_Key],Daily_Data[[#This Row],[Month_key]]) / SUMIFS(Occupancy_table[Monthly_rooms_Occupied],Occupancy_table[Month_Key],Daily_Data[[#This Row],[Month_key]]))</f>
        <v>421.68674698795184</v>
      </c>
      <c r="N5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1952.6666537116207</v>
      </c>
      <c r="O591" s="10">
        <f>SUMIFS(Expense_master[Monthly_Maintenance],Expense_master[Month_Key],Daily_Data[[#This Row],[Month_key]]) / SUMIFS(Expense_master[Days_in_Month],Expense_master[Month_Key], Daily_Data[[#This Row],[Month_key]])</f>
        <v>645.16129032258061</v>
      </c>
      <c r="P591" s="10">
        <f xml:space="preserve"> Daily_Data[[#This Row],[OTA Commision]] + Daily_Data[[#This Row],[Daily_Rent]]+Daily_Data[[#This Row],[Daily_Staff]]+Daily_Data[[#This Row],[Daily_HK]]+Daily_Data[[#This Row],[Daily_Electricity]] + Daily_Data[[#This Row],[Daily Maintenance]]</f>
        <v>17721.855336183446</v>
      </c>
      <c r="Q591" s="10">
        <f>Daily_Data[[#This Row],[Total_Sales]]-Daily_Data[[#This Row],[Total_Daily_Expense]]</f>
        <v>2186.1446638165544</v>
      </c>
      <c r="R591" s="10">
        <f>Daily_Data[[#This Row],[Total_Sales]]/Daily_Data[[#This Row],[Rooms_Occupied]]</f>
        <v>1422</v>
      </c>
      <c r="S591" s="10">
        <f>Daily_Data[[#This Row],[Total_Sales]] / Daily_Data[[#This Row],[Max_rooms]]</f>
        <v>1422</v>
      </c>
    </row>
    <row r="592" spans="1:19" x14ac:dyDescent="0.25">
      <c r="A592" s="6">
        <v>45517</v>
      </c>
      <c r="B592" s="20">
        <f>DATE(YEAR(Daily_Data[[#This Row],[Date]]), MONTH(Daily_Data[[#This Row],[Date]]), 1)</f>
        <v>45505</v>
      </c>
      <c r="C592" s="20" t="str">
        <f>TEXT(Daily_Data[[#This Row],[Month_key]],"mmmm")</f>
        <v>August</v>
      </c>
      <c r="D592" s="20" t="str">
        <f>TEXT(Daily_Data[[#This Row],[Month_key]],"yyyy")</f>
        <v>2024</v>
      </c>
      <c r="E592" s="7">
        <v>10</v>
      </c>
      <c r="F592" s="7">
        <v>14</v>
      </c>
      <c r="G592" s="8">
        <f>Daily_Data[[#This Row],[Rooms_Occupied]]/F592</f>
        <v>0.7142857142857143</v>
      </c>
      <c r="H592" s="7">
        <v>1318</v>
      </c>
      <c r="I592" s="7">
        <f>Daily_Data[[#This Row],[Room_rate]]*Daily_Data[[#This Row],[Rooms_Occupied]]</f>
        <v>13180</v>
      </c>
      <c r="J592" s="10">
        <f>Daily_Data[[#This Row],[Total_Sales]] * 0.22</f>
        <v>2899.6</v>
      </c>
      <c r="K592" s="10">
        <f>INDEX(Expense_master[Monthly_Rent],MATCH(Daily_Data[[#This Row],[Month_key]],Expense_master[Month_Key],0)) / INDEX(Expense_master[Days_in_Month],MATCH(Daily_Data[[#This Row],[Month_key]],Expense_master[Month_Key],0))</f>
        <v>8064.5161290322585</v>
      </c>
      <c r="L592" s="10">
        <f>SUMIFS(Expense_master[Staff_Salary],Expense_master[Month_Key],Daily_Data[[#This Row],[Month_key]]) / SUMIFS(Expense_master[Days_in_Month],Expense_master[Month_Key],Daily_Data[[#This Row],[Month_key]])</f>
        <v>2258.0645161290322</v>
      </c>
      <c r="M592" s="10">
        <f>Daily_Data[[#This Row],[Rooms_Occupied]] * (SUMIFS(Expense_master[Housekeeping_Laundy],Expense_master[Month_Key],Daily_Data[[#This Row],[Month_key]]) / SUMIFS(Occupancy_table[Monthly_rooms_Occupied],Occupancy_table[Month_Key],Daily_Data[[#This Row],[Month_key]]))</f>
        <v>301.20481927710847</v>
      </c>
      <c r="N5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592" s="10">
        <f>SUMIFS(Expense_master[Monthly_Maintenance],Expense_master[Month_Key],Daily_Data[[#This Row],[Month_key]]) / SUMIFS(Expense_master[Days_in_Month],Expense_master[Month_Key], Daily_Data[[#This Row],[Month_key]])</f>
        <v>645.16129032258061</v>
      </c>
      <c r="P592" s="10">
        <f xml:space="preserve"> Daily_Data[[#This Row],[OTA Commision]] + Daily_Data[[#This Row],[Daily_Rent]]+Daily_Data[[#This Row],[Daily_Staff]]+Daily_Data[[#This Row],[Daily_HK]]+Daily_Data[[#This Row],[Daily_Electricity]] + Daily_Data[[#This Row],[Daily Maintenance]]</f>
        <v>15751.736300038867</v>
      </c>
      <c r="Q592" s="10">
        <f>Daily_Data[[#This Row],[Total_Sales]]-Daily_Data[[#This Row],[Total_Daily_Expense]]</f>
        <v>-2571.7363000388668</v>
      </c>
      <c r="R592" s="10">
        <f>Daily_Data[[#This Row],[Total_Sales]]/Daily_Data[[#This Row],[Rooms_Occupied]]</f>
        <v>1318</v>
      </c>
      <c r="S592" s="10">
        <f>Daily_Data[[#This Row],[Total_Sales]] / Daily_Data[[#This Row],[Max_rooms]]</f>
        <v>941.42857142857144</v>
      </c>
    </row>
    <row r="593" spans="1:19" x14ac:dyDescent="0.25">
      <c r="A593" s="6">
        <v>45518</v>
      </c>
      <c r="B593" s="20">
        <f>DATE(YEAR(Daily_Data[[#This Row],[Date]]), MONTH(Daily_Data[[#This Row],[Date]]), 1)</f>
        <v>45505</v>
      </c>
      <c r="C593" s="20" t="str">
        <f>TEXT(Daily_Data[[#This Row],[Month_key]],"mmmm")</f>
        <v>August</v>
      </c>
      <c r="D593" s="20" t="str">
        <f>TEXT(Daily_Data[[#This Row],[Month_key]],"yyyy")</f>
        <v>2024</v>
      </c>
      <c r="E593" s="7">
        <v>13</v>
      </c>
      <c r="F593" s="7">
        <v>14</v>
      </c>
      <c r="G593" s="8">
        <f>Daily_Data[[#This Row],[Rooms_Occupied]]/F593</f>
        <v>0.9285714285714286</v>
      </c>
      <c r="H593" s="7">
        <v>1830</v>
      </c>
      <c r="I593" s="7">
        <f>Daily_Data[[#This Row],[Room_rate]]*Daily_Data[[#This Row],[Rooms_Occupied]]</f>
        <v>23790</v>
      </c>
      <c r="J593" s="10">
        <f>Daily_Data[[#This Row],[Total_Sales]] * 0.22</f>
        <v>5233.8</v>
      </c>
      <c r="K593" s="10">
        <f>INDEX(Expense_master[Monthly_Rent],MATCH(Daily_Data[[#This Row],[Month_key]],Expense_master[Month_Key],0)) / INDEX(Expense_master[Days_in_Month],MATCH(Daily_Data[[#This Row],[Month_key]],Expense_master[Month_Key],0))</f>
        <v>8064.5161290322585</v>
      </c>
      <c r="L593" s="10">
        <f>SUMIFS(Expense_master[Staff_Salary],Expense_master[Month_Key],Daily_Data[[#This Row],[Month_key]]) / SUMIFS(Expense_master[Days_in_Month],Expense_master[Month_Key],Daily_Data[[#This Row],[Month_key]])</f>
        <v>2258.0645161290322</v>
      </c>
      <c r="M593" s="10">
        <f>Daily_Data[[#This Row],[Rooms_Occupied]] * (SUMIFS(Expense_master[Housekeeping_Laundy],Expense_master[Month_Key],Daily_Data[[#This Row],[Month_key]]) / SUMIFS(Occupancy_table[Monthly_rooms_Occupied],Occupancy_table[Month_Key],Daily_Data[[#This Row],[Month_key]]))</f>
        <v>391.56626506024099</v>
      </c>
      <c r="N5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1860.2973766031869</v>
      </c>
      <c r="O593" s="10">
        <f>SUMIFS(Expense_master[Monthly_Maintenance],Expense_master[Month_Key],Daily_Data[[#This Row],[Month_key]]) / SUMIFS(Expense_master[Days_in_Month],Expense_master[Month_Key], Daily_Data[[#This Row],[Month_key]])</f>
        <v>645.16129032258061</v>
      </c>
      <c r="P593" s="10">
        <f xml:space="preserve"> Daily_Data[[#This Row],[OTA Commision]] + Daily_Data[[#This Row],[Daily_Rent]]+Daily_Data[[#This Row],[Daily_Staff]]+Daily_Data[[#This Row],[Daily_HK]]+Daily_Data[[#This Row],[Daily_Electricity]] + Daily_Data[[#This Row],[Daily Maintenance]]</f>
        <v>18453.405577147299</v>
      </c>
      <c r="Q593" s="10">
        <f>Daily_Data[[#This Row],[Total_Sales]]-Daily_Data[[#This Row],[Total_Daily_Expense]]</f>
        <v>5336.5944228527005</v>
      </c>
      <c r="R593" s="10">
        <f>Daily_Data[[#This Row],[Total_Sales]]/Daily_Data[[#This Row],[Rooms_Occupied]]</f>
        <v>1830</v>
      </c>
      <c r="S593" s="10">
        <f>Daily_Data[[#This Row],[Total_Sales]] / Daily_Data[[#This Row],[Max_rooms]]</f>
        <v>1699.2857142857142</v>
      </c>
    </row>
    <row r="594" spans="1:19" x14ac:dyDescent="0.25">
      <c r="A594" s="6">
        <v>45519</v>
      </c>
      <c r="B594" s="20">
        <f>DATE(YEAR(Daily_Data[[#This Row],[Date]]), MONTH(Daily_Data[[#This Row],[Date]]), 1)</f>
        <v>45505</v>
      </c>
      <c r="C594" s="20" t="str">
        <f>TEXT(Daily_Data[[#This Row],[Month_key]],"mmmm")</f>
        <v>August</v>
      </c>
      <c r="D594" s="20" t="str">
        <f>TEXT(Daily_Data[[#This Row],[Month_key]],"yyyy")</f>
        <v>2024</v>
      </c>
      <c r="E594" s="7">
        <v>10</v>
      </c>
      <c r="F594" s="7">
        <v>14</v>
      </c>
      <c r="G594" s="8">
        <f>Daily_Data[[#This Row],[Rooms_Occupied]]/F594</f>
        <v>0.7142857142857143</v>
      </c>
      <c r="H594" s="7">
        <v>1525</v>
      </c>
      <c r="I594" s="7">
        <f>Daily_Data[[#This Row],[Room_rate]]*Daily_Data[[#This Row],[Rooms_Occupied]]</f>
        <v>15250</v>
      </c>
      <c r="J594" s="10">
        <f>Daily_Data[[#This Row],[Total_Sales]] * 0.22</f>
        <v>3355</v>
      </c>
      <c r="K594" s="10">
        <f>INDEX(Expense_master[Monthly_Rent],MATCH(Daily_Data[[#This Row],[Month_key]],Expense_master[Month_Key],0)) / INDEX(Expense_master[Days_in_Month],MATCH(Daily_Data[[#This Row],[Month_key]],Expense_master[Month_Key],0))</f>
        <v>8064.5161290322585</v>
      </c>
      <c r="L594" s="10">
        <f>SUMIFS(Expense_master[Staff_Salary],Expense_master[Month_Key],Daily_Data[[#This Row],[Month_key]]) / SUMIFS(Expense_master[Days_in_Month],Expense_master[Month_Key],Daily_Data[[#This Row],[Month_key]])</f>
        <v>2258.0645161290322</v>
      </c>
      <c r="M594" s="10">
        <f>Daily_Data[[#This Row],[Rooms_Occupied]] * (SUMIFS(Expense_master[Housekeeping_Laundy],Expense_master[Month_Key],Daily_Data[[#This Row],[Month_key]]) / SUMIFS(Occupancy_table[Monthly_rooms_Occupied],Occupancy_table[Month_Key],Daily_Data[[#This Row],[Month_key]]))</f>
        <v>301.20481927710847</v>
      </c>
      <c r="N5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594" s="10">
        <f>SUMIFS(Expense_master[Monthly_Maintenance],Expense_master[Month_Key],Daily_Data[[#This Row],[Month_key]]) / SUMIFS(Expense_master[Days_in_Month],Expense_master[Month_Key], Daily_Data[[#This Row],[Month_key]])</f>
        <v>645.16129032258061</v>
      </c>
      <c r="P594" s="10">
        <f xml:space="preserve"> Daily_Data[[#This Row],[OTA Commision]] + Daily_Data[[#This Row],[Daily_Rent]]+Daily_Data[[#This Row],[Daily_Staff]]+Daily_Data[[#This Row],[Daily_HK]]+Daily_Data[[#This Row],[Daily_Electricity]] + Daily_Data[[#This Row],[Daily Maintenance]]</f>
        <v>16207.136300038866</v>
      </c>
      <c r="Q594" s="10">
        <f>Daily_Data[[#This Row],[Total_Sales]]-Daily_Data[[#This Row],[Total_Daily_Expense]]</f>
        <v>-957.13630003886647</v>
      </c>
      <c r="R594" s="10">
        <f>Daily_Data[[#This Row],[Total_Sales]]/Daily_Data[[#This Row],[Rooms_Occupied]]</f>
        <v>1525</v>
      </c>
      <c r="S594" s="10">
        <f>Daily_Data[[#This Row],[Total_Sales]] / Daily_Data[[#This Row],[Max_rooms]]</f>
        <v>1089.2857142857142</v>
      </c>
    </row>
    <row r="595" spans="1:19" x14ac:dyDescent="0.25">
      <c r="A595" s="6">
        <v>45520</v>
      </c>
      <c r="B595" s="20">
        <f>DATE(YEAR(Daily_Data[[#This Row],[Date]]), MONTH(Daily_Data[[#This Row],[Date]]), 1)</f>
        <v>45505</v>
      </c>
      <c r="C595" s="20" t="str">
        <f>TEXT(Daily_Data[[#This Row],[Month_key]],"mmmm")</f>
        <v>August</v>
      </c>
      <c r="D595" s="20" t="str">
        <f>TEXT(Daily_Data[[#This Row],[Month_key]],"yyyy")</f>
        <v>2024</v>
      </c>
      <c r="E595" s="7">
        <v>14</v>
      </c>
      <c r="F595" s="7">
        <v>14</v>
      </c>
      <c r="G595" s="8">
        <f>Daily_Data[[#This Row],[Rooms_Occupied]]/F595</f>
        <v>1</v>
      </c>
      <c r="H595" s="7">
        <v>1042</v>
      </c>
      <c r="I595" s="7">
        <f>Daily_Data[[#This Row],[Room_rate]]*Daily_Data[[#This Row],[Rooms_Occupied]]</f>
        <v>14588</v>
      </c>
      <c r="J595" s="10">
        <f>Daily_Data[[#This Row],[Total_Sales]] * 0.22</f>
        <v>3209.36</v>
      </c>
      <c r="K595" s="10">
        <f>INDEX(Expense_master[Monthly_Rent],MATCH(Daily_Data[[#This Row],[Month_key]],Expense_master[Month_Key],0)) / INDEX(Expense_master[Days_in_Month],MATCH(Daily_Data[[#This Row],[Month_key]],Expense_master[Month_Key],0))</f>
        <v>8064.5161290322585</v>
      </c>
      <c r="L595" s="10">
        <f>SUMIFS(Expense_master[Staff_Salary],Expense_master[Month_Key],Daily_Data[[#This Row],[Month_key]]) / SUMIFS(Expense_master[Days_in_Month],Expense_master[Month_Key],Daily_Data[[#This Row],[Month_key]])</f>
        <v>2258.0645161290322</v>
      </c>
      <c r="M595" s="10">
        <f>Daily_Data[[#This Row],[Rooms_Occupied]] * (SUMIFS(Expense_master[Housekeeping_Laundy],Expense_master[Month_Key],Daily_Data[[#This Row],[Month_key]]) / SUMIFS(Occupancy_table[Monthly_rooms_Occupied],Occupancy_table[Month_Key],Daily_Data[[#This Row],[Month_key]]))</f>
        <v>421.68674698795184</v>
      </c>
      <c r="N5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1952.6666537116207</v>
      </c>
      <c r="O595" s="10">
        <f>SUMIFS(Expense_master[Monthly_Maintenance],Expense_master[Month_Key],Daily_Data[[#This Row],[Month_key]]) / SUMIFS(Expense_master[Days_in_Month],Expense_master[Month_Key], Daily_Data[[#This Row],[Month_key]])</f>
        <v>645.16129032258061</v>
      </c>
      <c r="P595" s="10">
        <f xml:space="preserve"> Daily_Data[[#This Row],[OTA Commision]] + Daily_Data[[#This Row],[Daily_Rent]]+Daily_Data[[#This Row],[Daily_Staff]]+Daily_Data[[#This Row],[Daily_HK]]+Daily_Data[[#This Row],[Daily_Electricity]] + Daily_Data[[#This Row],[Daily Maintenance]]</f>
        <v>16551.455336183444</v>
      </c>
      <c r="Q595" s="10">
        <f>Daily_Data[[#This Row],[Total_Sales]]-Daily_Data[[#This Row],[Total_Daily_Expense]]</f>
        <v>-1963.4553361834442</v>
      </c>
      <c r="R595" s="10">
        <f>Daily_Data[[#This Row],[Total_Sales]]/Daily_Data[[#This Row],[Rooms_Occupied]]</f>
        <v>1042</v>
      </c>
      <c r="S595" s="10">
        <f>Daily_Data[[#This Row],[Total_Sales]] / Daily_Data[[#This Row],[Max_rooms]]</f>
        <v>1042</v>
      </c>
    </row>
    <row r="596" spans="1:19" x14ac:dyDescent="0.25">
      <c r="A596" s="6">
        <v>45521</v>
      </c>
      <c r="B596" s="20">
        <f>DATE(YEAR(Daily_Data[[#This Row],[Date]]), MONTH(Daily_Data[[#This Row],[Date]]), 1)</f>
        <v>45505</v>
      </c>
      <c r="C596" s="20" t="str">
        <f>TEXT(Daily_Data[[#This Row],[Month_key]],"mmmm")</f>
        <v>August</v>
      </c>
      <c r="D596" s="20" t="str">
        <f>TEXT(Daily_Data[[#This Row],[Month_key]],"yyyy")</f>
        <v>2024</v>
      </c>
      <c r="E596" s="7">
        <v>9</v>
      </c>
      <c r="F596" s="7">
        <v>14</v>
      </c>
      <c r="G596" s="8">
        <f>Daily_Data[[#This Row],[Rooms_Occupied]]/F596</f>
        <v>0.6428571428571429</v>
      </c>
      <c r="H596" s="7">
        <v>1642</v>
      </c>
      <c r="I596" s="7">
        <f>Daily_Data[[#This Row],[Room_rate]]*Daily_Data[[#This Row],[Rooms_Occupied]]</f>
        <v>14778</v>
      </c>
      <c r="J596" s="10">
        <f>Daily_Data[[#This Row],[Total_Sales]] * 0.22</f>
        <v>3251.16</v>
      </c>
      <c r="K596" s="10">
        <f>INDEX(Expense_master[Monthly_Rent],MATCH(Daily_Data[[#This Row],[Month_key]],Expense_master[Month_Key],0)) / INDEX(Expense_master[Days_in_Month],MATCH(Daily_Data[[#This Row],[Month_key]],Expense_master[Month_Key],0))</f>
        <v>8064.5161290322585</v>
      </c>
      <c r="L596" s="10">
        <f>SUMIFS(Expense_master[Staff_Salary],Expense_master[Month_Key],Daily_Data[[#This Row],[Month_key]]) / SUMIFS(Expense_master[Days_in_Month],Expense_master[Month_Key],Daily_Data[[#This Row],[Month_key]])</f>
        <v>2258.0645161290322</v>
      </c>
      <c r="M596" s="10">
        <f>Daily_Data[[#This Row],[Rooms_Occupied]] * (SUMIFS(Expense_master[Housekeeping_Laundy],Expense_master[Month_Key],Daily_Data[[#This Row],[Month_key]]) / SUMIFS(Occupancy_table[Monthly_rooms_Occupied],Occupancy_table[Month_Key],Daily_Data[[#This Row],[Month_key]]))</f>
        <v>271.08433734939763</v>
      </c>
      <c r="N5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596" s="10">
        <f>SUMIFS(Expense_master[Monthly_Maintenance],Expense_master[Month_Key],Daily_Data[[#This Row],[Month_key]]) / SUMIFS(Expense_master[Days_in_Month],Expense_master[Month_Key], Daily_Data[[#This Row],[Month_key]])</f>
        <v>645.16129032258061</v>
      </c>
      <c r="P596" s="10">
        <f xml:space="preserve"> Daily_Data[[#This Row],[OTA Commision]] + Daily_Data[[#This Row],[Daily_Rent]]+Daily_Data[[#This Row],[Daily_Staff]]+Daily_Data[[#This Row],[Daily_HK]]+Daily_Data[[#This Row],[Daily_Electricity]] + Daily_Data[[#This Row],[Daily Maintenance]]</f>
        <v>15980.806541002721</v>
      </c>
      <c r="Q596" s="10">
        <f>Daily_Data[[#This Row],[Total_Sales]]-Daily_Data[[#This Row],[Total_Daily_Expense]]</f>
        <v>-1202.8065410027211</v>
      </c>
      <c r="R596" s="10">
        <f>Daily_Data[[#This Row],[Total_Sales]]/Daily_Data[[#This Row],[Rooms_Occupied]]</f>
        <v>1642</v>
      </c>
      <c r="S596" s="10">
        <f>Daily_Data[[#This Row],[Total_Sales]] / Daily_Data[[#This Row],[Max_rooms]]</f>
        <v>1055.5714285714287</v>
      </c>
    </row>
    <row r="597" spans="1:19" x14ac:dyDescent="0.25">
      <c r="A597" s="6">
        <v>45522</v>
      </c>
      <c r="B597" s="20">
        <f>DATE(YEAR(Daily_Data[[#This Row],[Date]]), MONTH(Daily_Data[[#This Row],[Date]]), 1)</f>
        <v>45505</v>
      </c>
      <c r="C597" s="20" t="str">
        <f>TEXT(Daily_Data[[#This Row],[Month_key]],"mmmm")</f>
        <v>August</v>
      </c>
      <c r="D597" s="20" t="str">
        <f>TEXT(Daily_Data[[#This Row],[Month_key]],"yyyy")</f>
        <v>2024</v>
      </c>
      <c r="E597" s="7">
        <v>13</v>
      </c>
      <c r="F597" s="7">
        <v>14</v>
      </c>
      <c r="G597" s="8">
        <f>Daily_Data[[#This Row],[Rooms_Occupied]]/F597</f>
        <v>0.9285714285714286</v>
      </c>
      <c r="H597" s="7">
        <v>1228</v>
      </c>
      <c r="I597" s="7">
        <f>Daily_Data[[#This Row],[Room_rate]]*Daily_Data[[#This Row],[Rooms_Occupied]]</f>
        <v>15964</v>
      </c>
      <c r="J597" s="10">
        <f>Daily_Data[[#This Row],[Total_Sales]] * 0.22</f>
        <v>3512.08</v>
      </c>
      <c r="K597" s="10">
        <f>INDEX(Expense_master[Monthly_Rent],MATCH(Daily_Data[[#This Row],[Month_key]],Expense_master[Month_Key],0)) / INDEX(Expense_master[Days_in_Month],MATCH(Daily_Data[[#This Row],[Month_key]],Expense_master[Month_Key],0))</f>
        <v>8064.5161290322585</v>
      </c>
      <c r="L597" s="10">
        <f>SUMIFS(Expense_master[Staff_Salary],Expense_master[Month_Key],Daily_Data[[#This Row],[Month_key]]) / SUMIFS(Expense_master[Days_in_Month],Expense_master[Month_Key],Daily_Data[[#This Row],[Month_key]])</f>
        <v>2258.0645161290322</v>
      </c>
      <c r="M597" s="10">
        <f>Daily_Data[[#This Row],[Rooms_Occupied]] * (SUMIFS(Expense_master[Housekeeping_Laundy],Expense_master[Month_Key],Daily_Data[[#This Row],[Month_key]]) / SUMIFS(Occupancy_table[Monthly_rooms_Occupied],Occupancy_table[Month_Key],Daily_Data[[#This Row],[Month_key]]))</f>
        <v>391.56626506024099</v>
      </c>
      <c r="N5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1860.2973766031869</v>
      </c>
      <c r="O597" s="10">
        <f>SUMIFS(Expense_master[Monthly_Maintenance],Expense_master[Month_Key],Daily_Data[[#This Row],[Month_key]]) / SUMIFS(Expense_master[Days_in_Month],Expense_master[Month_Key], Daily_Data[[#This Row],[Month_key]])</f>
        <v>645.16129032258061</v>
      </c>
      <c r="P597" s="10">
        <f xml:space="preserve"> Daily_Data[[#This Row],[OTA Commision]] + Daily_Data[[#This Row],[Daily_Rent]]+Daily_Data[[#This Row],[Daily_Staff]]+Daily_Data[[#This Row],[Daily_HK]]+Daily_Data[[#This Row],[Daily_Electricity]] + Daily_Data[[#This Row],[Daily Maintenance]]</f>
        <v>16731.685577147298</v>
      </c>
      <c r="Q597" s="10">
        <f>Daily_Data[[#This Row],[Total_Sales]]-Daily_Data[[#This Row],[Total_Daily_Expense]]</f>
        <v>-767.68557714729832</v>
      </c>
      <c r="R597" s="10">
        <f>Daily_Data[[#This Row],[Total_Sales]]/Daily_Data[[#This Row],[Rooms_Occupied]]</f>
        <v>1228</v>
      </c>
      <c r="S597" s="10">
        <f>Daily_Data[[#This Row],[Total_Sales]] / Daily_Data[[#This Row],[Max_rooms]]</f>
        <v>1140.2857142857142</v>
      </c>
    </row>
    <row r="598" spans="1:19" x14ac:dyDescent="0.25">
      <c r="A598" s="6">
        <v>45523</v>
      </c>
      <c r="B598" s="20">
        <f>DATE(YEAR(Daily_Data[[#This Row],[Date]]), MONTH(Daily_Data[[#This Row],[Date]]), 1)</f>
        <v>45505</v>
      </c>
      <c r="C598" s="20" t="str">
        <f>TEXT(Daily_Data[[#This Row],[Month_key]],"mmmm")</f>
        <v>August</v>
      </c>
      <c r="D598" s="20" t="str">
        <f>TEXT(Daily_Data[[#This Row],[Month_key]],"yyyy")</f>
        <v>2024</v>
      </c>
      <c r="E598" s="7">
        <v>9</v>
      </c>
      <c r="F598" s="7">
        <v>14</v>
      </c>
      <c r="G598" s="8">
        <f>Daily_Data[[#This Row],[Rooms_Occupied]]/F598</f>
        <v>0.6428571428571429</v>
      </c>
      <c r="H598" s="7">
        <v>1226</v>
      </c>
      <c r="I598" s="7">
        <f>Daily_Data[[#This Row],[Room_rate]]*Daily_Data[[#This Row],[Rooms_Occupied]]</f>
        <v>11034</v>
      </c>
      <c r="J598" s="10">
        <f>Daily_Data[[#This Row],[Total_Sales]] * 0.22</f>
        <v>2427.48</v>
      </c>
      <c r="K598" s="10">
        <f>INDEX(Expense_master[Monthly_Rent],MATCH(Daily_Data[[#This Row],[Month_key]],Expense_master[Month_Key],0)) / INDEX(Expense_master[Days_in_Month],MATCH(Daily_Data[[#This Row],[Month_key]],Expense_master[Month_Key],0))</f>
        <v>8064.5161290322585</v>
      </c>
      <c r="L598" s="10">
        <f>SUMIFS(Expense_master[Staff_Salary],Expense_master[Month_Key],Daily_Data[[#This Row],[Month_key]]) / SUMIFS(Expense_master[Days_in_Month],Expense_master[Month_Key],Daily_Data[[#This Row],[Month_key]])</f>
        <v>2258.0645161290322</v>
      </c>
      <c r="M598" s="10">
        <f>Daily_Data[[#This Row],[Rooms_Occupied]] * (SUMIFS(Expense_master[Housekeeping_Laundy],Expense_master[Month_Key],Daily_Data[[#This Row],[Month_key]]) / SUMIFS(Occupancy_table[Monthly_rooms_Occupied],Occupancy_table[Month_Key],Daily_Data[[#This Row],[Month_key]]))</f>
        <v>271.08433734939763</v>
      </c>
      <c r="N5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598" s="10">
        <f>SUMIFS(Expense_master[Monthly_Maintenance],Expense_master[Month_Key],Daily_Data[[#This Row],[Month_key]]) / SUMIFS(Expense_master[Days_in_Month],Expense_master[Month_Key], Daily_Data[[#This Row],[Month_key]])</f>
        <v>645.16129032258061</v>
      </c>
      <c r="P598" s="10">
        <f xml:space="preserve"> Daily_Data[[#This Row],[OTA Commision]] + Daily_Data[[#This Row],[Daily_Rent]]+Daily_Data[[#This Row],[Daily_Staff]]+Daily_Data[[#This Row],[Daily_HK]]+Daily_Data[[#This Row],[Daily_Electricity]] + Daily_Data[[#This Row],[Daily Maintenance]]</f>
        <v>15157.126541002721</v>
      </c>
      <c r="Q598" s="10">
        <f>Daily_Data[[#This Row],[Total_Sales]]-Daily_Data[[#This Row],[Total_Daily_Expense]]</f>
        <v>-4123.1265410027208</v>
      </c>
      <c r="R598" s="10">
        <f>Daily_Data[[#This Row],[Total_Sales]]/Daily_Data[[#This Row],[Rooms_Occupied]]</f>
        <v>1226</v>
      </c>
      <c r="S598" s="10">
        <f>Daily_Data[[#This Row],[Total_Sales]] / Daily_Data[[#This Row],[Max_rooms]]</f>
        <v>788.14285714285711</v>
      </c>
    </row>
    <row r="599" spans="1:19" x14ac:dyDescent="0.25">
      <c r="A599" s="6">
        <v>45524</v>
      </c>
      <c r="B599" s="20">
        <f>DATE(YEAR(Daily_Data[[#This Row],[Date]]), MONTH(Daily_Data[[#This Row],[Date]]), 1)</f>
        <v>45505</v>
      </c>
      <c r="C599" s="20" t="str">
        <f>TEXT(Daily_Data[[#This Row],[Month_key]],"mmmm")</f>
        <v>August</v>
      </c>
      <c r="D599" s="20" t="str">
        <f>TEXT(Daily_Data[[#This Row],[Month_key]],"yyyy")</f>
        <v>2024</v>
      </c>
      <c r="E599" s="7">
        <v>9</v>
      </c>
      <c r="F599" s="7">
        <v>14</v>
      </c>
      <c r="G599" s="8">
        <f>Daily_Data[[#This Row],[Rooms_Occupied]]/F599</f>
        <v>0.6428571428571429</v>
      </c>
      <c r="H599" s="7">
        <v>1889</v>
      </c>
      <c r="I599" s="7">
        <f>Daily_Data[[#This Row],[Room_rate]]*Daily_Data[[#This Row],[Rooms_Occupied]]</f>
        <v>17001</v>
      </c>
      <c r="J599" s="10">
        <f>Daily_Data[[#This Row],[Total_Sales]] * 0.22</f>
        <v>3740.22</v>
      </c>
      <c r="K599" s="10">
        <f>INDEX(Expense_master[Monthly_Rent],MATCH(Daily_Data[[#This Row],[Month_key]],Expense_master[Month_Key],0)) / INDEX(Expense_master[Days_in_Month],MATCH(Daily_Data[[#This Row],[Month_key]],Expense_master[Month_Key],0))</f>
        <v>8064.5161290322585</v>
      </c>
      <c r="L599" s="10">
        <f>SUMIFS(Expense_master[Staff_Salary],Expense_master[Month_Key],Daily_Data[[#This Row],[Month_key]]) / SUMIFS(Expense_master[Days_in_Month],Expense_master[Month_Key],Daily_Data[[#This Row],[Month_key]])</f>
        <v>2258.0645161290322</v>
      </c>
      <c r="M599" s="10">
        <f>Daily_Data[[#This Row],[Rooms_Occupied]] * (SUMIFS(Expense_master[Housekeeping_Laundy],Expense_master[Month_Key],Daily_Data[[#This Row],[Month_key]]) / SUMIFS(Occupancy_table[Monthly_rooms_Occupied],Occupancy_table[Month_Key],Daily_Data[[#This Row],[Month_key]]))</f>
        <v>271.08433734939763</v>
      </c>
      <c r="N5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599" s="10">
        <f>SUMIFS(Expense_master[Monthly_Maintenance],Expense_master[Month_Key],Daily_Data[[#This Row],[Month_key]]) / SUMIFS(Expense_master[Days_in_Month],Expense_master[Month_Key], Daily_Data[[#This Row],[Month_key]])</f>
        <v>645.16129032258061</v>
      </c>
      <c r="P599" s="10">
        <f xml:space="preserve"> Daily_Data[[#This Row],[OTA Commision]] + Daily_Data[[#This Row],[Daily_Rent]]+Daily_Data[[#This Row],[Daily_Staff]]+Daily_Data[[#This Row],[Daily_HK]]+Daily_Data[[#This Row],[Daily_Electricity]] + Daily_Data[[#This Row],[Daily Maintenance]]</f>
        <v>16469.866541002721</v>
      </c>
      <c r="Q599" s="10">
        <f>Daily_Data[[#This Row],[Total_Sales]]-Daily_Data[[#This Row],[Total_Daily_Expense]]</f>
        <v>531.13345899727938</v>
      </c>
      <c r="R599" s="10">
        <f>Daily_Data[[#This Row],[Total_Sales]]/Daily_Data[[#This Row],[Rooms_Occupied]]</f>
        <v>1889</v>
      </c>
      <c r="S599" s="10">
        <f>Daily_Data[[#This Row],[Total_Sales]] / Daily_Data[[#This Row],[Max_rooms]]</f>
        <v>1214.3571428571429</v>
      </c>
    </row>
    <row r="600" spans="1:19" x14ac:dyDescent="0.25">
      <c r="A600" s="6">
        <v>45525</v>
      </c>
      <c r="B600" s="20">
        <f>DATE(YEAR(Daily_Data[[#This Row],[Date]]), MONTH(Daily_Data[[#This Row],[Date]]), 1)</f>
        <v>45505</v>
      </c>
      <c r="C600" s="20" t="str">
        <f>TEXT(Daily_Data[[#This Row],[Month_key]],"mmmm")</f>
        <v>August</v>
      </c>
      <c r="D600" s="20" t="str">
        <f>TEXT(Daily_Data[[#This Row],[Month_key]],"yyyy")</f>
        <v>2024</v>
      </c>
      <c r="E600" s="7">
        <v>11</v>
      </c>
      <c r="F600" s="7">
        <v>14</v>
      </c>
      <c r="G600" s="8">
        <f>Daily_Data[[#This Row],[Rooms_Occupied]]/F600</f>
        <v>0.7857142857142857</v>
      </c>
      <c r="H600" s="7">
        <v>1296</v>
      </c>
      <c r="I600" s="7">
        <f>Daily_Data[[#This Row],[Room_rate]]*Daily_Data[[#This Row],[Rooms_Occupied]]</f>
        <v>14256</v>
      </c>
      <c r="J600" s="10">
        <f>Daily_Data[[#This Row],[Total_Sales]] * 0.22</f>
        <v>3136.32</v>
      </c>
      <c r="K600" s="10">
        <f>INDEX(Expense_master[Monthly_Rent],MATCH(Daily_Data[[#This Row],[Month_key]],Expense_master[Month_Key],0)) / INDEX(Expense_master[Days_in_Month],MATCH(Daily_Data[[#This Row],[Month_key]],Expense_master[Month_Key],0))</f>
        <v>8064.5161290322585</v>
      </c>
      <c r="L600" s="10">
        <f>SUMIFS(Expense_master[Staff_Salary],Expense_master[Month_Key],Daily_Data[[#This Row],[Month_key]]) / SUMIFS(Expense_master[Days_in_Month],Expense_master[Month_Key],Daily_Data[[#This Row],[Month_key]])</f>
        <v>2258.0645161290322</v>
      </c>
      <c r="M600" s="10">
        <f>Daily_Data[[#This Row],[Rooms_Occupied]] * (SUMIFS(Expense_master[Housekeeping_Laundy],Expense_master[Month_Key],Daily_Data[[#This Row],[Month_key]]) / SUMIFS(Occupancy_table[Monthly_rooms_Occupied],Occupancy_table[Month_Key],Daily_Data[[#This Row],[Month_key]]))</f>
        <v>331.32530120481931</v>
      </c>
      <c r="N6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1675.5588223863194</v>
      </c>
      <c r="O600" s="10">
        <f>SUMIFS(Expense_master[Monthly_Maintenance],Expense_master[Month_Key],Daily_Data[[#This Row],[Month_key]]) / SUMIFS(Expense_master[Days_in_Month],Expense_master[Month_Key], Daily_Data[[#This Row],[Month_key]])</f>
        <v>645.16129032258061</v>
      </c>
      <c r="P600" s="10">
        <f xml:space="preserve"> Daily_Data[[#This Row],[OTA Commision]] + Daily_Data[[#This Row],[Daily_Rent]]+Daily_Data[[#This Row],[Daily_Staff]]+Daily_Data[[#This Row],[Daily_HK]]+Daily_Data[[#This Row],[Daily_Electricity]] + Daily_Data[[#This Row],[Daily Maintenance]]</f>
        <v>16110.946059075011</v>
      </c>
      <c r="Q600" s="10">
        <f>Daily_Data[[#This Row],[Total_Sales]]-Daily_Data[[#This Row],[Total_Daily_Expense]]</f>
        <v>-1854.9460590750114</v>
      </c>
      <c r="R600" s="10">
        <f>Daily_Data[[#This Row],[Total_Sales]]/Daily_Data[[#This Row],[Rooms_Occupied]]</f>
        <v>1296</v>
      </c>
      <c r="S600" s="10">
        <f>Daily_Data[[#This Row],[Total_Sales]] / Daily_Data[[#This Row],[Max_rooms]]</f>
        <v>1018.2857142857143</v>
      </c>
    </row>
    <row r="601" spans="1:19" x14ac:dyDescent="0.25">
      <c r="A601" s="6">
        <v>45526</v>
      </c>
      <c r="B601" s="20">
        <f>DATE(YEAR(Daily_Data[[#This Row],[Date]]), MONTH(Daily_Data[[#This Row],[Date]]), 1)</f>
        <v>45505</v>
      </c>
      <c r="C601" s="20" t="str">
        <f>TEXT(Daily_Data[[#This Row],[Month_key]],"mmmm")</f>
        <v>August</v>
      </c>
      <c r="D601" s="20" t="str">
        <f>TEXT(Daily_Data[[#This Row],[Month_key]],"yyyy")</f>
        <v>2024</v>
      </c>
      <c r="E601" s="7">
        <v>13</v>
      </c>
      <c r="F601" s="7">
        <v>14</v>
      </c>
      <c r="G601" s="8">
        <f>Daily_Data[[#This Row],[Rooms_Occupied]]/F601</f>
        <v>0.9285714285714286</v>
      </c>
      <c r="H601" s="7">
        <v>1751</v>
      </c>
      <c r="I601" s="7">
        <f>Daily_Data[[#This Row],[Room_rate]]*Daily_Data[[#This Row],[Rooms_Occupied]]</f>
        <v>22763</v>
      </c>
      <c r="J601" s="10">
        <f>Daily_Data[[#This Row],[Total_Sales]] * 0.22</f>
        <v>5007.8599999999997</v>
      </c>
      <c r="K601" s="10">
        <f>INDEX(Expense_master[Monthly_Rent],MATCH(Daily_Data[[#This Row],[Month_key]],Expense_master[Month_Key],0)) / INDEX(Expense_master[Days_in_Month],MATCH(Daily_Data[[#This Row],[Month_key]],Expense_master[Month_Key],0))</f>
        <v>8064.5161290322585</v>
      </c>
      <c r="L601" s="10">
        <f>SUMIFS(Expense_master[Staff_Salary],Expense_master[Month_Key],Daily_Data[[#This Row],[Month_key]]) / SUMIFS(Expense_master[Days_in_Month],Expense_master[Month_Key],Daily_Data[[#This Row],[Month_key]])</f>
        <v>2258.0645161290322</v>
      </c>
      <c r="M601" s="10">
        <f>Daily_Data[[#This Row],[Rooms_Occupied]] * (SUMIFS(Expense_master[Housekeeping_Laundy],Expense_master[Month_Key],Daily_Data[[#This Row],[Month_key]]) / SUMIFS(Occupancy_table[Monthly_rooms_Occupied],Occupancy_table[Month_Key],Daily_Data[[#This Row],[Month_key]]))</f>
        <v>391.56626506024099</v>
      </c>
      <c r="N6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1860.2973766031869</v>
      </c>
      <c r="O601" s="10">
        <f>SUMIFS(Expense_master[Monthly_Maintenance],Expense_master[Month_Key],Daily_Data[[#This Row],[Month_key]]) / SUMIFS(Expense_master[Days_in_Month],Expense_master[Month_Key], Daily_Data[[#This Row],[Month_key]])</f>
        <v>645.16129032258061</v>
      </c>
      <c r="P601" s="10">
        <f xml:space="preserve"> Daily_Data[[#This Row],[OTA Commision]] + Daily_Data[[#This Row],[Daily_Rent]]+Daily_Data[[#This Row],[Daily_Staff]]+Daily_Data[[#This Row],[Daily_HK]]+Daily_Data[[#This Row],[Daily_Electricity]] + Daily_Data[[#This Row],[Daily Maintenance]]</f>
        <v>18227.465577147297</v>
      </c>
      <c r="Q601" s="10">
        <f>Daily_Data[[#This Row],[Total_Sales]]-Daily_Data[[#This Row],[Total_Daily_Expense]]</f>
        <v>4535.5344228527028</v>
      </c>
      <c r="R601" s="10">
        <f>Daily_Data[[#This Row],[Total_Sales]]/Daily_Data[[#This Row],[Rooms_Occupied]]</f>
        <v>1751</v>
      </c>
      <c r="S601" s="10">
        <f>Daily_Data[[#This Row],[Total_Sales]] / Daily_Data[[#This Row],[Max_rooms]]</f>
        <v>1625.9285714285713</v>
      </c>
    </row>
    <row r="602" spans="1:19" x14ac:dyDescent="0.25">
      <c r="A602" s="6">
        <v>45527</v>
      </c>
      <c r="B602" s="20">
        <f>DATE(YEAR(Daily_Data[[#This Row],[Date]]), MONTH(Daily_Data[[#This Row],[Date]]), 1)</f>
        <v>45505</v>
      </c>
      <c r="C602" s="20" t="str">
        <f>TEXT(Daily_Data[[#This Row],[Month_key]],"mmmm")</f>
        <v>August</v>
      </c>
      <c r="D602" s="20" t="str">
        <f>TEXT(Daily_Data[[#This Row],[Month_key]],"yyyy")</f>
        <v>2024</v>
      </c>
      <c r="E602" s="7">
        <v>9</v>
      </c>
      <c r="F602" s="7">
        <v>14</v>
      </c>
      <c r="G602" s="8">
        <f>Daily_Data[[#This Row],[Rooms_Occupied]]/F602</f>
        <v>0.6428571428571429</v>
      </c>
      <c r="H602" s="7">
        <v>1703</v>
      </c>
      <c r="I602" s="7">
        <f>Daily_Data[[#This Row],[Room_rate]]*Daily_Data[[#This Row],[Rooms_Occupied]]</f>
        <v>15327</v>
      </c>
      <c r="J602" s="10">
        <f>Daily_Data[[#This Row],[Total_Sales]] * 0.22</f>
        <v>3371.94</v>
      </c>
      <c r="K602" s="10">
        <f>INDEX(Expense_master[Monthly_Rent],MATCH(Daily_Data[[#This Row],[Month_key]],Expense_master[Month_Key],0)) / INDEX(Expense_master[Days_in_Month],MATCH(Daily_Data[[#This Row],[Month_key]],Expense_master[Month_Key],0))</f>
        <v>8064.5161290322585</v>
      </c>
      <c r="L602" s="10">
        <f>SUMIFS(Expense_master[Staff_Salary],Expense_master[Month_Key],Daily_Data[[#This Row],[Month_key]]) / SUMIFS(Expense_master[Days_in_Month],Expense_master[Month_Key],Daily_Data[[#This Row],[Month_key]])</f>
        <v>2258.0645161290322</v>
      </c>
      <c r="M602" s="10">
        <f>Daily_Data[[#This Row],[Rooms_Occupied]] * (SUMIFS(Expense_master[Housekeeping_Laundy],Expense_master[Month_Key],Daily_Data[[#This Row],[Month_key]]) / SUMIFS(Occupancy_table[Monthly_rooms_Occupied],Occupancy_table[Month_Key],Daily_Data[[#This Row],[Month_key]]))</f>
        <v>271.08433734939763</v>
      </c>
      <c r="N6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602" s="10">
        <f>SUMIFS(Expense_master[Monthly_Maintenance],Expense_master[Month_Key],Daily_Data[[#This Row],[Month_key]]) / SUMIFS(Expense_master[Days_in_Month],Expense_master[Month_Key], Daily_Data[[#This Row],[Month_key]])</f>
        <v>645.16129032258061</v>
      </c>
      <c r="P602" s="10">
        <f xml:space="preserve"> Daily_Data[[#This Row],[OTA Commision]] + Daily_Data[[#This Row],[Daily_Rent]]+Daily_Data[[#This Row],[Daily_Staff]]+Daily_Data[[#This Row],[Daily_HK]]+Daily_Data[[#This Row],[Daily_Electricity]] + Daily_Data[[#This Row],[Daily Maintenance]]</f>
        <v>16101.58654100272</v>
      </c>
      <c r="Q602" s="10">
        <f>Daily_Data[[#This Row],[Total_Sales]]-Daily_Data[[#This Row],[Total_Daily_Expense]]</f>
        <v>-774.58654100271997</v>
      </c>
      <c r="R602" s="10">
        <f>Daily_Data[[#This Row],[Total_Sales]]/Daily_Data[[#This Row],[Rooms_Occupied]]</f>
        <v>1703</v>
      </c>
      <c r="S602" s="10">
        <f>Daily_Data[[#This Row],[Total_Sales]] / Daily_Data[[#This Row],[Max_rooms]]</f>
        <v>1094.7857142857142</v>
      </c>
    </row>
    <row r="603" spans="1:19" x14ac:dyDescent="0.25">
      <c r="A603" s="6">
        <v>45528</v>
      </c>
      <c r="B603" s="20">
        <f>DATE(YEAR(Daily_Data[[#This Row],[Date]]), MONTH(Daily_Data[[#This Row],[Date]]), 1)</f>
        <v>45505</v>
      </c>
      <c r="C603" s="20" t="str">
        <f>TEXT(Daily_Data[[#This Row],[Month_key]],"mmmm")</f>
        <v>August</v>
      </c>
      <c r="D603" s="20" t="str">
        <f>TEXT(Daily_Data[[#This Row],[Month_key]],"yyyy")</f>
        <v>2024</v>
      </c>
      <c r="E603" s="7">
        <v>8</v>
      </c>
      <c r="F603" s="7">
        <v>14</v>
      </c>
      <c r="G603" s="8">
        <f>Daily_Data[[#This Row],[Rooms_Occupied]]/F603</f>
        <v>0.5714285714285714</v>
      </c>
      <c r="H603" s="7">
        <v>1501</v>
      </c>
      <c r="I603" s="7">
        <f>Daily_Data[[#This Row],[Room_rate]]*Daily_Data[[#This Row],[Rooms_Occupied]]</f>
        <v>12008</v>
      </c>
      <c r="J603" s="10">
        <f>Daily_Data[[#This Row],[Total_Sales]] * 0.22</f>
        <v>2641.76</v>
      </c>
      <c r="K603" s="10">
        <f>INDEX(Expense_master[Monthly_Rent],MATCH(Daily_Data[[#This Row],[Month_key]],Expense_master[Month_Key],0)) / INDEX(Expense_master[Days_in_Month],MATCH(Daily_Data[[#This Row],[Month_key]],Expense_master[Month_Key],0))</f>
        <v>8064.5161290322585</v>
      </c>
      <c r="L603" s="10">
        <f>SUMIFS(Expense_master[Staff_Salary],Expense_master[Month_Key],Daily_Data[[#This Row],[Month_key]]) / SUMIFS(Expense_master[Days_in_Month],Expense_master[Month_Key],Daily_Data[[#This Row],[Month_key]])</f>
        <v>2258.0645161290322</v>
      </c>
      <c r="M603" s="10">
        <f>Daily_Data[[#This Row],[Rooms_Occupied]] * (SUMIFS(Expense_master[Housekeeping_Laundy],Expense_master[Month_Key],Daily_Data[[#This Row],[Month_key]]) / SUMIFS(Occupancy_table[Monthly_rooms_Occupied],Occupancy_table[Month_Key],Daily_Data[[#This Row],[Month_key]]))</f>
        <v>240.96385542168676</v>
      </c>
      <c r="N6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1398.4509910610182</v>
      </c>
      <c r="O603" s="10">
        <f>SUMIFS(Expense_master[Monthly_Maintenance],Expense_master[Month_Key],Daily_Data[[#This Row],[Month_key]]) / SUMIFS(Expense_master[Days_in_Month],Expense_master[Month_Key], Daily_Data[[#This Row],[Month_key]])</f>
        <v>645.16129032258061</v>
      </c>
      <c r="P603" s="10">
        <f xml:space="preserve"> Daily_Data[[#This Row],[OTA Commision]] + Daily_Data[[#This Row],[Daily_Rent]]+Daily_Data[[#This Row],[Daily_Staff]]+Daily_Data[[#This Row],[Daily_HK]]+Daily_Data[[#This Row],[Daily_Electricity]] + Daily_Data[[#This Row],[Daily Maintenance]]</f>
        <v>15248.916781966578</v>
      </c>
      <c r="Q603" s="10">
        <f>Daily_Data[[#This Row],[Total_Sales]]-Daily_Data[[#This Row],[Total_Daily_Expense]]</f>
        <v>-3240.9167819665781</v>
      </c>
      <c r="R603" s="10">
        <f>Daily_Data[[#This Row],[Total_Sales]]/Daily_Data[[#This Row],[Rooms_Occupied]]</f>
        <v>1501</v>
      </c>
      <c r="S603" s="10">
        <f>Daily_Data[[#This Row],[Total_Sales]] / Daily_Data[[#This Row],[Max_rooms]]</f>
        <v>857.71428571428567</v>
      </c>
    </row>
    <row r="604" spans="1:19" x14ac:dyDescent="0.25">
      <c r="A604" s="6">
        <v>45529</v>
      </c>
      <c r="B604" s="20">
        <f>DATE(YEAR(Daily_Data[[#This Row],[Date]]), MONTH(Daily_Data[[#This Row],[Date]]), 1)</f>
        <v>45505</v>
      </c>
      <c r="C604" s="20" t="str">
        <f>TEXT(Daily_Data[[#This Row],[Month_key]],"mmmm")</f>
        <v>August</v>
      </c>
      <c r="D604" s="20" t="str">
        <f>TEXT(Daily_Data[[#This Row],[Month_key]],"yyyy")</f>
        <v>2024</v>
      </c>
      <c r="E604" s="7">
        <v>11</v>
      </c>
      <c r="F604" s="7">
        <v>14</v>
      </c>
      <c r="G604" s="8">
        <f>Daily_Data[[#This Row],[Rooms_Occupied]]/F604</f>
        <v>0.7857142857142857</v>
      </c>
      <c r="H604" s="7">
        <v>1931</v>
      </c>
      <c r="I604" s="7">
        <f>Daily_Data[[#This Row],[Room_rate]]*Daily_Data[[#This Row],[Rooms_Occupied]]</f>
        <v>21241</v>
      </c>
      <c r="J604" s="10">
        <f>Daily_Data[[#This Row],[Total_Sales]] * 0.22</f>
        <v>4673.0200000000004</v>
      </c>
      <c r="K604" s="10">
        <f>INDEX(Expense_master[Monthly_Rent],MATCH(Daily_Data[[#This Row],[Month_key]],Expense_master[Month_Key],0)) / INDEX(Expense_master[Days_in_Month],MATCH(Daily_Data[[#This Row],[Month_key]],Expense_master[Month_Key],0))</f>
        <v>8064.5161290322585</v>
      </c>
      <c r="L604" s="10">
        <f>SUMIFS(Expense_master[Staff_Salary],Expense_master[Month_Key],Daily_Data[[#This Row],[Month_key]]) / SUMIFS(Expense_master[Days_in_Month],Expense_master[Month_Key],Daily_Data[[#This Row],[Month_key]])</f>
        <v>2258.0645161290322</v>
      </c>
      <c r="M604" s="10">
        <f>Daily_Data[[#This Row],[Rooms_Occupied]] * (SUMIFS(Expense_master[Housekeeping_Laundy],Expense_master[Month_Key],Daily_Data[[#This Row],[Month_key]]) / SUMIFS(Occupancy_table[Monthly_rooms_Occupied],Occupancy_table[Month_Key],Daily_Data[[#This Row],[Month_key]]))</f>
        <v>331.32530120481931</v>
      </c>
      <c r="N6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1675.5588223863194</v>
      </c>
      <c r="O604" s="10">
        <f>SUMIFS(Expense_master[Monthly_Maintenance],Expense_master[Month_Key],Daily_Data[[#This Row],[Month_key]]) / SUMIFS(Expense_master[Days_in_Month],Expense_master[Month_Key], Daily_Data[[#This Row],[Month_key]])</f>
        <v>645.16129032258061</v>
      </c>
      <c r="P604" s="10">
        <f xml:space="preserve"> Daily_Data[[#This Row],[OTA Commision]] + Daily_Data[[#This Row],[Daily_Rent]]+Daily_Data[[#This Row],[Daily_Staff]]+Daily_Data[[#This Row],[Daily_HK]]+Daily_Data[[#This Row],[Daily_Electricity]] + Daily_Data[[#This Row],[Daily Maintenance]]</f>
        <v>17647.646059075007</v>
      </c>
      <c r="Q604" s="10">
        <f>Daily_Data[[#This Row],[Total_Sales]]-Daily_Data[[#This Row],[Total_Daily_Expense]]</f>
        <v>3593.3539409249934</v>
      </c>
      <c r="R604" s="10">
        <f>Daily_Data[[#This Row],[Total_Sales]]/Daily_Data[[#This Row],[Rooms_Occupied]]</f>
        <v>1931</v>
      </c>
      <c r="S604" s="10">
        <f>Daily_Data[[#This Row],[Total_Sales]] / Daily_Data[[#This Row],[Max_rooms]]</f>
        <v>1517.2142857142858</v>
      </c>
    </row>
    <row r="605" spans="1:19" x14ac:dyDescent="0.25">
      <c r="A605" s="6">
        <v>45530</v>
      </c>
      <c r="B605" s="20">
        <f>DATE(YEAR(Daily_Data[[#This Row],[Date]]), MONTH(Daily_Data[[#This Row],[Date]]), 1)</f>
        <v>45505</v>
      </c>
      <c r="C605" s="20" t="str">
        <f>TEXT(Daily_Data[[#This Row],[Month_key]],"mmmm")</f>
        <v>August</v>
      </c>
      <c r="D605" s="20" t="str">
        <f>TEXT(Daily_Data[[#This Row],[Month_key]],"yyyy")</f>
        <v>2024</v>
      </c>
      <c r="E605" s="7">
        <v>8</v>
      </c>
      <c r="F605" s="7">
        <v>14</v>
      </c>
      <c r="G605" s="8">
        <f>Daily_Data[[#This Row],[Rooms_Occupied]]/F605</f>
        <v>0.5714285714285714</v>
      </c>
      <c r="H605" s="7">
        <v>1716</v>
      </c>
      <c r="I605" s="7">
        <f>Daily_Data[[#This Row],[Room_rate]]*Daily_Data[[#This Row],[Rooms_Occupied]]</f>
        <v>13728</v>
      </c>
      <c r="J605" s="10">
        <f>Daily_Data[[#This Row],[Total_Sales]] * 0.22</f>
        <v>3020.16</v>
      </c>
      <c r="K605" s="10">
        <f>INDEX(Expense_master[Monthly_Rent],MATCH(Daily_Data[[#This Row],[Month_key]],Expense_master[Month_Key],0)) / INDEX(Expense_master[Days_in_Month],MATCH(Daily_Data[[#This Row],[Month_key]],Expense_master[Month_Key],0))</f>
        <v>8064.5161290322585</v>
      </c>
      <c r="L605" s="10">
        <f>SUMIFS(Expense_master[Staff_Salary],Expense_master[Month_Key],Daily_Data[[#This Row],[Month_key]]) / SUMIFS(Expense_master[Days_in_Month],Expense_master[Month_Key],Daily_Data[[#This Row],[Month_key]])</f>
        <v>2258.0645161290322</v>
      </c>
      <c r="M605" s="10">
        <f>Daily_Data[[#This Row],[Rooms_Occupied]] * (SUMIFS(Expense_master[Housekeeping_Laundy],Expense_master[Month_Key],Daily_Data[[#This Row],[Month_key]]) / SUMIFS(Occupancy_table[Monthly_rooms_Occupied],Occupancy_table[Month_Key],Daily_Data[[#This Row],[Month_key]]))</f>
        <v>240.96385542168676</v>
      </c>
      <c r="N6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1398.4509910610182</v>
      </c>
      <c r="O605" s="10">
        <f>SUMIFS(Expense_master[Monthly_Maintenance],Expense_master[Month_Key],Daily_Data[[#This Row],[Month_key]]) / SUMIFS(Expense_master[Days_in_Month],Expense_master[Month_Key], Daily_Data[[#This Row],[Month_key]])</f>
        <v>645.16129032258061</v>
      </c>
      <c r="P605" s="10">
        <f xml:space="preserve"> Daily_Data[[#This Row],[OTA Commision]] + Daily_Data[[#This Row],[Daily_Rent]]+Daily_Data[[#This Row],[Daily_Staff]]+Daily_Data[[#This Row],[Daily_HK]]+Daily_Data[[#This Row],[Daily_Electricity]] + Daily_Data[[#This Row],[Daily Maintenance]]</f>
        <v>15627.316781966576</v>
      </c>
      <c r="Q605" s="10">
        <f>Daily_Data[[#This Row],[Total_Sales]]-Daily_Data[[#This Row],[Total_Daily_Expense]]</f>
        <v>-1899.3167819665759</v>
      </c>
      <c r="R605" s="10">
        <f>Daily_Data[[#This Row],[Total_Sales]]/Daily_Data[[#This Row],[Rooms_Occupied]]</f>
        <v>1716</v>
      </c>
      <c r="S605" s="10">
        <f>Daily_Data[[#This Row],[Total_Sales]] / Daily_Data[[#This Row],[Max_rooms]]</f>
        <v>980.57142857142856</v>
      </c>
    </row>
    <row r="606" spans="1:19" x14ac:dyDescent="0.25">
      <c r="A606" s="6">
        <v>45531</v>
      </c>
      <c r="B606" s="20">
        <f>DATE(YEAR(Daily_Data[[#This Row],[Date]]), MONTH(Daily_Data[[#This Row],[Date]]), 1)</f>
        <v>45505</v>
      </c>
      <c r="C606" s="20" t="str">
        <f>TEXT(Daily_Data[[#This Row],[Month_key]],"mmmm")</f>
        <v>August</v>
      </c>
      <c r="D606" s="20" t="str">
        <f>TEXT(Daily_Data[[#This Row],[Month_key]],"yyyy")</f>
        <v>2024</v>
      </c>
      <c r="E606" s="7">
        <v>9</v>
      </c>
      <c r="F606" s="7">
        <v>14</v>
      </c>
      <c r="G606" s="8">
        <f>Daily_Data[[#This Row],[Rooms_Occupied]]/F606</f>
        <v>0.6428571428571429</v>
      </c>
      <c r="H606" s="7">
        <v>1236</v>
      </c>
      <c r="I606" s="7">
        <f>Daily_Data[[#This Row],[Room_rate]]*Daily_Data[[#This Row],[Rooms_Occupied]]</f>
        <v>11124</v>
      </c>
      <c r="J606" s="10">
        <f>Daily_Data[[#This Row],[Total_Sales]] * 0.22</f>
        <v>2447.2800000000002</v>
      </c>
      <c r="K606" s="10">
        <f>INDEX(Expense_master[Monthly_Rent],MATCH(Daily_Data[[#This Row],[Month_key]],Expense_master[Month_Key],0)) / INDEX(Expense_master[Days_in_Month],MATCH(Daily_Data[[#This Row],[Month_key]],Expense_master[Month_Key],0))</f>
        <v>8064.5161290322585</v>
      </c>
      <c r="L606" s="10">
        <f>SUMIFS(Expense_master[Staff_Salary],Expense_master[Month_Key],Daily_Data[[#This Row],[Month_key]]) / SUMIFS(Expense_master[Days_in_Month],Expense_master[Month_Key],Daily_Data[[#This Row],[Month_key]])</f>
        <v>2258.0645161290322</v>
      </c>
      <c r="M606" s="10">
        <f>Daily_Data[[#This Row],[Rooms_Occupied]] * (SUMIFS(Expense_master[Housekeeping_Laundy],Expense_master[Month_Key],Daily_Data[[#This Row],[Month_key]]) / SUMIFS(Occupancy_table[Monthly_rooms_Occupied],Occupancy_table[Month_Key],Daily_Data[[#This Row],[Month_key]]))</f>
        <v>271.08433734939763</v>
      </c>
      <c r="N6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1490.820268169452</v>
      </c>
      <c r="O606" s="10">
        <f>SUMIFS(Expense_master[Monthly_Maintenance],Expense_master[Month_Key],Daily_Data[[#This Row],[Month_key]]) / SUMIFS(Expense_master[Days_in_Month],Expense_master[Month_Key], Daily_Data[[#This Row],[Month_key]])</f>
        <v>645.16129032258061</v>
      </c>
      <c r="P606" s="10">
        <f xml:space="preserve"> Daily_Data[[#This Row],[OTA Commision]] + Daily_Data[[#This Row],[Daily_Rent]]+Daily_Data[[#This Row],[Daily_Staff]]+Daily_Data[[#This Row],[Daily_HK]]+Daily_Data[[#This Row],[Daily_Electricity]] + Daily_Data[[#This Row],[Daily Maintenance]]</f>
        <v>15176.92654100272</v>
      </c>
      <c r="Q606" s="10">
        <f>Daily_Data[[#This Row],[Total_Sales]]-Daily_Data[[#This Row],[Total_Daily_Expense]]</f>
        <v>-4052.9265410027201</v>
      </c>
      <c r="R606" s="10">
        <f>Daily_Data[[#This Row],[Total_Sales]]/Daily_Data[[#This Row],[Rooms_Occupied]]</f>
        <v>1236</v>
      </c>
      <c r="S606" s="10">
        <f>Daily_Data[[#This Row],[Total_Sales]] / Daily_Data[[#This Row],[Max_rooms]]</f>
        <v>794.57142857142856</v>
      </c>
    </row>
    <row r="607" spans="1:19" x14ac:dyDescent="0.25">
      <c r="A607" s="6">
        <v>45532</v>
      </c>
      <c r="B607" s="20">
        <f>DATE(YEAR(Daily_Data[[#This Row],[Date]]), MONTH(Daily_Data[[#This Row],[Date]]), 1)</f>
        <v>45505</v>
      </c>
      <c r="C607" s="20" t="str">
        <f>TEXT(Daily_Data[[#This Row],[Month_key]],"mmmm")</f>
        <v>August</v>
      </c>
      <c r="D607" s="20" t="str">
        <f>TEXT(Daily_Data[[#This Row],[Month_key]],"yyyy")</f>
        <v>2024</v>
      </c>
      <c r="E607" s="7">
        <v>10</v>
      </c>
      <c r="F607" s="7">
        <v>14</v>
      </c>
      <c r="G607" s="8">
        <f>Daily_Data[[#This Row],[Rooms_Occupied]]/F607</f>
        <v>0.7142857142857143</v>
      </c>
      <c r="H607" s="7">
        <v>1760</v>
      </c>
      <c r="I607" s="7">
        <f>Daily_Data[[#This Row],[Room_rate]]*Daily_Data[[#This Row],[Rooms_Occupied]]</f>
        <v>17600</v>
      </c>
      <c r="J607" s="10">
        <f>Daily_Data[[#This Row],[Total_Sales]] * 0.22</f>
        <v>3872</v>
      </c>
      <c r="K607" s="10">
        <f>INDEX(Expense_master[Monthly_Rent],MATCH(Daily_Data[[#This Row],[Month_key]],Expense_master[Month_Key],0)) / INDEX(Expense_master[Days_in_Month],MATCH(Daily_Data[[#This Row],[Month_key]],Expense_master[Month_Key],0))</f>
        <v>8064.5161290322585</v>
      </c>
      <c r="L607" s="10">
        <f>SUMIFS(Expense_master[Staff_Salary],Expense_master[Month_Key],Daily_Data[[#This Row],[Month_key]]) / SUMIFS(Expense_master[Days_in_Month],Expense_master[Month_Key],Daily_Data[[#This Row],[Month_key]])</f>
        <v>2258.0645161290322</v>
      </c>
      <c r="M607" s="10">
        <f>Daily_Data[[#This Row],[Rooms_Occupied]] * (SUMIFS(Expense_master[Housekeeping_Laundy],Expense_master[Month_Key],Daily_Data[[#This Row],[Month_key]]) / SUMIFS(Occupancy_table[Monthly_rooms_Occupied],Occupancy_table[Month_Key],Daily_Data[[#This Row],[Month_key]]))</f>
        <v>301.20481927710847</v>
      </c>
      <c r="N6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607" s="10">
        <f>SUMIFS(Expense_master[Monthly_Maintenance],Expense_master[Month_Key],Daily_Data[[#This Row],[Month_key]]) / SUMIFS(Expense_master[Days_in_Month],Expense_master[Month_Key], Daily_Data[[#This Row],[Month_key]])</f>
        <v>645.16129032258061</v>
      </c>
      <c r="P607" s="10">
        <f xml:space="preserve"> Daily_Data[[#This Row],[OTA Commision]] + Daily_Data[[#This Row],[Daily_Rent]]+Daily_Data[[#This Row],[Daily_Staff]]+Daily_Data[[#This Row],[Daily_HK]]+Daily_Data[[#This Row],[Daily_Electricity]] + Daily_Data[[#This Row],[Daily Maintenance]]</f>
        <v>16724.136300038866</v>
      </c>
      <c r="Q607" s="10">
        <f>Daily_Data[[#This Row],[Total_Sales]]-Daily_Data[[#This Row],[Total_Daily_Expense]]</f>
        <v>875.86369996113353</v>
      </c>
      <c r="R607" s="10">
        <f>Daily_Data[[#This Row],[Total_Sales]]/Daily_Data[[#This Row],[Rooms_Occupied]]</f>
        <v>1760</v>
      </c>
      <c r="S607" s="10">
        <f>Daily_Data[[#This Row],[Total_Sales]] / Daily_Data[[#This Row],[Max_rooms]]</f>
        <v>1257.1428571428571</v>
      </c>
    </row>
    <row r="608" spans="1:19" x14ac:dyDescent="0.25">
      <c r="A608" s="6">
        <v>45533</v>
      </c>
      <c r="B608" s="20">
        <f>DATE(YEAR(Daily_Data[[#This Row],[Date]]), MONTH(Daily_Data[[#This Row],[Date]]), 1)</f>
        <v>45505</v>
      </c>
      <c r="C608" s="20" t="str">
        <f>TEXT(Daily_Data[[#This Row],[Month_key]],"mmmm")</f>
        <v>August</v>
      </c>
      <c r="D608" s="20" t="str">
        <f>TEXT(Daily_Data[[#This Row],[Month_key]],"yyyy")</f>
        <v>2024</v>
      </c>
      <c r="E608" s="7">
        <v>14</v>
      </c>
      <c r="F608" s="7">
        <v>14</v>
      </c>
      <c r="G608" s="8">
        <f>Daily_Data[[#This Row],[Rooms_Occupied]]/F608</f>
        <v>1</v>
      </c>
      <c r="H608" s="7">
        <v>1996</v>
      </c>
      <c r="I608" s="7">
        <f>Daily_Data[[#This Row],[Room_rate]]*Daily_Data[[#This Row],[Rooms_Occupied]]</f>
        <v>27944</v>
      </c>
      <c r="J608" s="10">
        <f>Daily_Data[[#This Row],[Total_Sales]] * 0.22</f>
        <v>6147.68</v>
      </c>
      <c r="K608" s="10">
        <f>INDEX(Expense_master[Monthly_Rent],MATCH(Daily_Data[[#This Row],[Month_key]],Expense_master[Month_Key],0)) / INDEX(Expense_master[Days_in_Month],MATCH(Daily_Data[[#This Row],[Month_key]],Expense_master[Month_Key],0))</f>
        <v>8064.5161290322585</v>
      </c>
      <c r="L608" s="10">
        <f>SUMIFS(Expense_master[Staff_Salary],Expense_master[Month_Key],Daily_Data[[#This Row],[Month_key]]) / SUMIFS(Expense_master[Days_in_Month],Expense_master[Month_Key],Daily_Data[[#This Row],[Month_key]])</f>
        <v>2258.0645161290322</v>
      </c>
      <c r="M608" s="10">
        <f>Daily_Data[[#This Row],[Rooms_Occupied]] * (SUMIFS(Expense_master[Housekeeping_Laundy],Expense_master[Month_Key],Daily_Data[[#This Row],[Month_key]]) / SUMIFS(Occupancy_table[Monthly_rooms_Occupied],Occupancy_table[Month_Key],Daily_Data[[#This Row],[Month_key]]))</f>
        <v>421.68674698795184</v>
      </c>
      <c r="N6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1952.6666537116207</v>
      </c>
      <c r="O608" s="10">
        <f>SUMIFS(Expense_master[Monthly_Maintenance],Expense_master[Month_Key],Daily_Data[[#This Row],[Month_key]]) / SUMIFS(Expense_master[Days_in_Month],Expense_master[Month_Key], Daily_Data[[#This Row],[Month_key]])</f>
        <v>645.16129032258061</v>
      </c>
      <c r="P608" s="10">
        <f xml:space="preserve"> Daily_Data[[#This Row],[OTA Commision]] + Daily_Data[[#This Row],[Daily_Rent]]+Daily_Data[[#This Row],[Daily_Staff]]+Daily_Data[[#This Row],[Daily_HK]]+Daily_Data[[#This Row],[Daily_Electricity]] + Daily_Data[[#This Row],[Daily Maintenance]]</f>
        <v>19489.77533618344</v>
      </c>
      <c r="Q608" s="10">
        <f>Daily_Data[[#This Row],[Total_Sales]]-Daily_Data[[#This Row],[Total_Daily_Expense]]</f>
        <v>8454.2246638165598</v>
      </c>
      <c r="R608" s="10">
        <f>Daily_Data[[#This Row],[Total_Sales]]/Daily_Data[[#This Row],[Rooms_Occupied]]</f>
        <v>1996</v>
      </c>
      <c r="S608" s="10">
        <f>Daily_Data[[#This Row],[Total_Sales]] / Daily_Data[[#This Row],[Max_rooms]]</f>
        <v>1996</v>
      </c>
    </row>
    <row r="609" spans="1:19" x14ac:dyDescent="0.25">
      <c r="A609" s="6">
        <v>45534</v>
      </c>
      <c r="B609" s="20">
        <f>DATE(YEAR(Daily_Data[[#This Row],[Date]]), MONTH(Daily_Data[[#This Row],[Date]]), 1)</f>
        <v>45505</v>
      </c>
      <c r="C609" s="20" t="str">
        <f>TEXT(Daily_Data[[#This Row],[Month_key]],"mmmm")</f>
        <v>August</v>
      </c>
      <c r="D609" s="20" t="str">
        <f>TEXT(Daily_Data[[#This Row],[Month_key]],"yyyy")</f>
        <v>2024</v>
      </c>
      <c r="E609" s="7">
        <v>10</v>
      </c>
      <c r="F609" s="7">
        <v>14</v>
      </c>
      <c r="G609" s="8">
        <f>Daily_Data[[#This Row],[Rooms_Occupied]]/F609</f>
        <v>0.7142857142857143</v>
      </c>
      <c r="H609" s="7">
        <v>1915</v>
      </c>
      <c r="I609" s="7">
        <f>Daily_Data[[#This Row],[Room_rate]]*Daily_Data[[#This Row],[Rooms_Occupied]]</f>
        <v>19150</v>
      </c>
      <c r="J609" s="10">
        <f>Daily_Data[[#This Row],[Total_Sales]] * 0.22</f>
        <v>4213</v>
      </c>
      <c r="K609" s="10">
        <f>INDEX(Expense_master[Monthly_Rent],MATCH(Daily_Data[[#This Row],[Month_key]],Expense_master[Month_Key],0)) / INDEX(Expense_master[Days_in_Month],MATCH(Daily_Data[[#This Row],[Month_key]],Expense_master[Month_Key],0))</f>
        <v>8064.5161290322585</v>
      </c>
      <c r="L609" s="10">
        <f>SUMIFS(Expense_master[Staff_Salary],Expense_master[Month_Key],Daily_Data[[#This Row],[Month_key]]) / SUMIFS(Expense_master[Days_in_Month],Expense_master[Month_Key],Daily_Data[[#This Row],[Month_key]])</f>
        <v>2258.0645161290322</v>
      </c>
      <c r="M609" s="10">
        <f>Daily_Data[[#This Row],[Rooms_Occupied]] * (SUMIFS(Expense_master[Housekeeping_Laundy],Expense_master[Month_Key],Daily_Data[[#This Row],[Month_key]]) / SUMIFS(Occupancy_table[Monthly_rooms_Occupied],Occupancy_table[Month_Key],Daily_Data[[#This Row],[Month_key]]))</f>
        <v>301.20481927710847</v>
      </c>
      <c r="N6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1583.1895452778858</v>
      </c>
      <c r="O609" s="10">
        <f>SUMIFS(Expense_master[Monthly_Maintenance],Expense_master[Month_Key],Daily_Data[[#This Row],[Month_key]]) / SUMIFS(Expense_master[Days_in_Month],Expense_master[Month_Key], Daily_Data[[#This Row],[Month_key]])</f>
        <v>645.16129032258061</v>
      </c>
      <c r="P609" s="10">
        <f xml:space="preserve"> Daily_Data[[#This Row],[OTA Commision]] + Daily_Data[[#This Row],[Daily_Rent]]+Daily_Data[[#This Row],[Daily_Staff]]+Daily_Data[[#This Row],[Daily_HK]]+Daily_Data[[#This Row],[Daily_Electricity]] + Daily_Data[[#This Row],[Daily Maintenance]]</f>
        <v>17065.136300038863</v>
      </c>
      <c r="Q609" s="10">
        <f>Daily_Data[[#This Row],[Total_Sales]]-Daily_Data[[#This Row],[Total_Daily_Expense]]</f>
        <v>2084.8636999611372</v>
      </c>
      <c r="R609" s="10">
        <f>Daily_Data[[#This Row],[Total_Sales]]/Daily_Data[[#This Row],[Rooms_Occupied]]</f>
        <v>1915</v>
      </c>
      <c r="S609" s="10">
        <f>Daily_Data[[#This Row],[Total_Sales]] / Daily_Data[[#This Row],[Max_rooms]]</f>
        <v>1367.8571428571429</v>
      </c>
    </row>
    <row r="610" spans="1:19" x14ac:dyDescent="0.25">
      <c r="A610" s="6">
        <v>45535</v>
      </c>
      <c r="B610" s="20">
        <f>DATE(YEAR(Daily_Data[[#This Row],[Date]]), MONTH(Daily_Data[[#This Row],[Date]]), 1)</f>
        <v>45505</v>
      </c>
      <c r="C610" s="20" t="str">
        <f>TEXT(Daily_Data[[#This Row],[Month_key]],"mmmm")</f>
        <v>August</v>
      </c>
      <c r="D610" s="20" t="str">
        <f>TEXT(Daily_Data[[#This Row],[Month_key]],"yyyy")</f>
        <v>2024</v>
      </c>
      <c r="E610" s="7">
        <v>12</v>
      </c>
      <c r="F610" s="7">
        <v>14</v>
      </c>
      <c r="G610" s="8">
        <f>Daily_Data[[#This Row],[Rooms_Occupied]]/F610</f>
        <v>0.8571428571428571</v>
      </c>
      <c r="H610" s="7">
        <v>1160</v>
      </c>
      <c r="I610" s="7">
        <f>Daily_Data[[#This Row],[Room_rate]]*Daily_Data[[#This Row],[Rooms_Occupied]]</f>
        <v>13920</v>
      </c>
      <c r="J610" s="10">
        <f>Daily_Data[[#This Row],[Total_Sales]] * 0.22</f>
        <v>3062.4</v>
      </c>
      <c r="K610" s="10">
        <f>INDEX(Expense_master[Monthly_Rent],MATCH(Daily_Data[[#This Row],[Month_key]],Expense_master[Month_Key],0)) / INDEX(Expense_master[Days_in_Month],MATCH(Daily_Data[[#This Row],[Month_key]],Expense_master[Month_Key],0))</f>
        <v>8064.5161290322585</v>
      </c>
      <c r="L610" s="10">
        <f>SUMIFS(Expense_master[Staff_Salary],Expense_master[Month_Key],Daily_Data[[#This Row],[Month_key]]) / SUMIFS(Expense_master[Days_in_Month],Expense_master[Month_Key],Daily_Data[[#This Row],[Month_key]])</f>
        <v>2258.0645161290322</v>
      </c>
      <c r="M610" s="10">
        <f>Daily_Data[[#This Row],[Rooms_Occupied]] * (SUMIFS(Expense_master[Housekeeping_Laundy],Expense_master[Month_Key],Daily_Data[[#This Row],[Month_key]]) / SUMIFS(Occupancy_table[Monthly_rooms_Occupied],Occupancy_table[Month_Key],Daily_Data[[#This Row],[Month_key]]))</f>
        <v>361.44578313253015</v>
      </c>
      <c r="N6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1767.9280994947533</v>
      </c>
      <c r="O610" s="10">
        <f>SUMIFS(Expense_master[Monthly_Maintenance],Expense_master[Month_Key],Daily_Data[[#This Row],[Month_key]]) / SUMIFS(Expense_master[Days_in_Month],Expense_master[Month_Key], Daily_Data[[#This Row],[Month_key]])</f>
        <v>645.16129032258061</v>
      </c>
      <c r="P610" s="10">
        <f xml:space="preserve"> Daily_Data[[#This Row],[OTA Commision]] + Daily_Data[[#This Row],[Daily_Rent]]+Daily_Data[[#This Row],[Daily_Staff]]+Daily_Data[[#This Row],[Daily_HK]]+Daily_Data[[#This Row],[Daily_Electricity]] + Daily_Data[[#This Row],[Daily Maintenance]]</f>
        <v>16159.515818111156</v>
      </c>
      <c r="Q610" s="10">
        <f>Daily_Data[[#This Row],[Total_Sales]]-Daily_Data[[#This Row],[Total_Daily_Expense]]</f>
        <v>-2239.5158181111565</v>
      </c>
      <c r="R610" s="10">
        <f>Daily_Data[[#This Row],[Total_Sales]]/Daily_Data[[#This Row],[Rooms_Occupied]]</f>
        <v>1160</v>
      </c>
      <c r="S610" s="10">
        <f>Daily_Data[[#This Row],[Total_Sales]] / Daily_Data[[#This Row],[Max_rooms]]</f>
        <v>994.28571428571433</v>
      </c>
    </row>
    <row r="611" spans="1:19" x14ac:dyDescent="0.25">
      <c r="A611" s="6">
        <v>45536</v>
      </c>
      <c r="B611" s="20">
        <f>DATE(YEAR(Daily_Data[[#This Row],[Date]]), MONTH(Daily_Data[[#This Row],[Date]]), 1)</f>
        <v>45536</v>
      </c>
      <c r="C611" s="20" t="str">
        <f>TEXT(Daily_Data[[#This Row],[Month_key]],"mmmm")</f>
        <v>September</v>
      </c>
      <c r="D611" s="20" t="str">
        <f>TEXT(Daily_Data[[#This Row],[Month_key]],"yyyy")</f>
        <v>2024</v>
      </c>
      <c r="E611" s="7">
        <v>10</v>
      </c>
      <c r="F611" s="7">
        <v>14</v>
      </c>
      <c r="G611" s="8">
        <f>Daily_Data[[#This Row],[Rooms_Occupied]]/F611</f>
        <v>0.7142857142857143</v>
      </c>
      <c r="H611" s="7">
        <v>1974</v>
      </c>
      <c r="I611" s="7">
        <f>Daily_Data[[#This Row],[Room_rate]]*Daily_Data[[#This Row],[Rooms_Occupied]]</f>
        <v>19740</v>
      </c>
      <c r="J611" s="10">
        <f>Daily_Data[[#This Row],[Total_Sales]] * 0.22</f>
        <v>4342.8</v>
      </c>
      <c r="K611" s="10">
        <f>INDEX(Expense_master[Monthly_Rent],MATCH(Daily_Data[[#This Row],[Month_key]],Expense_master[Month_Key],0)) / INDEX(Expense_master[Days_in_Month],MATCH(Daily_Data[[#This Row],[Month_key]],Expense_master[Month_Key],0))</f>
        <v>8333.3333333333339</v>
      </c>
      <c r="L611" s="10">
        <f>SUMIFS(Expense_master[Staff_Salary],Expense_master[Month_Key],Daily_Data[[#This Row],[Month_key]]) / SUMIFS(Expense_master[Days_in_Month],Expense_master[Month_Key],Daily_Data[[#This Row],[Month_key]])</f>
        <v>2333.3333333333335</v>
      </c>
      <c r="M611" s="10">
        <f>Daily_Data[[#This Row],[Rooms_Occupied]] * (SUMIFS(Expense_master[Housekeeping_Laundy],Expense_master[Month_Key],Daily_Data[[#This Row],[Month_key]]) / SUMIFS(Occupancy_table[Monthly_rooms_Occupied],Occupancy_table[Month_Key],Daily_Data[[#This Row],[Month_key]]))</f>
        <v>301.20481927710847</v>
      </c>
      <c r="N6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1575.1175903614458</v>
      </c>
      <c r="O611" s="10">
        <f>SUMIFS(Expense_master[Monthly_Maintenance],Expense_master[Month_Key],Daily_Data[[#This Row],[Month_key]]) / SUMIFS(Expense_master[Days_in_Month],Expense_master[Month_Key], Daily_Data[[#This Row],[Month_key]])</f>
        <v>666.66666666666663</v>
      </c>
      <c r="P611" s="10">
        <f xml:space="preserve"> Daily_Data[[#This Row],[OTA Commision]] + Daily_Data[[#This Row],[Daily_Rent]]+Daily_Data[[#This Row],[Daily_Staff]]+Daily_Data[[#This Row],[Daily_HK]]+Daily_Data[[#This Row],[Daily_Electricity]] + Daily_Data[[#This Row],[Daily Maintenance]]</f>
        <v>17552.455742971892</v>
      </c>
      <c r="Q611" s="10">
        <f>Daily_Data[[#This Row],[Total_Sales]]-Daily_Data[[#This Row],[Total_Daily_Expense]]</f>
        <v>2187.5442570281084</v>
      </c>
      <c r="R611" s="10">
        <f>Daily_Data[[#This Row],[Total_Sales]]/Daily_Data[[#This Row],[Rooms_Occupied]]</f>
        <v>1974</v>
      </c>
      <c r="S611" s="10">
        <f>Daily_Data[[#This Row],[Total_Sales]] / Daily_Data[[#This Row],[Max_rooms]]</f>
        <v>1410</v>
      </c>
    </row>
    <row r="612" spans="1:19" x14ac:dyDescent="0.25">
      <c r="A612" s="6">
        <v>45537</v>
      </c>
      <c r="B612" s="20">
        <f>DATE(YEAR(Daily_Data[[#This Row],[Date]]), MONTH(Daily_Data[[#This Row],[Date]]), 1)</f>
        <v>45536</v>
      </c>
      <c r="C612" s="20" t="str">
        <f>TEXT(Daily_Data[[#This Row],[Month_key]],"mmmm")</f>
        <v>September</v>
      </c>
      <c r="D612" s="20" t="str">
        <f>TEXT(Daily_Data[[#This Row],[Month_key]],"yyyy")</f>
        <v>2024</v>
      </c>
      <c r="E612" s="7">
        <v>13</v>
      </c>
      <c r="F612" s="7">
        <v>14</v>
      </c>
      <c r="G612" s="8">
        <f>Daily_Data[[#This Row],[Rooms_Occupied]]/F612</f>
        <v>0.9285714285714286</v>
      </c>
      <c r="H612" s="7">
        <v>1250</v>
      </c>
      <c r="I612" s="7">
        <f>Daily_Data[[#This Row],[Room_rate]]*Daily_Data[[#This Row],[Rooms_Occupied]]</f>
        <v>16250</v>
      </c>
      <c r="J612" s="10">
        <f>Daily_Data[[#This Row],[Total_Sales]] * 0.22</f>
        <v>3575</v>
      </c>
      <c r="K612" s="10">
        <f>INDEX(Expense_master[Monthly_Rent],MATCH(Daily_Data[[#This Row],[Month_key]],Expense_master[Month_Key],0)) / INDEX(Expense_master[Days_in_Month],MATCH(Daily_Data[[#This Row],[Month_key]],Expense_master[Month_Key],0))</f>
        <v>8333.3333333333339</v>
      </c>
      <c r="L612" s="10">
        <f>SUMIFS(Expense_master[Staff_Salary],Expense_master[Month_Key],Daily_Data[[#This Row],[Month_key]]) / SUMIFS(Expense_master[Days_in_Month],Expense_master[Month_Key],Daily_Data[[#This Row],[Month_key]])</f>
        <v>2333.3333333333335</v>
      </c>
      <c r="M612" s="10">
        <f>Daily_Data[[#This Row],[Rooms_Occupied]] * (SUMIFS(Expense_master[Housekeeping_Laundy],Expense_master[Month_Key],Daily_Data[[#This Row],[Month_key]]) / SUMIFS(Occupancy_table[Monthly_rooms_Occupied],Occupancy_table[Month_Key],Daily_Data[[#This Row],[Month_key]]))</f>
        <v>391.56626506024099</v>
      </c>
      <c r="N6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1847.0368674698793</v>
      </c>
      <c r="O612" s="10">
        <f>SUMIFS(Expense_master[Monthly_Maintenance],Expense_master[Month_Key],Daily_Data[[#This Row],[Month_key]]) / SUMIFS(Expense_master[Days_in_Month],Expense_master[Month_Key], Daily_Data[[#This Row],[Month_key]])</f>
        <v>666.66666666666663</v>
      </c>
      <c r="P612" s="10">
        <f xml:space="preserve"> Daily_Data[[#This Row],[OTA Commision]] + Daily_Data[[#This Row],[Daily_Rent]]+Daily_Data[[#This Row],[Daily_Staff]]+Daily_Data[[#This Row],[Daily_HK]]+Daily_Data[[#This Row],[Daily_Electricity]] + Daily_Data[[#This Row],[Daily Maintenance]]</f>
        <v>17146.936465863455</v>
      </c>
      <c r="Q612" s="10">
        <f>Daily_Data[[#This Row],[Total_Sales]]-Daily_Data[[#This Row],[Total_Daily_Expense]]</f>
        <v>-896.93646586345494</v>
      </c>
      <c r="R612" s="10">
        <f>Daily_Data[[#This Row],[Total_Sales]]/Daily_Data[[#This Row],[Rooms_Occupied]]</f>
        <v>1250</v>
      </c>
      <c r="S612" s="10">
        <f>Daily_Data[[#This Row],[Total_Sales]] / Daily_Data[[#This Row],[Max_rooms]]</f>
        <v>1160.7142857142858</v>
      </c>
    </row>
    <row r="613" spans="1:19" x14ac:dyDescent="0.25">
      <c r="A613" s="6">
        <v>45538</v>
      </c>
      <c r="B613" s="20">
        <f>DATE(YEAR(Daily_Data[[#This Row],[Date]]), MONTH(Daily_Data[[#This Row],[Date]]), 1)</f>
        <v>45536</v>
      </c>
      <c r="C613" s="20" t="str">
        <f>TEXT(Daily_Data[[#This Row],[Month_key]],"mmmm")</f>
        <v>September</v>
      </c>
      <c r="D613" s="20" t="str">
        <f>TEXT(Daily_Data[[#This Row],[Month_key]],"yyyy")</f>
        <v>2024</v>
      </c>
      <c r="E613" s="7">
        <v>14</v>
      </c>
      <c r="F613" s="7">
        <v>14</v>
      </c>
      <c r="G613" s="8">
        <f>Daily_Data[[#This Row],[Rooms_Occupied]]/F613</f>
        <v>1</v>
      </c>
      <c r="H613" s="7">
        <v>1978</v>
      </c>
      <c r="I613" s="7">
        <f>Daily_Data[[#This Row],[Room_rate]]*Daily_Data[[#This Row],[Rooms_Occupied]]</f>
        <v>27692</v>
      </c>
      <c r="J613" s="10">
        <f>Daily_Data[[#This Row],[Total_Sales]] * 0.22</f>
        <v>6092.24</v>
      </c>
      <c r="K613" s="10">
        <f>INDEX(Expense_master[Monthly_Rent],MATCH(Daily_Data[[#This Row],[Month_key]],Expense_master[Month_Key],0)) / INDEX(Expense_master[Days_in_Month],MATCH(Daily_Data[[#This Row],[Month_key]],Expense_master[Month_Key],0))</f>
        <v>8333.3333333333339</v>
      </c>
      <c r="L613" s="10">
        <f>SUMIFS(Expense_master[Staff_Salary],Expense_master[Month_Key],Daily_Data[[#This Row],[Month_key]]) / SUMIFS(Expense_master[Days_in_Month],Expense_master[Month_Key],Daily_Data[[#This Row],[Month_key]])</f>
        <v>2333.3333333333335</v>
      </c>
      <c r="M613" s="10">
        <f>Daily_Data[[#This Row],[Rooms_Occupied]] * (SUMIFS(Expense_master[Housekeeping_Laundy],Expense_master[Month_Key],Daily_Data[[#This Row],[Month_key]]) / SUMIFS(Occupancy_table[Monthly_rooms_Occupied],Occupancy_table[Month_Key],Daily_Data[[#This Row],[Month_key]]))</f>
        <v>421.68674698795184</v>
      </c>
      <c r="N6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1937.6766265060239</v>
      </c>
      <c r="O613" s="10">
        <f>SUMIFS(Expense_master[Monthly_Maintenance],Expense_master[Month_Key],Daily_Data[[#This Row],[Month_key]]) / SUMIFS(Expense_master[Days_in_Month],Expense_master[Month_Key], Daily_Data[[#This Row],[Month_key]])</f>
        <v>666.66666666666663</v>
      </c>
      <c r="P613" s="10">
        <f xml:space="preserve"> Daily_Data[[#This Row],[OTA Commision]] + Daily_Data[[#This Row],[Daily_Rent]]+Daily_Data[[#This Row],[Daily_Staff]]+Daily_Data[[#This Row],[Daily_HK]]+Daily_Data[[#This Row],[Daily_Electricity]] + Daily_Data[[#This Row],[Daily Maintenance]]</f>
        <v>19784.93670682731</v>
      </c>
      <c r="Q613" s="10">
        <f>Daily_Data[[#This Row],[Total_Sales]]-Daily_Data[[#This Row],[Total_Daily_Expense]]</f>
        <v>7907.0632931726905</v>
      </c>
      <c r="R613" s="10">
        <f>Daily_Data[[#This Row],[Total_Sales]]/Daily_Data[[#This Row],[Rooms_Occupied]]</f>
        <v>1978</v>
      </c>
      <c r="S613" s="10">
        <f>Daily_Data[[#This Row],[Total_Sales]] / Daily_Data[[#This Row],[Max_rooms]]</f>
        <v>1978</v>
      </c>
    </row>
    <row r="614" spans="1:19" x14ac:dyDescent="0.25">
      <c r="A614" s="6">
        <v>45539</v>
      </c>
      <c r="B614" s="20">
        <f>DATE(YEAR(Daily_Data[[#This Row],[Date]]), MONTH(Daily_Data[[#This Row],[Date]]), 1)</f>
        <v>45536</v>
      </c>
      <c r="C614" s="20" t="str">
        <f>TEXT(Daily_Data[[#This Row],[Month_key]],"mmmm")</f>
        <v>September</v>
      </c>
      <c r="D614" s="20" t="str">
        <f>TEXT(Daily_Data[[#This Row],[Month_key]],"yyyy")</f>
        <v>2024</v>
      </c>
      <c r="E614" s="7">
        <v>9</v>
      </c>
      <c r="F614" s="7">
        <v>14</v>
      </c>
      <c r="G614" s="8">
        <f>Daily_Data[[#This Row],[Rooms_Occupied]]/F614</f>
        <v>0.6428571428571429</v>
      </c>
      <c r="H614" s="7">
        <v>1386</v>
      </c>
      <c r="I614" s="7">
        <f>Daily_Data[[#This Row],[Room_rate]]*Daily_Data[[#This Row],[Rooms_Occupied]]</f>
        <v>12474</v>
      </c>
      <c r="J614" s="10">
        <f>Daily_Data[[#This Row],[Total_Sales]] * 0.22</f>
        <v>2744.28</v>
      </c>
      <c r="K614" s="10">
        <f>INDEX(Expense_master[Monthly_Rent],MATCH(Daily_Data[[#This Row],[Month_key]],Expense_master[Month_Key],0)) / INDEX(Expense_master[Days_in_Month],MATCH(Daily_Data[[#This Row],[Month_key]],Expense_master[Month_Key],0))</f>
        <v>8333.3333333333339</v>
      </c>
      <c r="L614" s="10">
        <f>SUMIFS(Expense_master[Staff_Salary],Expense_master[Month_Key],Daily_Data[[#This Row],[Month_key]]) / SUMIFS(Expense_master[Days_in_Month],Expense_master[Month_Key],Daily_Data[[#This Row],[Month_key]])</f>
        <v>2333.3333333333335</v>
      </c>
      <c r="M614" s="10">
        <f>Daily_Data[[#This Row],[Rooms_Occupied]] * (SUMIFS(Expense_master[Housekeeping_Laundy],Expense_master[Month_Key],Daily_Data[[#This Row],[Month_key]]) / SUMIFS(Occupancy_table[Monthly_rooms_Occupied],Occupancy_table[Month_Key],Daily_Data[[#This Row],[Month_key]]))</f>
        <v>271.08433734939763</v>
      </c>
      <c r="N6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14" s="10">
        <f>SUMIFS(Expense_master[Monthly_Maintenance],Expense_master[Month_Key],Daily_Data[[#This Row],[Month_key]]) / SUMIFS(Expense_master[Days_in_Month],Expense_master[Month_Key], Daily_Data[[#This Row],[Month_key]])</f>
        <v>666.66666666666663</v>
      </c>
      <c r="P614" s="10">
        <f xml:space="preserve"> Daily_Data[[#This Row],[OTA Commision]] + Daily_Data[[#This Row],[Daily_Rent]]+Daily_Data[[#This Row],[Daily_Staff]]+Daily_Data[[#This Row],[Daily_HK]]+Daily_Data[[#This Row],[Daily_Electricity]] + Daily_Data[[#This Row],[Daily Maintenance]]</f>
        <v>15833.175502008033</v>
      </c>
      <c r="Q614" s="10">
        <f>Daily_Data[[#This Row],[Total_Sales]]-Daily_Data[[#This Row],[Total_Daily_Expense]]</f>
        <v>-3359.1755020080327</v>
      </c>
      <c r="R614" s="10">
        <f>Daily_Data[[#This Row],[Total_Sales]]/Daily_Data[[#This Row],[Rooms_Occupied]]</f>
        <v>1386</v>
      </c>
      <c r="S614" s="10">
        <f>Daily_Data[[#This Row],[Total_Sales]] / Daily_Data[[#This Row],[Max_rooms]]</f>
        <v>891</v>
      </c>
    </row>
    <row r="615" spans="1:19" x14ac:dyDescent="0.25">
      <c r="A615" s="6">
        <v>45540</v>
      </c>
      <c r="B615" s="20">
        <f>DATE(YEAR(Daily_Data[[#This Row],[Date]]), MONTH(Daily_Data[[#This Row],[Date]]), 1)</f>
        <v>45536</v>
      </c>
      <c r="C615" s="20" t="str">
        <f>TEXT(Daily_Data[[#This Row],[Month_key]],"mmmm")</f>
        <v>September</v>
      </c>
      <c r="D615" s="20" t="str">
        <f>TEXT(Daily_Data[[#This Row],[Month_key]],"yyyy")</f>
        <v>2024</v>
      </c>
      <c r="E615" s="7">
        <v>9</v>
      </c>
      <c r="F615" s="7">
        <v>14</v>
      </c>
      <c r="G615" s="8">
        <f>Daily_Data[[#This Row],[Rooms_Occupied]]/F615</f>
        <v>0.6428571428571429</v>
      </c>
      <c r="H615" s="7">
        <v>1851</v>
      </c>
      <c r="I615" s="7">
        <f>Daily_Data[[#This Row],[Room_rate]]*Daily_Data[[#This Row],[Rooms_Occupied]]</f>
        <v>16659</v>
      </c>
      <c r="J615" s="10">
        <f>Daily_Data[[#This Row],[Total_Sales]] * 0.22</f>
        <v>3664.98</v>
      </c>
      <c r="K615" s="10">
        <f>INDEX(Expense_master[Monthly_Rent],MATCH(Daily_Data[[#This Row],[Month_key]],Expense_master[Month_Key],0)) / INDEX(Expense_master[Days_in_Month],MATCH(Daily_Data[[#This Row],[Month_key]],Expense_master[Month_Key],0))</f>
        <v>8333.3333333333339</v>
      </c>
      <c r="L615" s="10">
        <f>SUMIFS(Expense_master[Staff_Salary],Expense_master[Month_Key],Daily_Data[[#This Row],[Month_key]]) / SUMIFS(Expense_master[Days_in_Month],Expense_master[Month_Key],Daily_Data[[#This Row],[Month_key]])</f>
        <v>2333.3333333333335</v>
      </c>
      <c r="M615" s="10">
        <f>Daily_Data[[#This Row],[Rooms_Occupied]] * (SUMIFS(Expense_master[Housekeeping_Laundy],Expense_master[Month_Key],Daily_Data[[#This Row],[Month_key]]) / SUMIFS(Occupancy_table[Monthly_rooms_Occupied],Occupancy_table[Month_Key],Daily_Data[[#This Row],[Month_key]]))</f>
        <v>271.08433734939763</v>
      </c>
      <c r="N6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15" s="10">
        <f>SUMIFS(Expense_master[Monthly_Maintenance],Expense_master[Month_Key],Daily_Data[[#This Row],[Month_key]]) / SUMIFS(Expense_master[Days_in_Month],Expense_master[Month_Key], Daily_Data[[#This Row],[Month_key]])</f>
        <v>666.66666666666663</v>
      </c>
      <c r="P615" s="10">
        <f xml:space="preserve"> Daily_Data[[#This Row],[OTA Commision]] + Daily_Data[[#This Row],[Daily_Rent]]+Daily_Data[[#This Row],[Daily_Staff]]+Daily_Data[[#This Row],[Daily_HK]]+Daily_Data[[#This Row],[Daily_Electricity]] + Daily_Data[[#This Row],[Daily Maintenance]]</f>
        <v>16753.875502008032</v>
      </c>
      <c r="Q615" s="10">
        <f>Daily_Data[[#This Row],[Total_Sales]]-Daily_Data[[#This Row],[Total_Daily_Expense]]</f>
        <v>-94.875502008031617</v>
      </c>
      <c r="R615" s="10">
        <f>Daily_Data[[#This Row],[Total_Sales]]/Daily_Data[[#This Row],[Rooms_Occupied]]</f>
        <v>1851</v>
      </c>
      <c r="S615" s="10">
        <f>Daily_Data[[#This Row],[Total_Sales]] / Daily_Data[[#This Row],[Max_rooms]]</f>
        <v>1189.9285714285713</v>
      </c>
    </row>
    <row r="616" spans="1:19" x14ac:dyDescent="0.25">
      <c r="A616" s="6">
        <v>45541</v>
      </c>
      <c r="B616" s="20">
        <f>DATE(YEAR(Daily_Data[[#This Row],[Date]]), MONTH(Daily_Data[[#This Row],[Date]]), 1)</f>
        <v>45536</v>
      </c>
      <c r="C616" s="20" t="str">
        <f>TEXT(Daily_Data[[#This Row],[Month_key]],"mmmm")</f>
        <v>September</v>
      </c>
      <c r="D616" s="20" t="str">
        <f>TEXT(Daily_Data[[#This Row],[Month_key]],"yyyy")</f>
        <v>2024</v>
      </c>
      <c r="E616" s="7">
        <v>9</v>
      </c>
      <c r="F616" s="7">
        <v>14</v>
      </c>
      <c r="G616" s="8">
        <f>Daily_Data[[#This Row],[Rooms_Occupied]]/F616</f>
        <v>0.6428571428571429</v>
      </c>
      <c r="H616" s="7">
        <v>1537</v>
      </c>
      <c r="I616" s="7">
        <f>Daily_Data[[#This Row],[Room_rate]]*Daily_Data[[#This Row],[Rooms_Occupied]]</f>
        <v>13833</v>
      </c>
      <c r="J616" s="10">
        <f>Daily_Data[[#This Row],[Total_Sales]] * 0.22</f>
        <v>3043.26</v>
      </c>
      <c r="K616" s="10">
        <f>INDEX(Expense_master[Monthly_Rent],MATCH(Daily_Data[[#This Row],[Month_key]],Expense_master[Month_Key],0)) / INDEX(Expense_master[Days_in_Month],MATCH(Daily_Data[[#This Row],[Month_key]],Expense_master[Month_Key],0))</f>
        <v>8333.3333333333339</v>
      </c>
      <c r="L616" s="10">
        <f>SUMIFS(Expense_master[Staff_Salary],Expense_master[Month_Key],Daily_Data[[#This Row],[Month_key]]) / SUMIFS(Expense_master[Days_in_Month],Expense_master[Month_Key],Daily_Data[[#This Row],[Month_key]])</f>
        <v>2333.3333333333335</v>
      </c>
      <c r="M616" s="10">
        <f>Daily_Data[[#This Row],[Rooms_Occupied]] * (SUMIFS(Expense_master[Housekeeping_Laundy],Expense_master[Month_Key],Daily_Data[[#This Row],[Month_key]]) / SUMIFS(Occupancy_table[Monthly_rooms_Occupied],Occupancy_table[Month_Key],Daily_Data[[#This Row],[Month_key]]))</f>
        <v>271.08433734939763</v>
      </c>
      <c r="N6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16" s="10">
        <f>SUMIFS(Expense_master[Monthly_Maintenance],Expense_master[Month_Key],Daily_Data[[#This Row],[Month_key]]) / SUMIFS(Expense_master[Days_in_Month],Expense_master[Month_Key], Daily_Data[[#This Row],[Month_key]])</f>
        <v>666.66666666666663</v>
      </c>
      <c r="P616" s="10">
        <f xml:space="preserve"> Daily_Data[[#This Row],[OTA Commision]] + Daily_Data[[#This Row],[Daily_Rent]]+Daily_Data[[#This Row],[Daily_Staff]]+Daily_Data[[#This Row],[Daily_HK]]+Daily_Data[[#This Row],[Daily_Electricity]] + Daily_Data[[#This Row],[Daily Maintenance]]</f>
        <v>16132.155502008032</v>
      </c>
      <c r="Q616" s="10">
        <f>Daily_Data[[#This Row],[Total_Sales]]-Daily_Data[[#This Row],[Total_Daily_Expense]]</f>
        <v>-2299.1555020080323</v>
      </c>
      <c r="R616" s="10">
        <f>Daily_Data[[#This Row],[Total_Sales]]/Daily_Data[[#This Row],[Rooms_Occupied]]</f>
        <v>1537</v>
      </c>
      <c r="S616" s="10">
        <f>Daily_Data[[#This Row],[Total_Sales]] / Daily_Data[[#This Row],[Max_rooms]]</f>
        <v>988.07142857142856</v>
      </c>
    </row>
    <row r="617" spans="1:19" x14ac:dyDescent="0.25">
      <c r="A617" s="6">
        <v>45542</v>
      </c>
      <c r="B617" s="20">
        <f>DATE(YEAR(Daily_Data[[#This Row],[Date]]), MONTH(Daily_Data[[#This Row],[Date]]), 1)</f>
        <v>45536</v>
      </c>
      <c r="C617" s="20" t="str">
        <f>TEXT(Daily_Data[[#This Row],[Month_key]],"mmmm")</f>
        <v>September</v>
      </c>
      <c r="D617" s="20" t="str">
        <f>TEXT(Daily_Data[[#This Row],[Month_key]],"yyyy")</f>
        <v>2024</v>
      </c>
      <c r="E617" s="7">
        <v>14</v>
      </c>
      <c r="F617" s="7">
        <v>14</v>
      </c>
      <c r="G617" s="8">
        <f>Daily_Data[[#This Row],[Rooms_Occupied]]/F617</f>
        <v>1</v>
      </c>
      <c r="H617" s="7">
        <v>1403</v>
      </c>
      <c r="I617" s="7">
        <f>Daily_Data[[#This Row],[Room_rate]]*Daily_Data[[#This Row],[Rooms_Occupied]]</f>
        <v>19642</v>
      </c>
      <c r="J617" s="10">
        <f>Daily_Data[[#This Row],[Total_Sales]] * 0.22</f>
        <v>4321.24</v>
      </c>
      <c r="K617" s="10">
        <f>INDEX(Expense_master[Monthly_Rent],MATCH(Daily_Data[[#This Row],[Month_key]],Expense_master[Month_Key],0)) / INDEX(Expense_master[Days_in_Month],MATCH(Daily_Data[[#This Row],[Month_key]],Expense_master[Month_Key],0))</f>
        <v>8333.3333333333339</v>
      </c>
      <c r="L617" s="10">
        <f>SUMIFS(Expense_master[Staff_Salary],Expense_master[Month_Key],Daily_Data[[#This Row],[Month_key]]) / SUMIFS(Expense_master[Days_in_Month],Expense_master[Month_Key],Daily_Data[[#This Row],[Month_key]])</f>
        <v>2333.3333333333335</v>
      </c>
      <c r="M617" s="10">
        <f>Daily_Data[[#This Row],[Rooms_Occupied]] * (SUMIFS(Expense_master[Housekeeping_Laundy],Expense_master[Month_Key],Daily_Data[[#This Row],[Month_key]]) / SUMIFS(Occupancy_table[Monthly_rooms_Occupied],Occupancy_table[Month_Key],Daily_Data[[#This Row],[Month_key]]))</f>
        <v>421.68674698795184</v>
      </c>
      <c r="N6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1937.6766265060239</v>
      </c>
      <c r="O617" s="10">
        <f>SUMIFS(Expense_master[Monthly_Maintenance],Expense_master[Month_Key],Daily_Data[[#This Row],[Month_key]]) / SUMIFS(Expense_master[Days_in_Month],Expense_master[Month_Key], Daily_Data[[#This Row],[Month_key]])</f>
        <v>666.66666666666663</v>
      </c>
      <c r="P617" s="10">
        <f xml:space="preserve"> Daily_Data[[#This Row],[OTA Commision]] + Daily_Data[[#This Row],[Daily_Rent]]+Daily_Data[[#This Row],[Daily_Staff]]+Daily_Data[[#This Row],[Daily_HK]]+Daily_Data[[#This Row],[Daily_Electricity]] + Daily_Data[[#This Row],[Daily Maintenance]]</f>
        <v>18013.936706827313</v>
      </c>
      <c r="Q617" s="10">
        <f>Daily_Data[[#This Row],[Total_Sales]]-Daily_Data[[#This Row],[Total_Daily_Expense]]</f>
        <v>1628.0632931726868</v>
      </c>
      <c r="R617" s="10">
        <f>Daily_Data[[#This Row],[Total_Sales]]/Daily_Data[[#This Row],[Rooms_Occupied]]</f>
        <v>1403</v>
      </c>
      <c r="S617" s="10">
        <f>Daily_Data[[#This Row],[Total_Sales]] / Daily_Data[[#This Row],[Max_rooms]]</f>
        <v>1403</v>
      </c>
    </row>
    <row r="618" spans="1:19" x14ac:dyDescent="0.25">
      <c r="A618" s="6">
        <v>45543</v>
      </c>
      <c r="B618" s="20">
        <f>DATE(YEAR(Daily_Data[[#This Row],[Date]]), MONTH(Daily_Data[[#This Row],[Date]]), 1)</f>
        <v>45536</v>
      </c>
      <c r="C618" s="20" t="str">
        <f>TEXT(Daily_Data[[#This Row],[Month_key]],"mmmm")</f>
        <v>September</v>
      </c>
      <c r="D618" s="20" t="str">
        <f>TEXT(Daily_Data[[#This Row],[Month_key]],"yyyy")</f>
        <v>2024</v>
      </c>
      <c r="E618" s="7">
        <v>9</v>
      </c>
      <c r="F618" s="7">
        <v>14</v>
      </c>
      <c r="G618" s="8">
        <f>Daily_Data[[#This Row],[Rooms_Occupied]]/F618</f>
        <v>0.6428571428571429</v>
      </c>
      <c r="H618" s="7">
        <v>1787</v>
      </c>
      <c r="I618" s="7">
        <f>Daily_Data[[#This Row],[Room_rate]]*Daily_Data[[#This Row],[Rooms_Occupied]]</f>
        <v>16083</v>
      </c>
      <c r="J618" s="10">
        <f>Daily_Data[[#This Row],[Total_Sales]] * 0.22</f>
        <v>3538.26</v>
      </c>
      <c r="K618" s="10">
        <f>INDEX(Expense_master[Monthly_Rent],MATCH(Daily_Data[[#This Row],[Month_key]],Expense_master[Month_Key],0)) / INDEX(Expense_master[Days_in_Month],MATCH(Daily_Data[[#This Row],[Month_key]],Expense_master[Month_Key],0))</f>
        <v>8333.3333333333339</v>
      </c>
      <c r="L618" s="10">
        <f>SUMIFS(Expense_master[Staff_Salary],Expense_master[Month_Key],Daily_Data[[#This Row],[Month_key]]) / SUMIFS(Expense_master[Days_in_Month],Expense_master[Month_Key],Daily_Data[[#This Row],[Month_key]])</f>
        <v>2333.3333333333335</v>
      </c>
      <c r="M618" s="10">
        <f>Daily_Data[[#This Row],[Rooms_Occupied]] * (SUMIFS(Expense_master[Housekeeping_Laundy],Expense_master[Month_Key],Daily_Data[[#This Row],[Month_key]]) / SUMIFS(Occupancy_table[Monthly_rooms_Occupied],Occupancy_table[Month_Key],Daily_Data[[#This Row],[Month_key]]))</f>
        <v>271.08433734939763</v>
      </c>
      <c r="N6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18" s="10">
        <f>SUMIFS(Expense_master[Monthly_Maintenance],Expense_master[Month_Key],Daily_Data[[#This Row],[Month_key]]) / SUMIFS(Expense_master[Days_in_Month],Expense_master[Month_Key], Daily_Data[[#This Row],[Month_key]])</f>
        <v>666.66666666666663</v>
      </c>
      <c r="P618" s="10">
        <f xml:space="preserve"> Daily_Data[[#This Row],[OTA Commision]] + Daily_Data[[#This Row],[Daily_Rent]]+Daily_Data[[#This Row],[Daily_Staff]]+Daily_Data[[#This Row],[Daily_HK]]+Daily_Data[[#This Row],[Daily_Electricity]] + Daily_Data[[#This Row],[Daily Maintenance]]</f>
        <v>16627.155502008034</v>
      </c>
      <c r="Q618" s="10">
        <f>Daily_Data[[#This Row],[Total_Sales]]-Daily_Data[[#This Row],[Total_Daily_Expense]]</f>
        <v>-544.15550200803409</v>
      </c>
      <c r="R618" s="10">
        <f>Daily_Data[[#This Row],[Total_Sales]]/Daily_Data[[#This Row],[Rooms_Occupied]]</f>
        <v>1787</v>
      </c>
      <c r="S618" s="10">
        <f>Daily_Data[[#This Row],[Total_Sales]] / Daily_Data[[#This Row],[Max_rooms]]</f>
        <v>1148.7857142857142</v>
      </c>
    </row>
    <row r="619" spans="1:19" x14ac:dyDescent="0.25">
      <c r="A619" s="6">
        <v>45544</v>
      </c>
      <c r="B619" s="20">
        <f>DATE(YEAR(Daily_Data[[#This Row],[Date]]), MONTH(Daily_Data[[#This Row],[Date]]), 1)</f>
        <v>45536</v>
      </c>
      <c r="C619" s="20" t="str">
        <f>TEXT(Daily_Data[[#This Row],[Month_key]],"mmmm")</f>
        <v>September</v>
      </c>
      <c r="D619" s="20" t="str">
        <f>TEXT(Daily_Data[[#This Row],[Month_key]],"yyyy")</f>
        <v>2024</v>
      </c>
      <c r="E619" s="7">
        <v>8</v>
      </c>
      <c r="F619" s="7">
        <v>14</v>
      </c>
      <c r="G619" s="8">
        <f>Daily_Data[[#This Row],[Rooms_Occupied]]/F619</f>
        <v>0.5714285714285714</v>
      </c>
      <c r="H619" s="7">
        <v>1813</v>
      </c>
      <c r="I619" s="7">
        <f>Daily_Data[[#This Row],[Room_rate]]*Daily_Data[[#This Row],[Rooms_Occupied]]</f>
        <v>14504</v>
      </c>
      <c r="J619" s="10">
        <f>Daily_Data[[#This Row],[Total_Sales]] * 0.22</f>
        <v>3190.88</v>
      </c>
      <c r="K619" s="10">
        <f>INDEX(Expense_master[Monthly_Rent],MATCH(Daily_Data[[#This Row],[Month_key]],Expense_master[Month_Key],0)) / INDEX(Expense_master[Days_in_Month],MATCH(Daily_Data[[#This Row],[Month_key]],Expense_master[Month_Key],0))</f>
        <v>8333.3333333333339</v>
      </c>
      <c r="L619" s="10">
        <f>SUMIFS(Expense_master[Staff_Salary],Expense_master[Month_Key],Daily_Data[[#This Row],[Month_key]]) / SUMIFS(Expense_master[Days_in_Month],Expense_master[Month_Key],Daily_Data[[#This Row],[Month_key]])</f>
        <v>2333.3333333333335</v>
      </c>
      <c r="M619" s="10">
        <f>Daily_Data[[#This Row],[Rooms_Occupied]] * (SUMIFS(Expense_master[Housekeeping_Laundy],Expense_master[Month_Key],Daily_Data[[#This Row],[Month_key]]) / SUMIFS(Occupancy_table[Monthly_rooms_Occupied],Occupancy_table[Month_Key],Daily_Data[[#This Row],[Month_key]]))</f>
        <v>240.96385542168676</v>
      </c>
      <c r="N6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1393.8380722891566</v>
      </c>
      <c r="O619" s="10">
        <f>SUMIFS(Expense_master[Monthly_Maintenance],Expense_master[Month_Key],Daily_Data[[#This Row],[Month_key]]) / SUMIFS(Expense_master[Days_in_Month],Expense_master[Month_Key], Daily_Data[[#This Row],[Month_key]])</f>
        <v>666.66666666666663</v>
      </c>
      <c r="P619" s="10">
        <f xml:space="preserve"> Daily_Data[[#This Row],[OTA Commision]] + Daily_Data[[#This Row],[Daily_Rent]]+Daily_Data[[#This Row],[Daily_Staff]]+Daily_Data[[#This Row],[Daily_HK]]+Daily_Data[[#This Row],[Daily_Electricity]] + Daily_Data[[#This Row],[Daily Maintenance]]</f>
        <v>16159.015261044176</v>
      </c>
      <c r="Q619" s="10">
        <f>Daily_Data[[#This Row],[Total_Sales]]-Daily_Data[[#This Row],[Total_Daily_Expense]]</f>
        <v>-1655.0152610441764</v>
      </c>
      <c r="R619" s="10">
        <f>Daily_Data[[#This Row],[Total_Sales]]/Daily_Data[[#This Row],[Rooms_Occupied]]</f>
        <v>1813</v>
      </c>
      <c r="S619" s="10">
        <f>Daily_Data[[#This Row],[Total_Sales]] / Daily_Data[[#This Row],[Max_rooms]]</f>
        <v>1036</v>
      </c>
    </row>
    <row r="620" spans="1:19" x14ac:dyDescent="0.25">
      <c r="A620" s="6">
        <v>45545</v>
      </c>
      <c r="B620" s="20">
        <f>DATE(YEAR(Daily_Data[[#This Row],[Date]]), MONTH(Daily_Data[[#This Row],[Date]]), 1)</f>
        <v>45536</v>
      </c>
      <c r="C620" s="20" t="str">
        <f>TEXT(Daily_Data[[#This Row],[Month_key]],"mmmm")</f>
        <v>September</v>
      </c>
      <c r="D620" s="20" t="str">
        <f>TEXT(Daily_Data[[#This Row],[Month_key]],"yyyy")</f>
        <v>2024</v>
      </c>
      <c r="E620" s="7">
        <v>10</v>
      </c>
      <c r="F620" s="7">
        <v>14</v>
      </c>
      <c r="G620" s="8">
        <f>Daily_Data[[#This Row],[Rooms_Occupied]]/F620</f>
        <v>0.7142857142857143</v>
      </c>
      <c r="H620" s="7">
        <v>1384</v>
      </c>
      <c r="I620" s="7">
        <f>Daily_Data[[#This Row],[Room_rate]]*Daily_Data[[#This Row],[Rooms_Occupied]]</f>
        <v>13840</v>
      </c>
      <c r="J620" s="10">
        <f>Daily_Data[[#This Row],[Total_Sales]] * 0.22</f>
        <v>3044.8</v>
      </c>
      <c r="K620" s="10">
        <f>INDEX(Expense_master[Monthly_Rent],MATCH(Daily_Data[[#This Row],[Month_key]],Expense_master[Month_Key],0)) / INDEX(Expense_master[Days_in_Month],MATCH(Daily_Data[[#This Row],[Month_key]],Expense_master[Month_Key],0))</f>
        <v>8333.3333333333339</v>
      </c>
      <c r="L620" s="10">
        <f>SUMIFS(Expense_master[Staff_Salary],Expense_master[Month_Key],Daily_Data[[#This Row],[Month_key]]) / SUMIFS(Expense_master[Days_in_Month],Expense_master[Month_Key],Daily_Data[[#This Row],[Month_key]])</f>
        <v>2333.3333333333335</v>
      </c>
      <c r="M620" s="10">
        <f>Daily_Data[[#This Row],[Rooms_Occupied]] * (SUMIFS(Expense_master[Housekeeping_Laundy],Expense_master[Month_Key],Daily_Data[[#This Row],[Month_key]]) / SUMIFS(Occupancy_table[Monthly_rooms_Occupied],Occupancy_table[Month_Key],Daily_Data[[#This Row],[Month_key]]))</f>
        <v>301.20481927710847</v>
      </c>
      <c r="N6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1575.1175903614458</v>
      </c>
      <c r="O620" s="10">
        <f>SUMIFS(Expense_master[Monthly_Maintenance],Expense_master[Month_Key],Daily_Data[[#This Row],[Month_key]]) / SUMIFS(Expense_master[Days_in_Month],Expense_master[Month_Key], Daily_Data[[#This Row],[Month_key]])</f>
        <v>666.66666666666663</v>
      </c>
      <c r="P620" s="10">
        <f xml:space="preserve"> Daily_Data[[#This Row],[OTA Commision]] + Daily_Data[[#This Row],[Daily_Rent]]+Daily_Data[[#This Row],[Daily_Staff]]+Daily_Data[[#This Row],[Daily_HK]]+Daily_Data[[#This Row],[Daily_Electricity]] + Daily_Data[[#This Row],[Daily Maintenance]]</f>
        <v>16254.45574297189</v>
      </c>
      <c r="Q620" s="10">
        <f>Daily_Data[[#This Row],[Total_Sales]]-Daily_Data[[#This Row],[Total_Daily_Expense]]</f>
        <v>-2414.4557429718898</v>
      </c>
      <c r="R620" s="10">
        <f>Daily_Data[[#This Row],[Total_Sales]]/Daily_Data[[#This Row],[Rooms_Occupied]]</f>
        <v>1384</v>
      </c>
      <c r="S620" s="10">
        <f>Daily_Data[[#This Row],[Total_Sales]] / Daily_Data[[#This Row],[Max_rooms]]</f>
        <v>988.57142857142856</v>
      </c>
    </row>
    <row r="621" spans="1:19" x14ac:dyDescent="0.25">
      <c r="A621" s="6">
        <v>45546</v>
      </c>
      <c r="B621" s="20">
        <f>DATE(YEAR(Daily_Data[[#This Row],[Date]]), MONTH(Daily_Data[[#This Row],[Date]]), 1)</f>
        <v>45536</v>
      </c>
      <c r="C621" s="20" t="str">
        <f>TEXT(Daily_Data[[#This Row],[Month_key]],"mmmm")</f>
        <v>September</v>
      </c>
      <c r="D621" s="20" t="str">
        <f>TEXT(Daily_Data[[#This Row],[Month_key]],"yyyy")</f>
        <v>2024</v>
      </c>
      <c r="E621" s="7">
        <v>9</v>
      </c>
      <c r="F621" s="7">
        <v>14</v>
      </c>
      <c r="G621" s="8">
        <f>Daily_Data[[#This Row],[Rooms_Occupied]]/F621</f>
        <v>0.6428571428571429</v>
      </c>
      <c r="H621" s="7">
        <v>1421</v>
      </c>
      <c r="I621" s="7">
        <f>Daily_Data[[#This Row],[Room_rate]]*Daily_Data[[#This Row],[Rooms_Occupied]]</f>
        <v>12789</v>
      </c>
      <c r="J621" s="10">
        <f>Daily_Data[[#This Row],[Total_Sales]] * 0.22</f>
        <v>2813.58</v>
      </c>
      <c r="K621" s="10">
        <f>INDEX(Expense_master[Monthly_Rent],MATCH(Daily_Data[[#This Row],[Month_key]],Expense_master[Month_Key],0)) / INDEX(Expense_master[Days_in_Month],MATCH(Daily_Data[[#This Row],[Month_key]],Expense_master[Month_Key],0))</f>
        <v>8333.3333333333339</v>
      </c>
      <c r="L621" s="10">
        <f>SUMIFS(Expense_master[Staff_Salary],Expense_master[Month_Key],Daily_Data[[#This Row],[Month_key]]) / SUMIFS(Expense_master[Days_in_Month],Expense_master[Month_Key],Daily_Data[[#This Row],[Month_key]])</f>
        <v>2333.3333333333335</v>
      </c>
      <c r="M621" s="10">
        <f>Daily_Data[[#This Row],[Rooms_Occupied]] * (SUMIFS(Expense_master[Housekeeping_Laundy],Expense_master[Month_Key],Daily_Data[[#This Row],[Month_key]]) / SUMIFS(Occupancy_table[Monthly_rooms_Occupied],Occupancy_table[Month_Key],Daily_Data[[#This Row],[Month_key]]))</f>
        <v>271.08433734939763</v>
      </c>
      <c r="N6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21" s="10">
        <f>SUMIFS(Expense_master[Monthly_Maintenance],Expense_master[Month_Key],Daily_Data[[#This Row],[Month_key]]) / SUMIFS(Expense_master[Days_in_Month],Expense_master[Month_Key], Daily_Data[[#This Row],[Month_key]])</f>
        <v>666.66666666666663</v>
      </c>
      <c r="P621" s="10">
        <f xml:space="preserve"> Daily_Data[[#This Row],[OTA Commision]] + Daily_Data[[#This Row],[Daily_Rent]]+Daily_Data[[#This Row],[Daily_Staff]]+Daily_Data[[#This Row],[Daily_HK]]+Daily_Data[[#This Row],[Daily_Electricity]] + Daily_Data[[#This Row],[Daily Maintenance]]</f>
        <v>15902.475502008032</v>
      </c>
      <c r="Q621" s="10">
        <f>Daily_Data[[#This Row],[Total_Sales]]-Daily_Data[[#This Row],[Total_Daily_Expense]]</f>
        <v>-3113.475502008032</v>
      </c>
      <c r="R621" s="10">
        <f>Daily_Data[[#This Row],[Total_Sales]]/Daily_Data[[#This Row],[Rooms_Occupied]]</f>
        <v>1421</v>
      </c>
      <c r="S621" s="10">
        <f>Daily_Data[[#This Row],[Total_Sales]] / Daily_Data[[#This Row],[Max_rooms]]</f>
        <v>913.5</v>
      </c>
    </row>
    <row r="622" spans="1:19" x14ac:dyDescent="0.25">
      <c r="A622" s="6">
        <v>45547</v>
      </c>
      <c r="B622" s="20">
        <f>DATE(YEAR(Daily_Data[[#This Row],[Date]]), MONTH(Daily_Data[[#This Row],[Date]]), 1)</f>
        <v>45536</v>
      </c>
      <c r="C622" s="20" t="str">
        <f>TEXT(Daily_Data[[#This Row],[Month_key]],"mmmm")</f>
        <v>September</v>
      </c>
      <c r="D622" s="20" t="str">
        <f>TEXT(Daily_Data[[#This Row],[Month_key]],"yyyy")</f>
        <v>2024</v>
      </c>
      <c r="E622" s="7">
        <v>11</v>
      </c>
      <c r="F622" s="7">
        <v>14</v>
      </c>
      <c r="G622" s="8">
        <f>Daily_Data[[#This Row],[Rooms_Occupied]]/F622</f>
        <v>0.7857142857142857</v>
      </c>
      <c r="H622" s="7">
        <v>1073</v>
      </c>
      <c r="I622" s="7">
        <f>Daily_Data[[#This Row],[Room_rate]]*Daily_Data[[#This Row],[Rooms_Occupied]]</f>
        <v>11803</v>
      </c>
      <c r="J622" s="10">
        <f>Daily_Data[[#This Row],[Total_Sales]] * 0.22</f>
        <v>2596.66</v>
      </c>
      <c r="K622" s="10">
        <f>INDEX(Expense_master[Monthly_Rent],MATCH(Daily_Data[[#This Row],[Month_key]],Expense_master[Month_Key],0)) / INDEX(Expense_master[Days_in_Month],MATCH(Daily_Data[[#This Row],[Month_key]],Expense_master[Month_Key],0))</f>
        <v>8333.3333333333339</v>
      </c>
      <c r="L622" s="10">
        <f>SUMIFS(Expense_master[Staff_Salary],Expense_master[Month_Key],Daily_Data[[#This Row],[Month_key]]) / SUMIFS(Expense_master[Days_in_Month],Expense_master[Month_Key],Daily_Data[[#This Row],[Month_key]])</f>
        <v>2333.3333333333335</v>
      </c>
      <c r="M622" s="10">
        <f>Daily_Data[[#This Row],[Rooms_Occupied]] * (SUMIFS(Expense_master[Housekeeping_Laundy],Expense_master[Month_Key],Daily_Data[[#This Row],[Month_key]]) / SUMIFS(Occupancy_table[Monthly_rooms_Occupied],Occupancy_table[Month_Key],Daily_Data[[#This Row],[Month_key]]))</f>
        <v>331.32530120481931</v>
      </c>
      <c r="N6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1665.7573493975901</v>
      </c>
      <c r="O622" s="10">
        <f>SUMIFS(Expense_master[Monthly_Maintenance],Expense_master[Month_Key],Daily_Data[[#This Row],[Month_key]]) / SUMIFS(Expense_master[Days_in_Month],Expense_master[Month_Key], Daily_Data[[#This Row],[Month_key]])</f>
        <v>666.66666666666663</v>
      </c>
      <c r="P622" s="10">
        <f xml:space="preserve"> Daily_Data[[#This Row],[OTA Commision]] + Daily_Data[[#This Row],[Daily_Rent]]+Daily_Data[[#This Row],[Daily_Staff]]+Daily_Data[[#This Row],[Daily_HK]]+Daily_Data[[#This Row],[Daily_Electricity]] + Daily_Data[[#This Row],[Daily Maintenance]]</f>
        <v>15927.075983935743</v>
      </c>
      <c r="Q622" s="10">
        <f>Daily_Data[[#This Row],[Total_Sales]]-Daily_Data[[#This Row],[Total_Daily_Expense]]</f>
        <v>-4124.0759839357434</v>
      </c>
      <c r="R622" s="10">
        <f>Daily_Data[[#This Row],[Total_Sales]]/Daily_Data[[#This Row],[Rooms_Occupied]]</f>
        <v>1073</v>
      </c>
      <c r="S622" s="10">
        <f>Daily_Data[[#This Row],[Total_Sales]] / Daily_Data[[#This Row],[Max_rooms]]</f>
        <v>843.07142857142856</v>
      </c>
    </row>
    <row r="623" spans="1:19" x14ac:dyDescent="0.25">
      <c r="A623" s="6">
        <v>45548</v>
      </c>
      <c r="B623" s="20">
        <f>DATE(YEAR(Daily_Data[[#This Row],[Date]]), MONTH(Daily_Data[[#This Row],[Date]]), 1)</f>
        <v>45536</v>
      </c>
      <c r="C623" s="20" t="str">
        <f>TEXT(Daily_Data[[#This Row],[Month_key]],"mmmm")</f>
        <v>September</v>
      </c>
      <c r="D623" s="20" t="str">
        <f>TEXT(Daily_Data[[#This Row],[Month_key]],"yyyy")</f>
        <v>2024</v>
      </c>
      <c r="E623" s="7">
        <v>9</v>
      </c>
      <c r="F623" s="7">
        <v>14</v>
      </c>
      <c r="G623" s="8">
        <f>Daily_Data[[#This Row],[Rooms_Occupied]]/F623</f>
        <v>0.6428571428571429</v>
      </c>
      <c r="H623" s="7">
        <v>1260</v>
      </c>
      <c r="I623" s="7">
        <f>Daily_Data[[#This Row],[Room_rate]]*Daily_Data[[#This Row],[Rooms_Occupied]]</f>
        <v>11340</v>
      </c>
      <c r="J623" s="10">
        <f>Daily_Data[[#This Row],[Total_Sales]] * 0.22</f>
        <v>2494.8000000000002</v>
      </c>
      <c r="K623" s="10">
        <f>INDEX(Expense_master[Monthly_Rent],MATCH(Daily_Data[[#This Row],[Month_key]],Expense_master[Month_Key],0)) / INDEX(Expense_master[Days_in_Month],MATCH(Daily_Data[[#This Row],[Month_key]],Expense_master[Month_Key],0))</f>
        <v>8333.3333333333339</v>
      </c>
      <c r="L623" s="10">
        <f>SUMIFS(Expense_master[Staff_Salary],Expense_master[Month_Key],Daily_Data[[#This Row],[Month_key]]) / SUMIFS(Expense_master[Days_in_Month],Expense_master[Month_Key],Daily_Data[[#This Row],[Month_key]])</f>
        <v>2333.3333333333335</v>
      </c>
      <c r="M623" s="10">
        <f>Daily_Data[[#This Row],[Rooms_Occupied]] * (SUMIFS(Expense_master[Housekeeping_Laundy],Expense_master[Month_Key],Daily_Data[[#This Row],[Month_key]]) / SUMIFS(Occupancy_table[Monthly_rooms_Occupied],Occupancy_table[Month_Key],Daily_Data[[#This Row],[Month_key]]))</f>
        <v>271.08433734939763</v>
      </c>
      <c r="N6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23" s="10">
        <f>SUMIFS(Expense_master[Monthly_Maintenance],Expense_master[Month_Key],Daily_Data[[#This Row],[Month_key]]) / SUMIFS(Expense_master[Days_in_Month],Expense_master[Month_Key], Daily_Data[[#This Row],[Month_key]])</f>
        <v>666.66666666666663</v>
      </c>
      <c r="P623" s="10">
        <f xml:space="preserve"> Daily_Data[[#This Row],[OTA Commision]] + Daily_Data[[#This Row],[Daily_Rent]]+Daily_Data[[#This Row],[Daily_Staff]]+Daily_Data[[#This Row],[Daily_HK]]+Daily_Data[[#This Row],[Daily_Electricity]] + Daily_Data[[#This Row],[Daily Maintenance]]</f>
        <v>15583.695502008033</v>
      </c>
      <c r="Q623" s="10">
        <f>Daily_Data[[#This Row],[Total_Sales]]-Daily_Data[[#This Row],[Total_Daily_Expense]]</f>
        <v>-4243.6955020080331</v>
      </c>
      <c r="R623" s="10">
        <f>Daily_Data[[#This Row],[Total_Sales]]/Daily_Data[[#This Row],[Rooms_Occupied]]</f>
        <v>1260</v>
      </c>
      <c r="S623" s="10">
        <f>Daily_Data[[#This Row],[Total_Sales]] / Daily_Data[[#This Row],[Max_rooms]]</f>
        <v>810</v>
      </c>
    </row>
    <row r="624" spans="1:19" x14ac:dyDescent="0.25">
      <c r="A624" s="6">
        <v>45549</v>
      </c>
      <c r="B624" s="20">
        <f>DATE(YEAR(Daily_Data[[#This Row],[Date]]), MONTH(Daily_Data[[#This Row],[Date]]), 1)</f>
        <v>45536</v>
      </c>
      <c r="C624" s="20" t="str">
        <f>TEXT(Daily_Data[[#This Row],[Month_key]],"mmmm")</f>
        <v>September</v>
      </c>
      <c r="D624" s="20" t="str">
        <f>TEXT(Daily_Data[[#This Row],[Month_key]],"yyyy")</f>
        <v>2024</v>
      </c>
      <c r="E624" s="7">
        <v>14</v>
      </c>
      <c r="F624" s="7">
        <v>14</v>
      </c>
      <c r="G624" s="8">
        <f>Daily_Data[[#This Row],[Rooms_Occupied]]/F624</f>
        <v>1</v>
      </c>
      <c r="H624" s="7">
        <v>1011</v>
      </c>
      <c r="I624" s="7">
        <f>Daily_Data[[#This Row],[Room_rate]]*Daily_Data[[#This Row],[Rooms_Occupied]]</f>
        <v>14154</v>
      </c>
      <c r="J624" s="10">
        <f>Daily_Data[[#This Row],[Total_Sales]] * 0.22</f>
        <v>3113.88</v>
      </c>
      <c r="K624" s="10">
        <f>INDEX(Expense_master[Monthly_Rent],MATCH(Daily_Data[[#This Row],[Month_key]],Expense_master[Month_Key],0)) / INDEX(Expense_master[Days_in_Month],MATCH(Daily_Data[[#This Row],[Month_key]],Expense_master[Month_Key],0))</f>
        <v>8333.3333333333339</v>
      </c>
      <c r="L624" s="10">
        <f>SUMIFS(Expense_master[Staff_Salary],Expense_master[Month_Key],Daily_Data[[#This Row],[Month_key]]) / SUMIFS(Expense_master[Days_in_Month],Expense_master[Month_Key],Daily_Data[[#This Row],[Month_key]])</f>
        <v>2333.3333333333335</v>
      </c>
      <c r="M624" s="10">
        <f>Daily_Data[[#This Row],[Rooms_Occupied]] * (SUMIFS(Expense_master[Housekeeping_Laundy],Expense_master[Month_Key],Daily_Data[[#This Row],[Month_key]]) / SUMIFS(Occupancy_table[Monthly_rooms_Occupied],Occupancy_table[Month_Key],Daily_Data[[#This Row],[Month_key]]))</f>
        <v>421.68674698795184</v>
      </c>
      <c r="N6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1937.6766265060239</v>
      </c>
      <c r="O624" s="10">
        <f>SUMIFS(Expense_master[Monthly_Maintenance],Expense_master[Month_Key],Daily_Data[[#This Row],[Month_key]]) / SUMIFS(Expense_master[Days_in_Month],Expense_master[Month_Key], Daily_Data[[#This Row],[Month_key]])</f>
        <v>666.66666666666663</v>
      </c>
      <c r="P624" s="10">
        <f xml:space="preserve"> Daily_Data[[#This Row],[OTA Commision]] + Daily_Data[[#This Row],[Daily_Rent]]+Daily_Data[[#This Row],[Daily_Staff]]+Daily_Data[[#This Row],[Daily_HK]]+Daily_Data[[#This Row],[Daily_Electricity]] + Daily_Data[[#This Row],[Daily Maintenance]]</f>
        <v>16806.576706827309</v>
      </c>
      <c r="Q624" s="10">
        <f>Daily_Data[[#This Row],[Total_Sales]]-Daily_Data[[#This Row],[Total_Daily_Expense]]</f>
        <v>-2652.576706827309</v>
      </c>
      <c r="R624" s="10">
        <f>Daily_Data[[#This Row],[Total_Sales]]/Daily_Data[[#This Row],[Rooms_Occupied]]</f>
        <v>1011</v>
      </c>
      <c r="S624" s="10">
        <f>Daily_Data[[#This Row],[Total_Sales]] / Daily_Data[[#This Row],[Max_rooms]]</f>
        <v>1011</v>
      </c>
    </row>
    <row r="625" spans="1:19" x14ac:dyDescent="0.25">
      <c r="A625" s="6">
        <v>45550</v>
      </c>
      <c r="B625" s="20">
        <f>DATE(YEAR(Daily_Data[[#This Row],[Date]]), MONTH(Daily_Data[[#This Row],[Date]]), 1)</f>
        <v>45536</v>
      </c>
      <c r="C625" s="20" t="str">
        <f>TEXT(Daily_Data[[#This Row],[Month_key]],"mmmm")</f>
        <v>September</v>
      </c>
      <c r="D625" s="20" t="str">
        <f>TEXT(Daily_Data[[#This Row],[Month_key]],"yyyy")</f>
        <v>2024</v>
      </c>
      <c r="E625" s="7">
        <v>11</v>
      </c>
      <c r="F625" s="7">
        <v>14</v>
      </c>
      <c r="G625" s="8">
        <f>Daily_Data[[#This Row],[Rooms_Occupied]]/F625</f>
        <v>0.7857142857142857</v>
      </c>
      <c r="H625" s="7">
        <v>1663</v>
      </c>
      <c r="I625" s="7">
        <f>Daily_Data[[#This Row],[Room_rate]]*Daily_Data[[#This Row],[Rooms_Occupied]]</f>
        <v>18293</v>
      </c>
      <c r="J625" s="10">
        <f>Daily_Data[[#This Row],[Total_Sales]] * 0.22</f>
        <v>4024.46</v>
      </c>
      <c r="K625" s="10">
        <f>INDEX(Expense_master[Monthly_Rent],MATCH(Daily_Data[[#This Row],[Month_key]],Expense_master[Month_Key],0)) / INDEX(Expense_master[Days_in_Month],MATCH(Daily_Data[[#This Row],[Month_key]],Expense_master[Month_Key],0))</f>
        <v>8333.3333333333339</v>
      </c>
      <c r="L625" s="10">
        <f>SUMIFS(Expense_master[Staff_Salary],Expense_master[Month_Key],Daily_Data[[#This Row],[Month_key]]) / SUMIFS(Expense_master[Days_in_Month],Expense_master[Month_Key],Daily_Data[[#This Row],[Month_key]])</f>
        <v>2333.3333333333335</v>
      </c>
      <c r="M625" s="10">
        <f>Daily_Data[[#This Row],[Rooms_Occupied]] * (SUMIFS(Expense_master[Housekeeping_Laundy],Expense_master[Month_Key],Daily_Data[[#This Row],[Month_key]]) / SUMIFS(Occupancy_table[Monthly_rooms_Occupied],Occupancy_table[Month_Key],Daily_Data[[#This Row],[Month_key]]))</f>
        <v>331.32530120481931</v>
      </c>
      <c r="N6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1665.7573493975901</v>
      </c>
      <c r="O625" s="10">
        <f>SUMIFS(Expense_master[Monthly_Maintenance],Expense_master[Month_Key],Daily_Data[[#This Row],[Month_key]]) / SUMIFS(Expense_master[Days_in_Month],Expense_master[Month_Key], Daily_Data[[#This Row],[Month_key]])</f>
        <v>666.66666666666663</v>
      </c>
      <c r="P625" s="10">
        <f xml:space="preserve"> Daily_Data[[#This Row],[OTA Commision]] + Daily_Data[[#This Row],[Daily_Rent]]+Daily_Data[[#This Row],[Daily_Staff]]+Daily_Data[[#This Row],[Daily_HK]]+Daily_Data[[#This Row],[Daily_Electricity]] + Daily_Data[[#This Row],[Daily Maintenance]]</f>
        <v>17354.875983935744</v>
      </c>
      <c r="Q625" s="10">
        <f>Daily_Data[[#This Row],[Total_Sales]]-Daily_Data[[#This Row],[Total_Daily_Expense]]</f>
        <v>938.12401606425556</v>
      </c>
      <c r="R625" s="10">
        <f>Daily_Data[[#This Row],[Total_Sales]]/Daily_Data[[#This Row],[Rooms_Occupied]]</f>
        <v>1663</v>
      </c>
      <c r="S625" s="10">
        <f>Daily_Data[[#This Row],[Total_Sales]] / Daily_Data[[#This Row],[Max_rooms]]</f>
        <v>1306.6428571428571</v>
      </c>
    </row>
    <row r="626" spans="1:19" x14ac:dyDescent="0.25">
      <c r="A626" s="6">
        <v>45551</v>
      </c>
      <c r="B626" s="20">
        <f>DATE(YEAR(Daily_Data[[#This Row],[Date]]), MONTH(Daily_Data[[#This Row],[Date]]), 1)</f>
        <v>45536</v>
      </c>
      <c r="C626" s="20" t="str">
        <f>TEXT(Daily_Data[[#This Row],[Month_key]],"mmmm")</f>
        <v>September</v>
      </c>
      <c r="D626" s="20" t="str">
        <f>TEXT(Daily_Data[[#This Row],[Month_key]],"yyyy")</f>
        <v>2024</v>
      </c>
      <c r="E626" s="7">
        <v>9</v>
      </c>
      <c r="F626" s="7">
        <v>14</v>
      </c>
      <c r="G626" s="8">
        <f>Daily_Data[[#This Row],[Rooms_Occupied]]/F626</f>
        <v>0.6428571428571429</v>
      </c>
      <c r="H626" s="7">
        <v>1342</v>
      </c>
      <c r="I626" s="7">
        <f>Daily_Data[[#This Row],[Room_rate]]*Daily_Data[[#This Row],[Rooms_Occupied]]</f>
        <v>12078</v>
      </c>
      <c r="J626" s="10">
        <f>Daily_Data[[#This Row],[Total_Sales]] * 0.22</f>
        <v>2657.16</v>
      </c>
      <c r="K626" s="10">
        <f>INDEX(Expense_master[Monthly_Rent],MATCH(Daily_Data[[#This Row],[Month_key]],Expense_master[Month_Key],0)) / INDEX(Expense_master[Days_in_Month],MATCH(Daily_Data[[#This Row],[Month_key]],Expense_master[Month_Key],0))</f>
        <v>8333.3333333333339</v>
      </c>
      <c r="L626" s="10">
        <f>SUMIFS(Expense_master[Staff_Salary],Expense_master[Month_Key],Daily_Data[[#This Row],[Month_key]]) / SUMIFS(Expense_master[Days_in_Month],Expense_master[Month_Key],Daily_Data[[#This Row],[Month_key]])</f>
        <v>2333.3333333333335</v>
      </c>
      <c r="M626" s="10">
        <f>Daily_Data[[#This Row],[Rooms_Occupied]] * (SUMIFS(Expense_master[Housekeeping_Laundy],Expense_master[Month_Key],Daily_Data[[#This Row],[Month_key]]) / SUMIFS(Occupancy_table[Monthly_rooms_Occupied],Occupancy_table[Month_Key],Daily_Data[[#This Row],[Month_key]]))</f>
        <v>271.08433734939763</v>
      </c>
      <c r="N6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26" s="10">
        <f>SUMIFS(Expense_master[Monthly_Maintenance],Expense_master[Month_Key],Daily_Data[[#This Row],[Month_key]]) / SUMIFS(Expense_master[Days_in_Month],Expense_master[Month_Key], Daily_Data[[#This Row],[Month_key]])</f>
        <v>666.66666666666663</v>
      </c>
      <c r="P626" s="10">
        <f xml:space="preserve"> Daily_Data[[#This Row],[OTA Commision]] + Daily_Data[[#This Row],[Daily_Rent]]+Daily_Data[[#This Row],[Daily_Staff]]+Daily_Data[[#This Row],[Daily_HK]]+Daily_Data[[#This Row],[Daily_Electricity]] + Daily_Data[[#This Row],[Daily Maintenance]]</f>
        <v>15746.055502008032</v>
      </c>
      <c r="Q626" s="10">
        <f>Daily_Data[[#This Row],[Total_Sales]]-Daily_Data[[#This Row],[Total_Daily_Expense]]</f>
        <v>-3668.0555020080319</v>
      </c>
      <c r="R626" s="10">
        <f>Daily_Data[[#This Row],[Total_Sales]]/Daily_Data[[#This Row],[Rooms_Occupied]]</f>
        <v>1342</v>
      </c>
      <c r="S626" s="10">
        <f>Daily_Data[[#This Row],[Total_Sales]] / Daily_Data[[#This Row],[Max_rooms]]</f>
        <v>862.71428571428567</v>
      </c>
    </row>
    <row r="627" spans="1:19" x14ac:dyDescent="0.25">
      <c r="A627" s="6">
        <v>45552</v>
      </c>
      <c r="B627" s="20">
        <f>DATE(YEAR(Daily_Data[[#This Row],[Date]]), MONTH(Daily_Data[[#This Row],[Date]]), 1)</f>
        <v>45536</v>
      </c>
      <c r="C627" s="20" t="str">
        <f>TEXT(Daily_Data[[#This Row],[Month_key]],"mmmm")</f>
        <v>September</v>
      </c>
      <c r="D627" s="20" t="str">
        <f>TEXT(Daily_Data[[#This Row],[Month_key]],"yyyy")</f>
        <v>2024</v>
      </c>
      <c r="E627" s="7">
        <v>12</v>
      </c>
      <c r="F627" s="7">
        <v>14</v>
      </c>
      <c r="G627" s="8">
        <f>Daily_Data[[#This Row],[Rooms_Occupied]]/F627</f>
        <v>0.8571428571428571</v>
      </c>
      <c r="H627" s="7">
        <v>1512</v>
      </c>
      <c r="I627" s="7">
        <f>Daily_Data[[#This Row],[Room_rate]]*Daily_Data[[#This Row],[Rooms_Occupied]]</f>
        <v>18144</v>
      </c>
      <c r="J627" s="10">
        <f>Daily_Data[[#This Row],[Total_Sales]] * 0.22</f>
        <v>3991.68</v>
      </c>
      <c r="K627" s="10">
        <f>INDEX(Expense_master[Monthly_Rent],MATCH(Daily_Data[[#This Row],[Month_key]],Expense_master[Month_Key],0)) / INDEX(Expense_master[Days_in_Month],MATCH(Daily_Data[[#This Row],[Month_key]],Expense_master[Month_Key],0))</f>
        <v>8333.3333333333339</v>
      </c>
      <c r="L627" s="10">
        <f>SUMIFS(Expense_master[Staff_Salary],Expense_master[Month_Key],Daily_Data[[#This Row],[Month_key]]) / SUMIFS(Expense_master[Days_in_Month],Expense_master[Month_Key],Daily_Data[[#This Row],[Month_key]])</f>
        <v>2333.3333333333335</v>
      </c>
      <c r="M627" s="10">
        <f>Daily_Data[[#This Row],[Rooms_Occupied]] * (SUMIFS(Expense_master[Housekeeping_Laundy],Expense_master[Month_Key],Daily_Data[[#This Row],[Month_key]]) / SUMIFS(Occupancy_table[Monthly_rooms_Occupied],Occupancy_table[Month_Key],Daily_Data[[#This Row],[Month_key]]))</f>
        <v>361.44578313253015</v>
      </c>
      <c r="N6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1756.3971084337347</v>
      </c>
      <c r="O627" s="10">
        <f>SUMIFS(Expense_master[Monthly_Maintenance],Expense_master[Month_Key],Daily_Data[[#This Row],[Month_key]]) / SUMIFS(Expense_master[Days_in_Month],Expense_master[Month_Key], Daily_Data[[#This Row],[Month_key]])</f>
        <v>666.66666666666663</v>
      </c>
      <c r="P627" s="10">
        <f xml:space="preserve"> Daily_Data[[#This Row],[OTA Commision]] + Daily_Data[[#This Row],[Daily_Rent]]+Daily_Data[[#This Row],[Daily_Staff]]+Daily_Data[[#This Row],[Daily_HK]]+Daily_Data[[#This Row],[Daily_Electricity]] + Daily_Data[[#This Row],[Daily Maintenance]]</f>
        <v>17442.856224899602</v>
      </c>
      <c r="Q627" s="10">
        <f>Daily_Data[[#This Row],[Total_Sales]]-Daily_Data[[#This Row],[Total_Daily_Expense]]</f>
        <v>701.14377510039776</v>
      </c>
      <c r="R627" s="10">
        <f>Daily_Data[[#This Row],[Total_Sales]]/Daily_Data[[#This Row],[Rooms_Occupied]]</f>
        <v>1512</v>
      </c>
      <c r="S627" s="10">
        <f>Daily_Data[[#This Row],[Total_Sales]] / Daily_Data[[#This Row],[Max_rooms]]</f>
        <v>1296</v>
      </c>
    </row>
    <row r="628" spans="1:19" x14ac:dyDescent="0.25">
      <c r="A628" s="6">
        <v>45553</v>
      </c>
      <c r="B628" s="20">
        <f>DATE(YEAR(Daily_Data[[#This Row],[Date]]), MONTH(Daily_Data[[#This Row],[Date]]), 1)</f>
        <v>45536</v>
      </c>
      <c r="C628" s="20" t="str">
        <f>TEXT(Daily_Data[[#This Row],[Month_key]],"mmmm")</f>
        <v>September</v>
      </c>
      <c r="D628" s="20" t="str">
        <f>TEXT(Daily_Data[[#This Row],[Month_key]],"yyyy")</f>
        <v>2024</v>
      </c>
      <c r="E628" s="7">
        <v>10</v>
      </c>
      <c r="F628" s="7">
        <v>14</v>
      </c>
      <c r="G628" s="8">
        <f>Daily_Data[[#This Row],[Rooms_Occupied]]/F628</f>
        <v>0.7142857142857143</v>
      </c>
      <c r="H628" s="7">
        <v>1787</v>
      </c>
      <c r="I628" s="7">
        <f>Daily_Data[[#This Row],[Room_rate]]*Daily_Data[[#This Row],[Rooms_Occupied]]</f>
        <v>17870</v>
      </c>
      <c r="J628" s="10">
        <f>Daily_Data[[#This Row],[Total_Sales]] * 0.22</f>
        <v>3931.4</v>
      </c>
      <c r="K628" s="10">
        <f>INDEX(Expense_master[Monthly_Rent],MATCH(Daily_Data[[#This Row],[Month_key]],Expense_master[Month_Key],0)) / INDEX(Expense_master[Days_in_Month],MATCH(Daily_Data[[#This Row],[Month_key]],Expense_master[Month_Key],0))</f>
        <v>8333.3333333333339</v>
      </c>
      <c r="L628" s="10">
        <f>SUMIFS(Expense_master[Staff_Salary],Expense_master[Month_Key],Daily_Data[[#This Row],[Month_key]]) / SUMIFS(Expense_master[Days_in_Month],Expense_master[Month_Key],Daily_Data[[#This Row],[Month_key]])</f>
        <v>2333.3333333333335</v>
      </c>
      <c r="M628" s="10">
        <f>Daily_Data[[#This Row],[Rooms_Occupied]] * (SUMIFS(Expense_master[Housekeeping_Laundy],Expense_master[Month_Key],Daily_Data[[#This Row],[Month_key]]) / SUMIFS(Occupancy_table[Monthly_rooms_Occupied],Occupancy_table[Month_Key],Daily_Data[[#This Row],[Month_key]]))</f>
        <v>301.20481927710847</v>
      </c>
      <c r="N6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1575.1175903614458</v>
      </c>
      <c r="O628" s="10">
        <f>SUMIFS(Expense_master[Monthly_Maintenance],Expense_master[Month_Key],Daily_Data[[#This Row],[Month_key]]) / SUMIFS(Expense_master[Days_in_Month],Expense_master[Month_Key], Daily_Data[[#This Row],[Month_key]])</f>
        <v>666.66666666666663</v>
      </c>
      <c r="P628" s="10">
        <f xml:space="preserve"> Daily_Data[[#This Row],[OTA Commision]] + Daily_Data[[#This Row],[Daily_Rent]]+Daily_Data[[#This Row],[Daily_Staff]]+Daily_Data[[#This Row],[Daily_HK]]+Daily_Data[[#This Row],[Daily_Electricity]] + Daily_Data[[#This Row],[Daily Maintenance]]</f>
        <v>17141.05574297189</v>
      </c>
      <c r="Q628" s="10">
        <f>Daily_Data[[#This Row],[Total_Sales]]-Daily_Data[[#This Row],[Total_Daily_Expense]]</f>
        <v>728.94425702810986</v>
      </c>
      <c r="R628" s="10">
        <f>Daily_Data[[#This Row],[Total_Sales]]/Daily_Data[[#This Row],[Rooms_Occupied]]</f>
        <v>1787</v>
      </c>
      <c r="S628" s="10">
        <f>Daily_Data[[#This Row],[Total_Sales]] / Daily_Data[[#This Row],[Max_rooms]]</f>
        <v>1276.4285714285713</v>
      </c>
    </row>
    <row r="629" spans="1:19" x14ac:dyDescent="0.25">
      <c r="A629" s="6">
        <v>45554</v>
      </c>
      <c r="B629" s="20">
        <f>DATE(YEAR(Daily_Data[[#This Row],[Date]]), MONTH(Daily_Data[[#This Row],[Date]]), 1)</f>
        <v>45536</v>
      </c>
      <c r="C629" s="20" t="str">
        <f>TEXT(Daily_Data[[#This Row],[Month_key]],"mmmm")</f>
        <v>September</v>
      </c>
      <c r="D629" s="20" t="str">
        <f>TEXT(Daily_Data[[#This Row],[Month_key]],"yyyy")</f>
        <v>2024</v>
      </c>
      <c r="E629" s="7">
        <v>13</v>
      </c>
      <c r="F629" s="7">
        <v>14</v>
      </c>
      <c r="G629" s="8">
        <f>Daily_Data[[#This Row],[Rooms_Occupied]]/F629</f>
        <v>0.9285714285714286</v>
      </c>
      <c r="H629" s="7">
        <v>1314</v>
      </c>
      <c r="I629" s="7">
        <f>Daily_Data[[#This Row],[Room_rate]]*Daily_Data[[#This Row],[Rooms_Occupied]]</f>
        <v>17082</v>
      </c>
      <c r="J629" s="10">
        <f>Daily_Data[[#This Row],[Total_Sales]] * 0.22</f>
        <v>3758.04</v>
      </c>
      <c r="K629" s="10">
        <f>INDEX(Expense_master[Monthly_Rent],MATCH(Daily_Data[[#This Row],[Month_key]],Expense_master[Month_Key],0)) / INDEX(Expense_master[Days_in_Month],MATCH(Daily_Data[[#This Row],[Month_key]],Expense_master[Month_Key],0))</f>
        <v>8333.3333333333339</v>
      </c>
      <c r="L629" s="10">
        <f>SUMIFS(Expense_master[Staff_Salary],Expense_master[Month_Key],Daily_Data[[#This Row],[Month_key]]) / SUMIFS(Expense_master[Days_in_Month],Expense_master[Month_Key],Daily_Data[[#This Row],[Month_key]])</f>
        <v>2333.3333333333335</v>
      </c>
      <c r="M629" s="10">
        <f>Daily_Data[[#This Row],[Rooms_Occupied]] * (SUMIFS(Expense_master[Housekeeping_Laundy],Expense_master[Month_Key],Daily_Data[[#This Row],[Month_key]]) / SUMIFS(Occupancy_table[Monthly_rooms_Occupied],Occupancy_table[Month_Key],Daily_Data[[#This Row],[Month_key]]))</f>
        <v>391.56626506024099</v>
      </c>
      <c r="N6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1847.0368674698793</v>
      </c>
      <c r="O629" s="10">
        <f>SUMIFS(Expense_master[Monthly_Maintenance],Expense_master[Month_Key],Daily_Data[[#This Row],[Month_key]]) / SUMIFS(Expense_master[Days_in_Month],Expense_master[Month_Key], Daily_Data[[#This Row],[Month_key]])</f>
        <v>666.66666666666663</v>
      </c>
      <c r="P629" s="10">
        <f xml:space="preserve"> Daily_Data[[#This Row],[OTA Commision]] + Daily_Data[[#This Row],[Daily_Rent]]+Daily_Data[[#This Row],[Daily_Staff]]+Daily_Data[[#This Row],[Daily_HK]]+Daily_Data[[#This Row],[Daily_Electricity]] + Daily_Data[[#This Row],[Daily Maintenance]]</f>
        <v>17329.976465863456</v>
      </c>
      <c r="Q629" s="10">
        <f>Daily_Data[[#This Row],[Total_Sales]]-Daily_Data[[#This Row],[Total_Daily_Expense]]</f>
        <v>-247.97646586345581</v>
      </c>
      <c r="R629" s="10">
        <f>Daily_Data[[#This Row],[Total_Sales]]/Daily_Data[[#This Row],[Rooms_Occupied]]</f>
        <v>1314</v>
      </c>
      <c r="S629" s="10">
        <f>Daily_Data[[#This Row],[Total_Sales]] / Daily_Data[[#This Row],[Max_rooms]]</f>
        <v>1220.1428571428571</v>
      </c>
    </row>
    <row r="630" spans="1:19" x14ac:dyDescent="0.25">
      <c r="A630" s="6">
        <v>45555</v>
      </c>
      <c r="B630" s="20">
        <f>DATE(YEAR(Daily_Data[[#This Row],[Date]]), MONTH(Daily_Data[[#This Row],[Date]]), 1)</f>
        <v>45536</v>
      </c>
      <c r="C630" s="20" t="str">
        <f>TEXT(Daily_Data[[#This Row],[Month_key]],"mmmm")</f>
        <v>September</v>
      </c>
      <c r="D630" s="20" t="str">
        <f>TEXT(Daily_Data[[#This Row],[Month_key]],"yyyy")</f>
        <v>2024</v>
      </c>
      <c r="E630" s="7">
        <v>12</v>
      </c>
      <c r="F630" s="7">
        <v>14</v>
      </c>
      <c r="G630" s="8">
        <f>Daily_Data[[#This Row],[Rooms_Occupied]]/F630</f>
        <v>0.8571428571428571</v>
      </c>
      <c r="H630" s="7">
        <v>1107</v>
      </c>
      <c r="I630" s="7">
        <f>Daily_Data[[#This Row],[Room_rate]]*Daily_Data[[#This Row],[Rooms_Occupied]]</f>
        <v>13284</v>
      </c>
      <c r="J630" s="10">
        <f>Daily_Data[[#This Row],[Total_Sales]] * 0.22</f>
        <v>2922.48</v>
      </c>
      <c r="K630" s="10">
        <f>INDEX(Expense_master[Monthly_Rent],MATCH(Daily_Data[[#This Row],[Month_key]],Expense_master[Month_Key],0)) / INDEX(Expense_master[Days_in_Month],MATCH(Daily_Data[[#This Row],[Month_key]],Expense_master[Month_Key],0))</f>
        <v>8333.3333333333339</v>
      </c>
      <c r="L630" s="10">
        <f>SUMIFS(Expense_master[Staff_Salary],Expense_master[Month_Key],Daily_Data[[#This Row],[Month_key]]) / SUMIFS(Expense_master[Days_in_Month],Expense_master[Month_Key],Daily_Data[[#This Row],[Month_key]])</f>
        <v>2333.3333333333335</v>
      </c>
      <c r="M630" s="10">
        <f>Daily_Data[[#This Row],[Rooms_Occupied]] * (SUMIFS(Expense_master[Housekeeping_Laundy],Expense_master[Month_Key],Daily_Data[[#This Row],[Month_key]]) / SUMIFS(Occupancy_table[Monthly_rooms_Occupied],Occupancy_table[Month_Key],Daily_Data[[#This Row],[Month_key]]))</f>
        <v>361.44578313253015</v>
      </c>
      <c r="N6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1756.3971084337347</v>
      </c>
      <c r="O630" s="10">
        <f>SUMIFS(Expense_master[Monthly_Maintenance],Expense_master[Month_Key],Daily_Data[[#This Row],[Month_key]]) / SUMIFS(Expense_master[Days_in_Month],Expense_master[Month_Key], Daily_Data[[#This Row],[Month_key]])</f>
        <v>666.66666666666663</v>
      </c>
      <c r="P630" s="10">
        <f xml:space="preserve"> Daily_Data[[#This Row],[OTA Commision]] + Daily_Data[[#This Row],[Daily_Rent]]+Daily_Data[[#This Row],[Daily_Staff]]+Daily_Data[[#This Row],[Daily_HK]]+Daily_Data[[#This Row],[Daily_Electricity]] + Daily_Data[[#This Row],[Daily Maintenance]]</f>
        <v>16373.6562248996</v>
      </c>
      <c r="Q630" s="10">
        <f>Daily_Data[[#This Row],[Total_Sales]]-Daily_Data[[#This Row],[Total_Daily_Expense]]</f>
        <v>-3089.6562248995997</v>
      </c>
      <c r="R630" s="10">
        <f>Daily_Data[[#This Row],[Total_Sales]]/Daily_Data[[#This Row],[Rooms_Occupied]]</f>
        <v>1107</v>
      </c>
      <c r="S630" s="10">
        <f>Daily_Data[[#This Row],[Total_Sales]] / Daily_Data[[#This Row],[Max_rooms]]</f>
        <v>948.85714285714289</v>
      </c>
    </row>
    <row r="631" spans="1:19" x14ac:dyDescent="0.25">
      <c r="A631" s="6">
        <v>45556</v>
      </c>
      <c r="B631" s="20">
        <f>DATE(YEAR(Daily_Data[[#This Row],[Date]]), MONTH(Daily_Data[[#This Row],[Date]]), 1)</f>
        <v>45536</v>
      </c>
      <c r="C631" s="20" t="str">
        <f>TEXT(Daily_Data[[#This Row],[Month_key]],"mmmm")</f>
        <v>September</v>
      </c>
      <c r="D631" s="20" t="str">
        <f>TEXT(Daily_Data[[#This Row],[Month_key]],"yyyy")</f>
        <v>2024</v>
      </c>
      <c r="E631" s="7">
        <v>12</v>
      </c>
      <c r="F631" s="7">
        <v>14</v>
      </c>
      <c r="G631" s="8">
        <f>Daily_Data[[#This Row],[Rooms_Occupied]]/F631</f>
        <v>0.8571428571428571</v>
      </c>
      <c r="H631" s="7">
        <v>1501</v>
      </c>
      <c r="I631" s="7">
        <f>Daily_Data[[#This Row],[Room_rate]]*Daily_Data[[#This Row],[Rooms_Occupied]]</f>
        <v>18012</v>
      </c>
      <c r="J631" s="10">
        <f>Daily_Data[[#This Row],[Total_Sales]] * 0.22</f>
        <v>3962.64</v>
      </c>
      <c r="K631" s="10">
        <f>INDEX(Expense_master[Monthly_Rent],MATCH(Daily_Data[[#This Row],[Month_key]],Expense_master[Month_Key],0)) / INDEX(Expense_master[Days_in_Month],MATCH(Daily_Data[[#This Row],[Month_key]],Expense_master[Month_Key],0))</f>
        <v>8333.3333333333339</v>
      </c>
      <c r="L631" s="10">
        <f>SUMIFS(Expense_master[Staff_Salary],Expense_master[Month_Key],Daily_Data[[#This Row],[Month_key]]) / SUMIFS(Expense_master[Days_in_Month],Expense_master[Month_Key],Daily_Data[[#This Row],[Month_key]])</f>
        <v>2333.3333333333335</v>
      </c>
      <c r="M631" s="10">
        <f>Daily_Data[[#This Row],[Rooms_Occupied]] * (SUMIFS(Expense_master[Housekeeping_Laundy],Expense_master[Month_Key],Daily_Data[[#This Row],[Month_key]]) / SUMIFS(Occupancy_table[Monthly_rooms_Occupied],Occupancy_table[Month_Key],Daily_Data[[#This Row],[Month_key]]))</f>
        <v>361.44578313253015</v>
      </c>
      <c r="N6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1756.3971084337347</v>
      </c>
      <c r="O631" s="10">
        <f>SUMIFS(Expense_master[Monthly_Maintenance],Expense_master[Month_Key],Daily_Data[[#This Row],[Month_key]]) / SUMIFS(Expense_master[Days_in_Month],Expense_master[Month_Key], Daily_Data[[#This Row],[Month_key]])</f>
        <v>666.66666666666663</v>
      </c>
      <c r="P631" s="10">
        <f xml:space="preserve"> Daily_Data[[#This Row],[OTA Commision]] + Daily_Data[[#This Row],[Daily_Rent]]+Daily_Data[[#This Row],[Daily_Staff]]+Daily_Data[[#This Row],[Daily_HK]]+Daily_Data[[#This Row],[Daily_Electricity]] + Daily_Data[[#This Row],[Daily Maintenance]]</f>
        <v>17413.816224899601</v>
      </c>
      <c r="Q631" s="10">
        <f>Daily_Data[[#This Row],[Total_Sales]]-Daily_Data[[#This Row],[Total_Daily_Expense]]</f>
        <v>598.18377510039863</v>
      </c>
      <c r="R631" s="10">
        <f>Daily_Data[[#This Row],[Total_Sales]]/Daily_Data[[#This Row],[Rooms_Occupied]]</f>
        <v>1501</v>
      </c>
      <c r="S631" s="10">
        <f>Daily_Data[[#This Row],[Total_Sales]] / Daily_Data[[#This Row],[Max_rooms]]</f>
        <v>1286.5714285714287</v>
      </c>
    </row>
    <row r="632" spans="1:19" x14ac:dyDescent="0.25">
      <c r="A632" s="6">
        <v>45557</v>
      </c>
      <c r="B632" s="20">
        <f>DATE(YEAR(Daily_Data[[#This Row],[Date]]), MONTH(Daily_Data[[#This Row],[Date]]), 1)</f>
        <v>45536</v>
      </c>
      <c r="C632" s="20" t="str">
        <f>TEXT(Daily_Data[[#This Row],[Month_key]],"mmmm")</f>
        <v>September</v>
      </c>
      <c r="D632" s="20" t="str">
        <f>TEXT(Daily_Data[[#This Row],[Month_key]],"yyyy")</f>
        <v>2024</v>
      </c>
      <c r="E632" s="7">
        <v>12</v>
      </c>
      <c r="F632" s="7">
        <v>14</v>
      </c>
      <c r="G632" s="8">
        <f>Daily_Data[[#This Row],[Rooms_Occupied]]/F632</f>
        <v>0.8571428571428571</v>
      </c>
      <c r="H632" s="7">
        <v>1922</v>
      </c>
      <c r="I632" s="7">
        <f>Daily_Data[[#This Row],[Room_rate]]*Daily_Data[[#This Row],[Rooms_Occupied]]</f>
        <v>23064</v>
      </c>
      <c r="J632" s="10">
        <f>Daily_Data[[#This Row],[Total_Sales]] * 0.22</f>
        <v>5074.08</v>
      </c>
      <c r="K632" s="10">
        <f>INDEX(Expense_master[Monthly_Rent],MATCH(Daily_Data[[#This Row],[Month_key]],Expense_master[Month_Key],0)) / INDEX(Expense_master[Days_in_Month],MATCH(Daily_Data[[#This Row],[Month_key]],Expense_master[Month_Key],0))</f>
        <v>8333.3333333333339</v>
      </c>
      <c r="L632" s="10">
        <f>SUMIFS(Expense_master[Staff_Salary],Expense_master[Month_Key],Daily_Data[[#This Row],[Month_key]]) / SUMIFS(Expense_master[Days_in_Month],Expense_master[Month_Key],Daily_Data[[#This Row],[Month_key]])</f>
        <v>2333.3333333333335</v>
      </c>
      <c r="M632" s="10">
        <f>Daily_Data[[#This Row],[Rooms_Occupied]] * (SUMIFS(Expense_master[Housekeeping_Laundy],Expense_master[Month_Key],Daily_Data[[#This Row],[Month_key]]) / SUMIFS(Occupancy_table[Monthly_rooms_Occupied],Occupancy_table[Month_Key],Daily_Data[[#This Row],[Month_key]]))</f>
        <v>361.44578313253015</v>
      </c>
      <c r="N6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1756.3971084337347</v>
      </c>
      <c r="O632" s="10">
        <f>SUMIFS(Expense_master[Monthly_Maintenance],Expense_master[Month_Key],Daily_Data[[#This Row],[Month_key]]) / SUMIFS(Expense_master[Days_in_Month],Expense_master[Month_Key], Daily_Data[[#This Row],[Month_key]])</f>
        <v>666.66666666666663</v>
      </c>
      <c r="P632" s="10">
        <f xml:space="preserve"> Daily_Data[[#This Row],[OTA Commision]] + Daily_Data[[#This Row],[Daily_Rent]]+Daily_Data[[#This Row],[Daily_Staff]]+Daily_Data[[#This Row],[Daily_HK]]+Daily_Data[[#This Row],[Daily_Electricity]] + Daily_Data[[#This Row],[Daily Maintenance]]</f>
        <v>18525.2562248996</v>
      </c>
      <c r="Q632" s="10">
        <f>Daily_Data[[#This Row],[Total_Sales]]-Daily_Data[[#This Row],[Total_Daily_Expense]]</f>
        <v>4538.7437751003999</v>
      </c>
      <c r="R632" s="10">
        <f>Daily_Data[[#This Row],[Total_Sales]]/Daily_Data[[#This Row],[Rooms_Occupied]]</f>
        <v>1922</v>
      </c>
      <c r="S632" s="10">
        <f>Daily_Data[[#This Row],[Total_Sales]] / Daily_Data[[#This Row],[Max_rooms]]</f>
        <v>1647.4285714285713</v>
      </c>
    </row>
    <row r="633" spans="1:19" x14ac:dyDescent="0.25">
      <c r="A633" s="6">
        <v>45558</v>
      </c>
      <c r="B633" s="20">
        <f>DATE(YEAR(Daily_Data[[#This Row],[Date]]), MONTH(Daily_Data[[#This Row],[Date]]), 1)</f>
        <v>45536</v>
      </c>
      <c r="C633" s="20" t="str">
        <f>TEXT(Daily_Data[[#This Row],[Month_key]],"mmmm")</f>
        <v>September</v>
      </c>
      <c r="D633" s="20" t="str">
        <f>TEXT(Daily_Data[[#This Row],[Month_key]],"yyyy")</f>
        <v>2024</v>
      </c>
      <c r="E633" s="7">
        <v>13</v>
      </c>
      <c r="F633" s="7">
        <v>14</v>
      </c>
      <c r="G633" s="8">
        <f>Daily_Data[[#This Row],[Rooms_Occupied]]/F633</f>
        <v>0.9285714285714286</v>
      </c>
      <c r="H633" s="7">
        <v>1138</v>
      </c>
      <c r="I633" s="7">
        <f>Daily_Data[[#This Row],[Room_rate]]*Daily_Data[[#This Row],[Rooms_Occupied]]</f>
        <v>14794</v>
      </c>
      <c r="J633" s="10">
        <f>Daily_Data[[#This Row],[Total_Sales]] * 0.22</f>
        <v>3254.68</v>
      </c>
      <c r="K633" s="10">
        <f>INDEX(Expense_master[Monthly_Rent],MATCH(Daily_Data[[#This Row],[Month_key]],Expense_master[Month_Key],0)) / INDEX(Expense_master[Days_in_Month],MATCH(Daily_Data[[#This Row],[Month_key]],Expense_master[Month_Key],0))</f>
        <v>8333.3333333333339</v>
      </c>
      <c r="L633" s="10">
        <f>SUMIFS(Expense_master[Staff_Salary],Expense_master[Month_Key],Daily_Data[[#This Row],[Month_key]]) / SUMIFS(Expense_master[Days_in_Month],Expense_master[Month_Key],Daily_Data[[#This Row],[Month_key]])</f>
        <v>2333.3333333333335</v>
      </c>
      <c r="M633" s="10">
        <f>Daily_Data[[#This Row],[Rooms_Occupied]] * (SUMIFS(Expense_master[Housekeeping_Laundy],Expense_master[Month_Key],Daily_Data[[#This Row],[Month_key]]) / SUMIFS(Occupancy_table[Monthly_rooms_Occupied],Occupancy_table[Month_Key],Daily_Data[[#This Row],[Month_key]]))</f>
        <v>391.56626506024099</v>
      </c>
      <c r="N63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1847.0368674698793</v>
      </c>
      <c r="O633" s="10">
        <f>SUMIFS(Expense_master[Monthly_Maintenance],Expense_master[Month_Key],Daily_Data[[#This Row],[Month_key]]) / SUMIFS(Expense_master[Days_in_Month],Expense_master[Month_Key], Daily_Data[[#This Row],[Month_key]])</f>
        <v>666.66666666666663</v>
      </c>
      <c r="P633" s="10">
        <f xml:space="preserve"> Daily_Data[[#This Row],[OTA Commision]] + Daily_Data[[#This Row],[Daily_Rent]]+Daily_Data[[#This Row],[Daily_Staff]]+Daily_Data[[#This Row],[Daily_HK]]+Daily_Data[[#This Row],[Daily_Electricity]] + Daily_Data[[#This Row],[Daily Maintenance]]</f>
        <v>16826.616465863455</v>
      </c>
      <c r="Q633" s="10">
        <f>Daily_Data[[#This Row],[Total_Sales]]-Daily_Data[[#This Row],[Total_Daily_Expense]]</f>
        <v>-2032.6164658634552</v>
      </c>
      <c r="R633" s="10">
        <f>Daily_Data[[#This Row],[Total_Sales]]/Daily_Data[[#This Row],[Rooms_Occupied]]</f>
        <v>1138</v>
      </c>
      <c r="S633" s="10">
        <f>Daily_Data[[#This Row],[Total_Sales]] / Daily_Data[[#This Row],[Max_rooms]]</f>
        <v>1056.7142857142858</v>
      </c>
    </row>
    <row r="634" spans="1:19" x14ac:dyDescent="0.25">
      <c r="A634" s="6">
        <v>45559</v>
      </c>
      <c r="B634" s="20">
        <f>DATE(YEAR(Daily_Data[[#This Row],[Date]]), MONTH(Daily_Data[[#This Row],[Date]]), 1)</f>
        <v>45536</v>
      </c>
      <c r="C634" s="20" t="str">
        <f>TEXT(Daily_Data[[#This Row],[Month_key]],"mmmm")</f>
        <v>September</v>
      </c>
      <c r="D634" s="20" t="str">
        <f>TEXT(Daily_Data[[#This Row],[Month_key]],"yyyy")</f>
        <v>2024</v>
      </c>
      <c r="E634" s="7">
        <v>9</v>
      </c>
      <c r="F634" s="7">
        <v>14</v>
      </c>
      <c r="G634" s="8">
        <f>Daily_Data[[#This Row],[Rooms_Occupied]]/F634</f>
        <v>0.6428571428571429</v>
      </c>
      <c r="H634" s="7">
        <v>1748</v>
      </c>
      <c r="I634" s="7">
        <f>Daily_Data[[#This Row],[Room_rate]]*Daily_Data[[#This Row],[Rooms_Occupied]]</f>
        <v>15732</v>
      </c>
      <c r="J634" s="10">
        <f>Daily_Data[[#This Row],[Total_Sales]] * 0.22</f>
        <v>3461.04</v>
      </c>
      <c r="K634" s="10">
        <f>INDEX(Expense_master[Monthly_Rent],MATCH(Daily_Data[[#This Row],[Month_key]],Expense_master[Month_Key],0)) / INDEX(Expense_master[Days_in_Month],MATCH(Daily_Data[[#This Row],[Month_key]],Expense_master[Month_Key],0))</f>
        <v>8333.3333333333339</v>
      </c>
      <c r="L634" s="10">
        <f>SUMIFS(Expense_master[Staff_Salary],Expense_master[Month_Key],Daily_Data[[#This Row],[Month_key]]) / SUMIFS(Expense_master[Days_in_Month],Expense_master[Month_Key],Daily_Data[[#This Row],[Month_key]])</f>
        <v>2333.3333333333335</v>
      </c>
      <c r="M634" s="10">
        <f>Daily_Data[[#This Row],[Rooms_Occupied]] * (SUMIFS(Expense_master[Housekeeping_Laundy],Expense_master[Month_Key],Daily_Data[[#This Row],[Month_key]]) / SUMIFS(Occupancy_table[Monthly_rooms_Occupied],Occupancy_table[Month_Key],Daily_Data[[#This Row],[Month_key]]))</f>
        <v>271.08433734939763</v>
      </c>
      <c r="N63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1484.4778313253012</v>
      </c>
      <c r="O634" s="10">
        <f>SUMIFS(Expense_master[Monthly_Maintenance],Expense_master[Month_Key],Daily_Data[[#This Row],[Month_key]]) / SUMIFS(Expense_master[Days_in_Month],Expense_master[Month_Key], Daily_Data[[#This Row],[Month_key]])</f>
        <v>666.66666666666663</v>
      </c>
      <c r="P634" s="10">
        <f xml:space="preserve"> Daily_Data[[#This Row],[OTA Commision]] + Daily_Data[[#This Row],[Daily_Rent]]+Daily_Data[[#This Row],[Daily_Staff]]+Daily_Data[[#This Row],[Daily_HK]]+Daily_Data[[#This Row],[Daily_Electricity]] + Daily_Data[[#This Row],[Daily Maintenance]]</f>
        <v>16549.935502008033</v>
      </c>
      <c r="Q634" s="10">
        <f>Daily_Data[[#This Row],[Total_Sales]]-Daily_Data[[#This Row],[Total_Daily_Expense]]</f>
        <v>-817.93550200803293</v>
      </c>
      <c r="R634" s="10">
        <f>Daily_Data[[#This Row],[Total_Sales]]/Daily_Data[[#This Row],[Rooms_Occupied]]</f>
        <v>1748</v>
      </c>
      <c r="S634" s="10">
        <f>Daily_Data[[#This Row],[Total_Sales]] / Daily_Data[[#This Row],[Max_rooms]]</f>
        <v>1123.7142857142858</v>
      </c>
    </row>
    <row r="635" spans="1:19" x14ac:dyDescent="0.25">
      <c r="A635" s="6">
        <v>45560</v>
      </c>
      <c r="B635" s="20">
        <f>DATE(YEAR(Daily_Data[[#This Row],[Date]]), MONTH(Daily_Data[[#This Row],[Date]]), 1)</f>
        <v>45536</v>
      </c>
      <c r="C635" s="20" t="str">
        <f>TEXT(Daily_Data[[#This Row],[Month_key]],"mmmm")</f>
        <v>September</v>
      </c>
      <c r="D635" s="20" t="str">
        <f>TEXT(Daily_Data[[#This Row],[Month_key]],"yyyy")</f>
        <v>2024</v>
      </c>
      <c r="E635" s="7">
        <v>11</v>
      </c>
      <c r="F635" s="7">
        <v>14</v>
      </c>
      <c r="G635" s="8">
        <f>Daily_Data[[#This Row],[Rooms_Occupied]]/F635</f>
        <v>0.7857142857142857</v>
      </c>
      <c r="H635" s="7">
        <v>1425</v>
      </c>
      <c r="I635" s="7">
        <f>Daily_Data[[#This Row],[Room_rate]]*Daily_Data[[#This Row],[Rooms_Occupied]]</f>
        <v>15675</v>
      </c>
      <c r="J635" s="10">
        <f>Daily_Data[[#This Row],[Total_Sales]] * 0.22</f>
        <v>3448.5</v>
      </c>
      <c r="K635" s="10">
        <f>INDEX(Expense_master[Monthly_Rent],MATCH(Daily_Data[[#This Row],[Month_key]],Expense_master[Month_Key],0)) / INDEX(Expense_master[Days_in_Month],MATCH(Daily_Data[[#This Row],[Month_key]],Expense_master[Month_Key],0))</f>
        <v>8333.3333333333339</v>
      </c>
      <c r="L635" s="10">
        <f>SUMIFS(Expense_master[Staff_Salary],Expense_master[Month_Key],Daily_Data[[#This Row],[Month_key]]) / SUMIFS(Expense_master[Days_in_Month],Expense_master[Month_Key],Daily_Data[[#This Row],[Month_key]])</f>
        <v>2333.3333333333335</v>
      </c>
      <c r="M635" s="10">
        <f>Daily_Data[[#This Row],[Rooms_Occupied]] * (SUMIFS(Expense_master[Housekeeping_Laundy],Expense_master[Month_Key],Daily_Data[[#This Row],[Month_key]]) / SUMIFS(Occupancy_table[Monthly_rooms_Occupied],Occupancy_table[Month_Key],Daily_Data[[#This Row],[Month_key]]))</f>
        <v>331.32530120481931</v>
      </c>
      <c r="N63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1665.7573493975901</v>
      </c>
      <c r="O635" s="10">
        <f>SUMIFS(Expense_master[Monthly_Maintenance],Expense_master[Month_Key],Daily_Data[[#This Row],[Month_key]]) / SUMIFS(Expense_master[Days_in_Month],Expense_master[Month_Key], Daily_Data[[#This Row],[Month_key]])</f>
        <v>666.66666666666663</v>
      </c>
      <c r="P635" s="10">
        <f xml:space="preserve"> Daily_Data[[#This Row],[OTA Commision]] + Daily_Data[[#This Row],[Daily_Rent]]+Daily_Data[[#This Row],[Daily_Staff]]+Daily_Data[[#This Row],[Daily_HK]]+Daily_Data[[#This Row],[Daily_Electricity]] + Daily_Data[[#This Row],[Daily Maintenance]]</f>
        <v>16778.915983935745</v>
      </c>
      <c r="Q635" s="10">
        <f>Daily_Data[[#This Row],[Total_Sales]]-Daily_Data[[#This Row],[Total_Daily_Expense]]</f>
        <v>-1103.9159839357453</v>
      </c>
      <c r="R635" s="10">
        <f>Daily_Data[[#This Row],[Total_Sales]]/Daily_Data[[#This Row],[Rooms_Occupied]]</f>
        <v>1425</v>
      </c>
      <c r="S635" s="10">
        <f>Daily_Data[[#This Row],[Total_Sales]] / Daily_Data[[#This Row],[Max_rooms]]</f>
        <v>1119.6428571428571</v>
      </c>
    </row>
    <row r="636" spans="1:19" x14ac:dyDescent="0.25">
      <c r="A636" s="6">
        <v>45561</v>
      </c>
      <c r="B636" s="20">
        <f>DATE(YEAR(Daily_Data[[#This Row],[Date]]), MONTH(Daily_Data[[#This Row],[Date]]), 1)</f>
        <v>45536</v>
      </c>
      <c r="C636" s="20" t="str">
        <f>TEXT(Daily_Data[[#This Row],[Month_key]],"mmmm")</f>
        <v>September</v>
      </c>
      <c r="D636" s="20" t="str">
        <f>TEXT(Daily_Data[[#This Row],[Month_key]],"yyyy")</f>
        <v>2024</v>
      </c>
      <c r="E636" s="7">
        <v>14</v>
      </c>
      <c r="F636" s="7">
        <v>14</v>
      </c>
      <c r="G636" s="8">
        <f>Daily_Data[[#This Row],[Rooms_Occupied]]/F636</f>
        <v>1</v>
      </c>
      <c r="H636" s="7">
        <v>1147</v>
      </c>
      <c r="I636" s="7">
        <f>Daily_Data[[#This Row],[Room_rate]]*Daily_Data[[#This Row],[Rooms_Occupied]]</f>
        <v>16058</v>
      </c>
      <c r="J636" s="10">
        <f>Daily_Data[[#This Row],[Total_Sales]] * 0.22</f>
        <v>3532.76</v>
      </c>
      <c r="K636" s="10">
        <f>INDEX(Expense_master[Monthly_Rent],MATCH(Daily_Data[[#This Row],[Month_key]],Expense_master[Month_Key],0)) / INDEX(Expense_master[Days_in_Month],MATCH(Daily_Data[[#This Row],[Month_key]],Expense_master[Month_Key],0))</f>
        <v>8333.3333333333339</v>
      </c>
      <c r="L636" s="10">
        <f>SUMIFS(Expense_master[Staff_Salary],Expense_master[Month_Key],Daily_Data[[#This Row],[Month_key]]) / SUMIFS(Expense_master[Days_in_Month],Expense_master[Month_Key],Daily_Data[[#This Row],[Month_key]])</f>
        <v>2333.3333333333335</v>
      </c>
      <c r="M636" s="10">
        <f>Daily_Data[[#This Row],[Rooms_Occupied]] * (SUMIFS(Expense_master[Housekeeping_Laundy],Expense_master[Month_Key],Daily_Data[[#This Row],[Month_key]]) / SUMIFS(Occupancy_table[Monthly_rooms_Occupied],Occupancy_table[Month_Key],Daily_Data[[#This Row],[Month_key]]))</f>
        <v>421.68674698795184</v>
      </c>
      <c r="N63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1937.6766265060239</v>
      </c>
      <c r="O636" s="10">
        <f>SUMIFS(Expense_master[Monthly_Maintenance],Expense_master[Month_Key],Daily_Data[[#This Row],[Month_key]]) / SUMIFS(Expense_master[Days_in_Month],Expense_master[Month_Key], Daily_Data[[#This Row],[Month_key]])</f>
        <v>666.66666666666663</v>
      </c>
      <c r="P636" s="10">
        <f xml:space="preserve"> Daily_Data[[#This Row],[OTA Commision]] + Daily_Data[[#This Row],[Daily_Rent]]+Daily_Data[[#This Row],[Daily_Staff]]+Daily_Data[[#This Row],[Daily_HK]]+Daily_Data[[#This Row],[Daily_Electricity]] + Daily_Data[[#This Row],[Daily Maintenance]]</f>
        <v>17225.456706827314</v>
      </c>
      <c r="Q636" s="10">
        <f>Daily_Data[[#This Row],[Total_Sales]]-Daily_Data[[#This Row],[Total_Daily_Expense]]</f>
        <v>-1167.4567068273136</v>
      </c>
      <c r="R636" s="10">
        <f>Daily_Data[[#This Row],[Total_Sales]]/Daily_Data[[#This Row],[Rooms_Occupied]]</f>
        <v>1147</v>
      </c>
      <c r="S636" s="10">
        <f>Daily_Data[[#This Row],[Total_Sales]] / Daily_Data[[#This Row],[Max_rooms]]</f>
        <v>1147</v>
      </c>
    </row>
    <row r="637" spans="1:19" x14ac:dyDescent="0.25">
      <c r="A637" s="6">
        <v>45562</v>
      </c>
      <c r="B637" s="20">
        <f>DATE(YEAR(Daily_Data[[#This Row],[Date]]), MONTH(Daily_Data[[#This Row],[Date]]), 1)</f>
        <v>45536</v>
      </c>
      <c r="C637" s="20" t="str">
        <f>TEXT(Daily_Data[[#This Row],[Month_key]],"mmmm")</f>
        <v>September</v>
      </c>
      <c r="D637" s="20" t="str">
        <f>TEXT(Daily_Data[[#This Row],[Month_key]],"yyyy")</f>
        <v>2024</v>
      </c>
      <c r="E637" s="7">
        <v>10</v>
      </c>
      <c r="F637" s="7">
        <v>14</v>
      </c>
      <c r="G637" s="8">
        <f>Daily_Data[[#This Row],[Rooms_Occupied]]/F637</f>
        <v>0.7142857142857143</v>
      </c>
      <c r="H637" s="7">
        <v>1647</v>
      </c>
      <c r="I637" s="7">
        <f>Daily_Data[[#This Row],[Room_rate]]*Daily_Data[[#This Row],[Rooms_Occupied]]</f>
        <v>16470</v>
      </c>
      <c r="J637" s="10">
        <f>Daily_Data[[#This Row],[Total_Sales]] * 0.22</f>
        <v>3623.4</v>
      </c>
      <c r="K637" s="10">
        <f>INDEX(Expense_master[Monthly_Rent],MATCH(Daily_Data[[#This Row],[Month_key]],Expense_master[Month_Key],0)) / INDEX(Expense_master[Days_in_Month],MATCH(Daily_Data[[#This Row],[Month_key]],Expense_master[Month_Key],0))</f>
        <v>8333.3333333333339</v>
      </c>
      <c r="L637" s="10">
        <f>SUMIFS(Expense_master[Staff_Salary],Expense_master[Month_Key],Daily_Data[[#This Row],[Month_key]]) / SUMIFS(Expense_master[Days_in_Month],Expense_master[Month_Key],Daily_Data[[#This Row],[Month_key]])</f>
        <v>2333.3333333333335</v>
      </c>
      <c r="M637" s="10">
        <f>Daily_Data[[#This Row],[Rooms_Occupied]] * (SUMIFS(Expense_master[Housekeeping_Laundy],Expense_master[Month_Key],Daily_Data[[#This Row],[Month_key]]) / SUMIFS(Occupancy_table[Monthly_rooms_Occupied],Occupancy_table[Month_Key],Daily_Data[[#This Row],[Month_key]]))</f>
        <v>301.20481927710847</v>
      </c>
      <c r="N63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1575.1175903614458</v>
      </c>
      <c r="O637" s="10">
        <f>SUMIFS(Expense_master[Monthly_Maintenance],Expense_master[Month_Key],Daily_Data[[#This Row],[Month_key]]) / SUMIFS(Expense_master[Days_in_Month],Expense_master[Month_Key], Daily_Data[[#This Row],[Month_key]])</f>
        <v>666.66666666666663</v>
      </c>
      <c r="P637" s="10">
        <f xml:space="preserve"> Daily_Data[[#This Row],[OTA Commision]] + Daily_Data[[#This Row],[Daily_Rent]]+Daily_Data[[#This Row],[Daily_Staff]]+Daily_Data[[#This Row],[Daily_HK]]+Daily_Data[[#This Row],[Daily_Electricity]] + Daily_Data[[#This Row],[Daily Maintenance]]</f>
        <v>16833.05574297189</v>
      </c>
      <c r="Q637" s="10">
        <f>Daily_Data[[#This Row],[Total_Sales]]-Daily_Data[[#This Row],[Total_Daily_Expense]]</f>
        <v>-363.05574297189014</v>
      </c>
      <c r="R637" s="10">
        <f>Daily_Data[[#This Row],[Total_Sales]]/Daily_Data[[#This Row],[Rooms_Occupied]]</f>
        <v>1647</v>
      </c>
      <c r="S637" s="10">
        <f>Daily_Data[[#This Row],[Total_Sales]] / Daily_Data[[#This Row],[Max_rooms]]</f>
        <v>1176.4285714285713</v>
      </c>
    </row>
    <row r="638" spans="1:19" x14ac:dyDescent="0.25">
      <c r="A638" s="6">
        <v>45563</v>
      </c>
      <c r="B638" s="20">
        <f>DATE(YEAR(Daily_Data[[#This Row],[Date]]), MONTH(Daily_Data[[#This Row],[Date]]), 1)</f>
        <v>45536</v>
      </c>
      <c r="C638" s="20" t="str">
        <f>TEXT(Daily_Data[[#This Row],[Month_key]],"mmmm")</f>
        <v>September</v>
      </c>
      <c r="D638" s="20" t="str">
        <f>TEXT(Daily_Data[[#This Row],[Month_key]],"yyyy")</f>
        <v>2024</v>
      </c>
      <c r="E638" s="7">
        <v>13</v>
      </c>
      <c r="F638" s="7">
        <v>14</v>
      </c>
      <c r="G638" s="8">
        <f>Daily_Data[[#This Row],[Rooms_Occupied]]/F638</f>
        <v>0.9285714285714286</v>
      </c>
      <c r="H638" s="7">
        <v>1966</v>
      </c>
      <c r="I638" s="7">
        <f>Daily_Data[[#This Row],[Room_rate]]*Daily_Data[[#This Row],[Rooms_Occupied]]</f>
        <v>25558</v>
      </c>
      <c r="J638" s="10">
        <f>Daily_Data[[#This Row],[Total_Sales]] * 0.22</f>
        <v>5622.76</v>
      </c>
      <c r="K638" s="10">
        <f>INDEX(Expense_master[Monthly_Rent],MATCH(Daily_Data[[#This Row],[Month_key]],Expense_master[Month_Key],0)) / INDEX(Expense_master[Days_in_Month],MATCH(Daily_Data[[#This Row],[Month_key]],Expense_master[Month_Key],0))</f>
        <v>8333.3333333333339</v>
      </c>
      <c r="L638" s="10">
        <f>SUMIFS(Expense_master[Staff_Salary],Expense_master[Month_Key],Daily_Data[[#This Row],[Month_key]]) / SUMIFS(Expense_master[Days_in_Month],Expense_master[Month_Key],Daily_Data[[#This Row],[Month_key]])</f>
        <v>2333.3333333333335</v>
      </c>
      <c r="M638" s="10">
        <f>Daily_Data[[#This Row],[Rooms_Occupied]] * (SUMIFS(Expense_master[Housekeeping_Laundy],Expense_master[Month_Key],Daily_Data[[#This Row],[Month_key]]) / SUMIFS(Occupancy_table[Monthly_rooms_Occupied],Occupancy_table[Month_Key],Daily_Data[[#This Row],[Month_key]]))</f>
        <v>391.56626506024099</v>
      </c>
      <c r="N63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1847.0368674698793</v>
      </c>
      <c r="O638" s="10">
        <f>SUMIFS(Expense_master[Monthly_Maintenance],Expense_master[Month_Key],Daily_Data[[#This Row],[Month_key]]) / SUMIFS(Expense_master[Days_in_Month],Expense_master[Month_Key], Daily_Data[[#This Row],[Month_key]])</f>
        <v>666.66666666666663</v>
      </c>
      <c r="P638" s="10">
        <f xml:space="preserve"> Daily_Data[[#This Row],[OTA Commision]] + Daily_Data[[#This Row],[Daily_Rent]]+Daily_Data[[#This Row],[Daily_Staff]]+Daily_Data[[#This Row],[Daily_HK]]+Daily_Data[[#This Row],[Daily_Electricity]] + Daily_Data[[#This Row],[Daily Maintenance]]</f>
        <v>19194.696465863457</v>
      </c>
      <c r="Q638" s="10">
        <f>Daily_Data[[#This Row],[Total_Sales]]-Daily_Data[[#This Row],[Total_Daily_Expense]]</f>
        <v>6363.303534136543</v>
      </c>
      <c r="R638" s="10">
        <f>Daily_Data[[#This Row],[Total_Sales]]/Daily_Data[[#This Row],[Rooms_Occupied]]</f>
        <v>1966</v>
      </c>
      <c r="S638" s="10">
        <f>Daily_Data[[#This Row],[Total_Sales]] / Daily_Data[[#This Row],[Max_rooms]]</f>
        <v>1825.5714285714287</v>
      </c>
    </row>
    <row r="639" spans="1:19" x14ac:dyDescent="0.25">
      <c r="A639" s="6">
        <v>45564</v>
      </c>
      <c r="B639" s="20">
        <f>DATE(YEAR(Daily_Data[[#This Row],[Date]]), MONTH(Daily_Data[[#This Row],[Date]]), 1)</f>
        <v>45536</v>
      </c>
      <c r="C639" s="20" t="str">
        <f>TEXT(Daily_Data[[#This Row],[Month_key]],"mmmm")</f>
        <v>September</v>
      </c>
      <c r="D639" s="20" t="str">
        <f>TEXT(Daily_Data[[#This Row],[Month_key]],"yyyy")</f>
        <v>2024</v>
      </c>
      <c r="E639" s="7">
        <v>12</v>
      </c>
      <c r="F639" s="7">
        <v>14</v>
      </c>
      <c r="G639" s="8">
        <f>Daily_Data[[#This Row],[Rooms_Occupied]]/F639</f>
        <v>0.8571428571428571</v>
      </c>
      <c r="H639" s="7">
        <v>1659</v>
      </c>
      <c r="I639" s="7">
        <f>Daily_Data[[#This Row],[Room_rate]]*Daily_Data[[#This Row],[Rooms_Occupied]]</f>
        <v>19908</v>
      </c>
      <c r="J639" s="10">
        <f>Daily_Data[[#This Row],[Total_Sales]] * 0.22</f>
        <v>4379.76</v>
      </c>
      <c r="K639" s="10">
        <f>INDEX(Expense_master[Monthly_Rent],MATCH(Daily_Data[[#This Row],[Month_key]],Expense_master[Month_Key],0)) / INDEX(Expense_master[Days_in_Month],MATCH(Daily_Data[[#This Row],[Month_key]],Expense_master[Month_Key],0))</f>
        <v>8333.3333333333339</v>
      </c>
      <c r="L639" s="10">
        <f>SUMIFS(Expense_master[Staff_Salary],Expense_master[Month_Key],Daily_Data[[#This Row],[Month_key]]) / SUMIFS(Expense_master[Days_in_Month],Expense_master[Month_Key],Daily_Data[[#This Row],[Month_key]])</f>
        <v>2333.3333333333335</v>
      </c>
      <c r="M639" s="10">
        <f>Daily_Data[[#This Row],[Rooms_Occupied]] * (SUMIFS(Expense_master[Housekeeping_Laundy],Expense_master[Month_Key],Daily_Data[[#This Row],[Month_key]]) / SUMIFS(Occupancy_table[Monthly_rooms_Occupied],Occupancy_table[Month_Key],Daily_Data[[#This Row],[Month_key]]))</f>
        <v>361.44578313253015</v>
      </c>
      <c r="N63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1756.3971084337347</v>
      </c>
      <c r="O639" s="10">
        <f>SUMIFS(Expense_master[Monthly_Maintenance],Expense_master[Month_Key],Daily_Data[[#This Row],[Month_key]]) / SUMIFS(Expense_master[Days_in_Month],Expense_master[Month_Key], Daily_Data[[#This Row],[Month_key]])</f>
        <v>666.66666666666663</v>
      </c>
      <c r="P639" s="10">
        <f xml:space="preserve"> Daily_Data[[#This Row],[OTA Commision]] + Daily_Data[[#This Row],[Daily_Rent]]+Daily_Data[[#This Row],[Daily_Staff]]+Daily_Data[[#This Row],[Daily_HK]]+Daily_Data[[#This Row],[Daily_Electricity]] + Daily_Data[[#This Row],[Daily Maintenance]]</f>
        <v>17830.9362248996</v>
      </c>
      <c r="Q639" s="10">
        <f>Daily_Data[[#This Row],[Total_Sales]]-Daily_Data[[#This Row],[Total_Daily_Expense]]</f>
        <v>2077.0637751003997</v>
      </c>
      <c r="R639" s="10">
        <f>Daily_Data[[#This Row],[Total_Sales]]/Daily_Data[[#This Row],[Rooms_Occupied]]</f>
        <v>1659</v>
      </c>
      <c r="S639" s="10">
        <f>Daily_Data[[#This Row],[Total_Sales]] / Daily_Data[[#This Row],[Max_rooms]]</f>
        <v>1422</v>
      </c>
    </row>
    <row r="640" spans="1:19" x14ac:dyDescent="0.25">
      <c r="A640" s="6">
        <v>45565</v>
      </c>
      <c r="B640" s="20">
        <f>DATE(YEAR(Daily_Data[[#This Row],[Date]]), MONTH(Daily_Data[[#This Row],[Date]]), 1)</f>
        <v>45536</v>
      </c>
      <c r="C640" s="20" t="str">
        <f>TEXT(Daily_Data[[#This Row],[Month_key]],"mmmm")</f>
        <v>September</v>
      </c>
      <c r="D640" s="20" t="str">
        <f>TEXT(Daily_Data[[#This Row],[Month_key]],"yyyy")</f>
        <v>2024</v>
      </c>
      <c r="E640" s="7">
        <v>11</v>
      </c>
      <c r="F640" s="7">
        <v>14</v>
      </c>
      <c r="G640" s="8">
        <f>Daily_Data[[#This Row],[Rooms_Occupied]]/F640</f>
        <v>0.7857142857142857</v>
      </c>
      <c r="H640" s="7">
        <v>1142</v>
      </c>
      <c r="I640" s="7">
        <f>Daily_Data[[#This Row],[Room_rate]]*Daily_Data[[#This Row],[Rooms_Occupied]]</f>
        <v>12562</v>
      </c>
      <c r="J640" s="10">
        <f>Daily_Data[[#This Row],[Total_Sales]] * 0.22</f>
        <v>2763.64</v>
      </c>
      <c r="K640" s="10">
        <f>INDEX(Expense_master[Monthly_Rent],MATCH(Daily_Data[[#This Row],[Month_key]],Expense_master[Month_Key],0)) / INDEX(Expense_master[Days_in_Month],MATCH(Daily_Data[[#This Row],[Month_key]],Expense_master[Month_Key],0))</f>
        <v>8333.3333333333339</v>
      </c>
      <c r="L640" s="10">
        <f>SUMIFS(Expense_master[Staff_Salary],Expense_master[Month_Key],Daily_Data[[#This Row],[Month_key]]) / SUMIFS(Expense_master[Days_in_Month],Expense_master[Month_Key],Daily_Data[[#This Row],[Month_key]])</f>
        <v>2333.3333333333335</v>
      </c>
      <c r="M640" s="10">
        <f>Daily_Data[[#This Row],[Rooms_Occupied]] * (SUMIFS(Expense_master[Housekeeping_Laundy],Expense_master[Month_Key],Daily_Data[[#This Row],[Month_key]]) / SUMIFS(Occupancy_table[Monthly_rooms_Occupied],Occupancy_table[Month_Key],Daily_Data[[#This Row],[Month_key]]))</f>
        <v>331.32530120481931</v>
      </c>
      <c r="N64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1665.7573493975901</v>
      </c>
      <c r="O640" s="10">
        <f>SUMIFS(Expense_master[Monthly_Maintenance],Expense_master[Month_Key],Daily_Data[[#This Row],[Month_key]]) / SUMIFS(Expense_master[Days_in_Month],Expense_master[Month_Key], Daily_Data[[#This Row],[Month_key]])</f>
        <v>666.66666666666663</v>
      </c>
      <c r="P640" s="10">
        <f xml:space="preserve"> Daily_Data[[#This Row],[OTA Commision]] + Daily_Data[[#This Row],[Daily_Rent]]+Daily_Data[[#This Row],[Daily_Staff]]+Daily_Data[[#This Row],[Daily_HK]]+Daily_Data[[#This Row],[Daily_Electricity]] + Daily_Data[[#This Row],[Daily Maintenance]]</f>
        <v>16094.055983935743</v>
      </c>
      <c r="Q640" s="10">
        <f>Daily_Data[[#This Row],[Total_Sales]]-Daily_Data[[#This Row],[Total_Daily_Expense]]</f>
        <v>-3532.0559839357429</v>
      </c>
      <c r="R640" s="10">
        <f>Daily_Data[[#This Row],[Total_Sales]]/Daily_Data[[#This Row],[Rooms_Occupied]]</f>
        <v>1142</v>
      </c>
      <c r="S640" s="10">
        <f>Daily_Data[[#This Row],[Total_Sales]] / Daily_Data[[#This Row],[Max_rooms]]</f>
        <v>897.28571428571433</v>
      </c>
    </row>
    <row r="641" spans="1:19" x14ac:dyDescent="0.25">
      <c r="A641" s="6">
        <v>45566</v>
      </c>
      <c r="B641" s="20">
        <f>DATE(YEAR(Daily_Data[[#This Row],[Date]]), MONTH(Daily_Data[[#This Row],[Date]]), 1)</f>
        <v>45566</v>
      </c>
      <c r="C641" s="20" t="str">
        <f>TEXT(Daily_Data[[#This Row],[Month_key]],"mmmm")</f>
        <v>October</v>
      </c>
      <c r="D641" s="20" t="str">
        <f>TEXT(Daily_Data[[#This Row],[Month_key]],"yyyy")</f>
        <v>2024</v>
      </c>
      <c r="E641" s="7">
        <v>13</v>
      </c>
      <c r="F641" s="7">
        <v>14</v>
      </c>
      <c r="G641" s="8">
        <f>Daily_Data[[#This Row],[Rooms_Occupied]]/F641</f>
        <v>0.9285714285714286</v>
      </c>
      <c r="H641" s="7">
        <v>1720</v>
      </c>
      <c r="I641" s="7">
        <f>Daily_Data[[#This Row],[Room_rate]]*Daily_Data[[#This Row],[Rooms_Occupied]]</f>
        <v>22360</v>
      </c>
      <c r="J641" s="10">
        <f>Daily_Data[[#This Row],[Total_Sales]] * 0.22</f>
        <v>4919.2</v>
      </c>
      <c r="K641" s="10">
        <f>INDEX(Expense_master[Monthly_Rent],MATCH(Daily_Data[[#This Row],[Month_key]],Expense_master[Month_Key],0)) / INDEX(Expense_master[Days_in_Month],MATCH(Daily_Data[[#This Row],[Month_key]],Expense_master[Month_Key],0))</f>
        <v>8064.5161290322585</v>
      </c>
      <c r="L641" s="10">
        <f>SUMIFS(Expense_master[Staff_Salary],Expense_master[Month_Key],Daily_Data[[#This Row],[Month_key]]) / SUMIFS(Expense_master[Days_in_Month],Expense_master[Month_Key],Daily_Data[[#This Row],[Month_key]])</f>
        <v>2258.0645161290322</v>
      </c>
      <c r="M641" s="10">
        <f>Daily_Data[[#This Row],[Rooms_Occupied]] * (SUMIFS(Expense_master[Housekeeping_Laundy],Expense_master[Month_Key],Daily_Data[[#This Row],[Month_key]]) / SUMIFS(Occupancy_table[Monthly_rooms_Occupied],Occupancy_table[Month_Key],Daily_Data[[#This Row],[Month_key]]))</f>
        <v>400</v>
      </c>
      <c r="N64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1841.0281290322582</v>
      </c>
      <c r="O641" s="10">
        <f>SUMIFS(Expense_master[Monthly_Maintenance],Expense_master[Month_Key],Daily_Data[[#This Row],[Month_key]]) / SUMIFS(Expense_master[Days_in_Month],Expense_master[Month_Key], Daily_Data[[#This Row],[Month_key]])</f>
        <v>645.16129032258061</v>
      </c>
      <c r="P641" s="10">
        <f xml:space="preserve"> Daily_Data[[#This Row],[OTA Commision]] + Daily_Data[[#This Row],[Daily_Rent]]+Daily_Data[[#This Row],[Daily_Staff]]+Daily_Data[[#This Row],[Daily_HK]]+Daily_Data[[#This Row],[Daily_Electricity]] + Daily_Data[[#This Row],[Daily Maintenance]]</f>
        <v>18127.970064516128</v>
      </c>
      <c r="Q641" s="10">
        <f>Daily_Data[[#This Row],[Total_Sales]]-Daily_Data[[#This Row],[Total_Daily_Expense]]</f>
        <v>4232.0299354838717</v>
      </c>
      <c r="R641" s="10">
        <f>Daily_Data[[#This Row],[Total_Sales]]/Daily_Data[[#This Row],[Rooms_Occupied]]</f>
        <v>1720</v>
      </c>
      <c r="S641" s="10">
        <f>Daily_Data[[#This Row],[Total_Sales]] / Daily_Data[[#This Row],[Max_rooms]]</f>
        <v>1597.1428571428571</v>
      </c>
    </row>
    <row r="642" spans="1:19" x14ac:dyDescent="0.25">
      <c r="A642" s="6">
        <v>45567</v>
      </c>
      <c r="B642" s="20">
        <f>DATE(YEAR(Daily_Data[[#This Row],[Date]]), MONTH(Daily_Data[[#This Row],[Date]]), 1)</f>
        <v>45566</v>
      </c>
      <c r="C642" s="20" t="str">
        <f>TEXT(Daily_Data[[#This Row],[Month_key]],"mmmm")</f>
        <v>October</v>
      </c>
      <c r="D642" s="20" t="str">
        <f>TEXT(Daily_Data[[#This Row],[Month_key]],"yyyy")</f>
        <v>2024</v>
      </c>
      <c r="E642" s="7">
        <v>8</v>
      </c>
      <c r="F642" s="7">
        <v>14</v>
      </c>
      <c r="G642" s="8">
        <f>Daily_Data[[#This Row],[Rooms_Occupied]]/F642</f>
        <v>0.5714285714285714</v>
      </c>
      <c r="H642" s="7">
        <v>1624</v>
      </c>
      <c r="I642" s="7">
        <f>Daily_Data[[#This Row],[Room_rate]]*Daily_Data[[#This Row],[Rooms_Occupied]]</f>
        <v>12992</v>
      </c>
      <c r="J642" s="10">
        <f>Daily_Data[[#This Row],[Total_Sales]] * 0.22</f>
        <v>2858.2400000000002</v>
      </c>
      <c r="K642" s="10">
        <f>INDEX(Expense_master[Monthly_Rent],MATCH(Daily_Data[[#This Row],[Month_key]],Expense_master[Month_Key],0)) / INDEX(Expense_master[Days_in_Month],MATCH(Daily_Data[[#This Row],[Month_key]],Expense_master[Month_Key],0))</f>
        <v>8064.5161290322585</v>
      </c>
      <c r="L642" s="10">
        <f>SUMIFS(Expense_master[Staff_Salary],Expense_master[Month_Key],Daily_Data[[#This Row],[Month_key]]) / SUMIFS(Expense_master[Days_in_Month],Expense_master[Month_Key],Daily_Data[[#This Row],[Month_key]])</f>
        <v>2258.0645161290322</v>
      </c>
      <c r="M642" s="10">
        <f>Daily_Data[[#This Row],[Rooms_Occupied]] * (SUMIFS(Expense_master[Housekeeping_Laundy],Expense_master[Month_Key],Daily_Data[[#This Row],[Month_key]]) / SUMIFS(Occupancy_table[Monthly_rooms_Occupied],Occupancy_table[Month_Key],Daily_Data[[#This Row],[Month_key]]))</f>
        <v>246.15384615384616</v>
      </c>
      <c r="N64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1380.5235136476426</v>
      </c>
      <c r="O642" s="10">
        <f>SUMIFS(Expense_master[Monthly_Maintenance],Expense_master[Month_Key],Daily_Data[[#This Row],[Month_key]]) / SUMIFS(Expense_master[Days_in_Month],Expense_master[Month_Key], Daily_Data[[#This Row],[Month_key]])</f>
        <v>645.16129032258061</v>
      </c>
      <c r="P642" s="10">
        <f xml:space="preserve"> Daily_Data[[#This Row],[OTA Commision]] + Daily_Data[[#This Row],[Daily_Rent]]+Daily_Data[[#This Row],[Daily_Staff]]+Daily_Data[[#This Row],[Daily_HK]]+Daily_Data[[#This Row],[Daily_Electricity]] + Daily_Data[[#This Row],[Daily Maintenance]]</f>
        <v>15452.659295285361</v>
      </c>
      <c r="Q642" s="10">
        <f>Daily_Data[[#This Row],[Total_Sales]]-Daily_Data[[#This Row],[Total_Daily_Expense]]</f>
        <v>-2460.6592952853607</v>
      </c>
      <c r="R642" s="10">
        <f>Daily_Data[[#This Row],[Total_Sales]]/Daily_Data[[#This Row],[Rooms_Occupied]]</f>
        <v>1624</v>
      </c>
      <c r="S642" s="10">
        <f>Daily_Data[[#This Row],[Total_Sales]] / Daily_Data[[#This Row],[Max_rooms]]</f>
        <v>928</v>
      </c>
    </row>
    <row r="643" spans="1:19" x14ac:dyDescent="0.25">
      <c r="A643" s="6">
        <v>45568</v>
      </c>
      <c r="B643" s="20">
        <f>DATE(YEAR(Daily_Data[[#This Row],[Date]]), MONTH(Daily_Data[[#This Row],[Date]]), 1)</f>
        <v>45566</v>
      </c>
      <c r="C643" s="20" t="str">
        <f>TEXT(Daily_Data[[#This Row],[Month_key]],"mmmm")</f>
        <v>October</v>
      </c>
      <c r="D643" s="20" t="str">
        <f>TEXT(Daily_Data[[#This Row],[Month_key]],"yyyy")</f>
        <v>2024</v>
      </c>
      <c r="E643" s="7">
        <v>9</v>
      </c>
      <c r="F643" s="7">
        <v>14</v>
      </c>
      <c r="G643" s="8">
        <f>Daily_Data[[#This Row],[Rooms_Occupied]]/F643</f>
        <v>0.6428571428571429</v>
      </c>
      <c r="H643" s="7">
        <v>1457</v>
      </c>
      <c r="I643" s="7">
        <f>Daily_Data[[#This Row],[Room_rate]]*Daily_Data[[#This Row],[Rooms_Occupied]]</f>
        <v>13113</v>
      </c>
      <c r="J643" s="10">
        <f>Daily_Data[[#This Row],[Total_Sales]] * 0.22</f>
        <v>2884.86</v>
      </c>
      <c r="K643" s="10">
        <f>INDEX(Expense_master[Monthly_Rent],MATCH(Daily_Data[[#This Row],[Month_key]],Expense_master[Month_Key],0)) / INDEX(Expense_master[Days_in_Month],MATCH(Daily_Data[[#This Row],[Month_key]],Expense_master[Month_Key],0))</f>
        <v>8064.5161290322585</v>
      </c>
      <c r="L643" s="10">
        <f>SUMIFS(Expense_master[Staff_Salary],Expense_master[Month_Key],Daily_Data[[#This Row],[Month_key]]) / SUMIFS(Expense_master[Days_in_Month],Expense_master[Month_Key],Daily_Data[[#This Row],[Month_key]])</f>
        <v>2258.0645161290322</v>
      </c>
      <c r="M643" s="10">
        <f>Daily_Data[[#This Row],[Rooms_Occupied]] * (SUMIFS(Expense_master[Housekeeping_Laundy],Expense_master[Month_Key],Daily_Data[[#This Row],[Month_key]]) / SUMIFS(Occupancy_table[Monthly_rooms_Occupied],Occupancy_table[Month_Key],Daily_Data[[#This Row],[Month_key]]))</f>
        <v>276.92307692307691</v>
      </c>
      <c r="N64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43" s="10">
        <f>SUMIFS(Expense_master[Monthly_Maintenance],Expense_master[Month_Key],Daily_Data[[#This Row],[Month_key]]) / SUMIFS(Expense_master[Days_in_Month],Expense_master[Month_Key], Daily_Data[[#This Row],[Month_key]])</f>
        <v>645.16129032258061</v>
      </c>
      <c r="P643" s="10">
        <f xml:space="preserve"> Daily_Data[[#This Row],[OTA Commision]] + Daily_Data[[#This Row],[Daily_Rent]]+Daily_Data[[#This Row],[Daily_Staff]]+Daily_Data[[#This Row],[Daily_HK]]+Daily_Data[[#This Row],[Daily_Electricity]] + Daily_Data[[#This Row],[Daily Maintenance]]</f>
        <v>15602.149449131513</v>
      </c>
      <c r="Q643" s="10">
        <f>Daily_Data[[#This Row],[Total_Sales]]-Daily_Data[[#This Row],[Total_Daily_Expense]]</f>
        <v>-2489.1494491315134</v>
      </c>
      <c r="R643" s="10">
        <f>Daily_Data[[#This Row],[Total_Sales]]/Daily_Data[[#This Row],[Rooms_Occupied]]</f>
        <v>1457</v>
      </c>
      <c r="S643" s="10">
        <f>Daily_Data[[#This Row],[Total_Sales]] / Daily_Data[[#This Row],[Max_rooms]]</f>
        <v>936.64285714285711</v>
      </c>
    </row>
    <row r="644" spans="1:19" x14ac:dyDescent="0.25">
      <c r="A644" s="6">
        <v>45569</v>
      </c>
      <c r="B644" s="20">
        <f>DATE(YEAR(Daily_Data[[#This Row],[Date]]), MONTH(Daily_Data[[#This Row],[Date]]), 1)</f>
        <v>45566</v>
      </c>
      <c r="C644" s="20" t="str">
        <f>TEXT(Daily_Data[[#This Row],[Month_key]],"mmmm")</f>
        <v>October</v>
      </c>
      <c r="D644" s="20" t="str">
        <f>TEXT(Daily_Data[[#This Row],[Month_key]],"yyyy")</f>
        <v>2024</v>
      </c>
      <c r="E644" s="7">
        <v>10</v>
      </c>
      <c r="F644" s="7">
        <v>14</v>
      </c>
      <c r="G644" s="8">
        <f>Daily_Data[[#This Row],[Rooms_Occupied]]/F644</f>
        <v>0.7142857142857143</v>
      </c>
      <c r="H644" s="7">
        <v>1220</v>
      </c>
      <c r="I644" s="7">
        <f>Daily_Data[[#This Row],[Room_rate]]*Daily_Data[[#This Row],[Rooms_Occupied]]</f>
        <v>12200</v>
      </c>
      <c r="J644" s="10">
        <f>Daily_Data[[#This Row],[Total_Sales]] * 0.22</f>
        <v>2684</v>
      </c>
      <c r="K644" s="10">
        <f>INDEX(Expense_master[Monthly_Rent],MATCH(Daily_Data[[#This Row],[Month_key]],Expense_master[Month_Key],0)) / INDEX(Expense_master[Days_in_Month],MATCH(Daily_Data[[#This Row],[Month_key]],Expense_master[Month_Key],0))</f>
        <v>8064.5161290322585</v>
      </c>
      <c r="L644" s="10">
        <f>SUMIFS(Expense_master[Staff_Salary],Expense_master[Month_Key],Daily_Data[[#This Row],[Month_key]]) / SUMIFS(Expense_master[Days_in_Month],Expense_master[Month_Key],Daily_Data[[#This Row],[Month_key]])</f>
        <v>2258.0645161290322</v>
      </c>
      <c r="M644" s="10">
        <f>Daily_Data[[#This Row],[Rooms_Occupied]] * (SUMIFS(Expense_master[Housekeeping_Laundy],Expense_master[Month_Key],Daily_Data[[#This Row],[Month_key]]) / SUMIFS(Occupancy_table[Monthly_rooms_Occupied],Occupancy_table[Month_Key],Daily_Data[[#This Row],[Month_key]]))</f>
        <v>307.69230769230768</v>
      </c>
      <c r="N64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1564.725359801489</v>
      </c>
      <c r="O644" s="10">
        <f>SUMIFS(Expense_master[Monthly_Maintenance],Expense_master[Month_Key],Daily_Data[[#This Row],[Month_key]]) / SUMIFS(Expense_master[Days_in_Month],Expense_master[Month_Key], Daily_Data[[#This Row],[Month_key]])</f>
        <v>645.16129032258061</v>
      </c>
      <c r="P644" s="10">
        <f xml:space="preserve"> Daily_Data[[#This Row],[OTA Commision]] + Daily_Data[[#This Row],[Daily_Rent]]+Daily_Data[[#This Row],[Daily_Staff]]+Daily_Data[[#This Row],[Daily_HK]]+Daily_Data[[#This Row],[Daily_Electricity]] + Daily_Data[[#This Row],[Daily Maintenance]]</f>
        <v>15524.159602977668</v>
      </c>
      <c r="Q644" s="10">
        <f>Daily_Data[[#This Row],[Total_Sales]]-Daily_Data[[#This Row],[Total_Daily_Expense]]</f>
        <v>-3324.1596029776683</v>
      </c>
      <c r="R644" s="10">
        <f>Daily_Data[[#This Row],[Total_Sales]]/Daily_Data[[#This Row],[Rooms_Occupied]]</f>
        <v>1220</v>
      </c>
      <c r="S644" s="10">
        <f>Daily_Data[[#This Row],[Total_Sales]] / Daily_Data[[#This Row],[Max_rooms]]</f>
        <v>871.42857142857144</v>
      </c>
    </row>
    <row r="645" spans="1:19" x14ac:dyDescent="0.25">
      <c r="A645" s="6">
        <v>45570</v>
      </c>
      <c r="B645" s="20">
        <f>DATE(YEAR(Daily_Data[[#This Row],[Date]]), MONTH(Daily_Data[[#This Row],[Date]]), 1)</f>
        <v>45566</v>
      </c>
      <c r="C645" s="20" t="str">
        <f>TEXT(Daily_Data[[#This Row],[Month_key]],"mmmm")</f>
        <v>October</v>
      </c>
      <c r="D645" s="20" t="str">
        <f>TEXT(Daily_Data[[#This Row],[Month_key]],"yyyy")</f>
        <v>2024</v>
      </c>
      <c r="E645" s="7">
        <v>10</v>
      </c>
      <c r="F645" s="7">
        <v>14</v>
      </c>
      <c r="G645" s="8">
        <f>Daily_Data[[#This Row],[Rooms_Occupied]]/F645</f>
        <v>0.7142857142857143</v>
      </c>
      <c r="H645" s="7">
        <v>1918</v>
      </c>
      <c r="I645" s="7">
        <f>Daily_Data[[#This Row],[Room_rate]]*Daily_Data[[#This Row],[Rooms_Occupied]]</f>
        <v>19180</v>
      </c>
      <c r="J645" s="10">
        <f>Daily_Data[[#This Row],[Total_Sales]] * 0.22</f>
        <v>4219.6000000000004</v>
      </c>
      <c r="K645" s="10">
        <f>INDEX(Expense_master[Monthly_Rent],MATCH(Daily_Data[[#This Row],[Month_key]],Expense_master[Month_Key],0)) / INDEX(Expense_master[Days_in_Month],MATCH(Daily_Data[[#This Row],[Month_key]],Expense_master[Month_Key],0))</f>
        <v>8064.5161290322585</v>
      </c>
      <c r="L645" s="10">
        <f>SUMIFS(Expense_master[Staff_Salary],Expense_master[Month_Key],Daily_Data[[#This Row],[Month_key]]) / SUMIFS(Expense_master[Days_in_Month],Expense_master[Month_Key],Daily_Data[[#This Row],[Month_key]])</f>
        <v>2258.0645161290322</v>
      </c>
      <c r="M645" s="10">
        <f>Daily_Data[[#This Row],[Rooms_Occupied]] * (SUMIFS(Expense_master[Housekeeping_Laundy],Expense_master[Month_Key],Daily_Data[[#This Row],[Month_key]]) / SUMIFS(Occupancy_table[Monthly_rooms_Occupied],Occupancy_table[Month_Key],Daily_Data[[#This Row],[Month_key]]))</f>
        <v>307.69230769230768</v>
      </c>
      <c r="N64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1564.725359801489</v>
      </c>
      <c r="O645" s="10">
        <f>SUMIFS(Expense_master[Monthly_Maintenance],Expense_master[Month_Key],Daily_Data[[#This Row],[Month_key]]) / SUMIFS(Expense_master[Days_in_Month],Expense_master[Month_Key], Daily_Data[[#This Row],[Month_key]])</f>
        <v>645.16129032258061</v>
      </c>
      <c r="P645" s="10">
        <f xml:space="preserve"> Daily_Data[[#This Row],[OTA Commision]] + Daily_Data[[#This Row],[Daily_Rent]]+Daily_Data[[#This Row],[Daily_Staff]]+Daily_Data[[#This Row],[Daily_HK]]+Daily_Data[[#This Row],[Daily_Electricity]] + Daily_Data[[#This Row],[Daily Maintenance]]</f>
        <v>17059.759602977669</v>
      </c>
      <c r="Q645" s="10">
        <f>Daily_Data[[#This Row],[Total_Sales]]-Daily_Data[[#This Row],[Total_Daily_Expense]]</f>
        <v>2120.2403970223313</v>
      </c>
      <c r="R645" s="10">
        <f>Daily_Data[[#This Row],[Total_Sales]]/Daily_Data[[#This Row],[Rooms_Occupied]]</f>
        <v>1918</v>
      </c>
      <c r="S645" s="10">
        <f>Daily_Data[[#This Row],[Total_Sales]] / Daily_Data[[#This Row],[Max_rooms]]</f>
        <v>1370</v>
      </c>
    </row>
    <row r="646" spans="1:19" x14ac:dyDescent="0.25">
      <c r="A646" s="6">
        <v>45571</v>
      </c>
      <c r="B646" s="20">
        <f>DATE(YEAR(Daily_Data[[#This Row],[Date]]), MONTH(Daily_Data[[#This Row],[Date]]), 1)</f>
        <v>45566</v>
      </c>
      <c r="C646" s="20" t="str">
        <f>TEXT(Daily_Data[[#This Row],[Month_key]],"mmmm")</f>
        <v>October</v>
      </c>
      <c r="D646" s="20" t="str">
        <f>TEXT(Daily_Data[[#This Row],[Month_key]],"yyyy")</f>
        <v>2024</v>
      </c>
      <c r="E646" s="7">
        <v>8</v>
      </c>
      <c r="F646" s="7">
        <v>14</v>
      </c>
      <c r="G646" s="8">
        <f>Daily_Data[[#This Row],[Rooms_Occupied]]/F646</f>
        <v>0.5714285714285714</v>
      </c>
      <c r="H646" s="7">
        <v>1579</v>
      </c>
      <c r="I646" s="7">
        <f>Daily_Data[[#This Row],[Room_rate]]*Daily_Data[[#This Row],[Rooms_Occupied]]</f>
        <v>12632</v>
      </c>
      <c r="J646" s="10">
        <f>Daily_Data[[#This Row],[Total_Sales]] * 0.22</f>
        <v>2779.04</v>
      </c>
      <c r="K646" s="10">
        <f>INDEX(Expense_master[Monthly_Rent],MATCH(Daily_Data[[#This Row],[Month_key]],Expense_master[Month_Key],0)) / INDEX(Expense_master[Days_in_Month],MATCH(Daily_Data[[#This Row],[Month_key]],Expense_master[Month_Key],0))</f>
        <v>8064.5161290322585</v>
      </c>
      <c r="L646" s="10">
        <f>SUMIFS(Expense_master[Staff_Salary],Expense_master[Month_Key],Daily_Data[[#This Row],[Month_key]]) / SUMIFS(Expense_master[Days_in_Month],Expense_master[Month_Key],Daily_Data[[#This Row],[Month_key]])</f>
        <v>2258.0645161290322</v>
      </c>
      <c r="M646" s="10">
        <f>Daily_Data[[#This Row],[Rooms_Occupied]] * (SUMIFS(Expense_master[Housekeeping_Laundy],Expense_master[Month_Key],Daily_Data[[#This Row],[Month_key]]) / SUMIFS(Occupancy_table[Monthly_rooms_Occupied],Occupancy_table[Month_Key],Daily_Data[[#This Row],[Month_key]]))</f>
        <v>246.15384615384616</v>
      </c>
      <c r="N64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1380.5235136476426</v>
      </c>
      <c r="O646" s="10">
        <f>SUMIFS(Expense_master[Monthly_Maintenance],Expense_master[Month_Key],Daily_Data[[#This Row],[Month_key]]) / SUMIFS(Expense_master[Days_in_Month],Expense_master[Month_Key], Daily_Data[[#This Row],[Month_key]])</f>
        <v>645.16129032258061</v>
      </c>
      <c r="P646" s="10">
        <f xml:space="preserve"> Daily_Data[[#This Row],[OTA Commision]] + Daily_Data[[#This Row],[Daily_Rent]]+Daily_Data[[#This Row],[Daily_Staff]]+Daily_Data[[#This Row],[Daily_HK]]+Daily_Data[[#This Row],[Daily_Electricity]] + Daily_Data[[#This Row],[Daily Maintenance]]</f>
        <v>15373.45929528536</v>
      </c>
      <c r="Q646" s="10">
        <f>Daily_Data[[#This Row],[Total_Sales]]-Daily_Data[[#This Row],[Total_Daily_Expense]]</f>
        <v>-2741.45929528536</v>
      </c>
      <c r="R646" s="10">
        <f>Daily_Data[[#This Row],[Total_Sales]]/Daily_Data[[#This Row],[Rooms_Occupied]]</f>
        <v>1579</v>
      </c>
      <c r="S646" s="10">
        <f>Daily_Data[[#This Row],[Total_Sales]] / Daily_Data[[#This Row],[Max_rooms]]</f>
        <v>902.28571428571433</v>
      </c>
    </row>
    <row r="647" spans="1:19" x14ac:dyDescent="0.25">
      <c r="A647" s="6">
        <v>45572</v>
      </c>
      <c r="B647" s="20">
        <f>DATE(YEAR(Daily_Data[[#This Row],[Date]]), MONTH(Daily_Data[[#This Row],[Date]]), 1)</f>
        <v>45566</v>
      </c>
      <c r="C647" s="20" t="str">
        <f>TEXT(Daily_Data[[#This Row],[Month_key]],"mmmm")</f>
        <v>October</v>
      </c>
      <c r="D647" s="20" t="str">
        <f>TEXT(Daily_Data[[#This Row],[Month_key]],"yyyy")</f>
        <v>2024</v>
      </c>
      <c r="E647" s="7">
        <v>12</v>
      </c>
      <c r="F647" s="7">
        <v>14</v>
      </c>
      <c r="G647" s="8">
        <f>Daily_Data[[#This Row],[Rooms_Occupied]]/F647</f>
        <v>0.8571428571428571</v>
      </c>
      <c r="H647" s="7">
        <v>1886</v>
      </c>
      <c r="I647" s="7">
        <f>Daily_Data[[#This Row],[Room_rate]]*Daily_Data[[#This Row],[Rooms_Occupied]]</f>
        <v>22632</v>
      </c>
      <c r="J647" s="10">
        <f>Daily_Data[[#This Row],[Total_Sales]] * 0.22</f>
        <v>4979.04</v>
      </c>
      <c r="K647" s="10">
        <f>INDEX(Expense_master[Monthly_Rent],MATCH(Daily_Data[[#This Row],[Month_key]],Expense_master[Month_Key],0)) / INDEX(Expense_master[Days_in_Month],MATCH(Daily_Data[[#This Row],[Month_key]],Expense_master[Month_Key],0))</f>
        <v>8064.5161290322585</v>
      </c>
      <c r="L647" s="10">
        <f>SUMIFS(Expense_master[Staff_Salary],Expense_master[Month_Key],Daily_Data[[#This Row],[Month_key]]) / SUMIFS(Expense_master[Days_in_Month],Expense_master[Month_Key],Daily_Data[[#This Row],[Month_key]])</f>
        <v>2258.0645161290322</v>
      </c>
      <c r="M647" s="10">
        <f>Daily_Data[[#This Row],[Rooms_Occupied]] * (SUMIFS(Expense_master[Housekeeping_Laundy],Expense_master[Month_Key],Daily_Data[[#This Row],[Month_key]]) / SUMIFS(Occupancy_table[Monthly_rooms_Occupied],Occupancy_table[Month_Key],Daily_Data[[#This Row],[Month_key]]))</f>
        <v>369.23076923076923</v>
      </c>
      <c r="N64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1748.927205955335</v>
      </c>
      <c r="O647" s="10">
        <f>SUMIFS(Expense_master[Monthly_Maintenance],Expense_master[Month_Key],Daily_Data[[#This Row],[Month_key]]) / SUMIFS(Expense_master[Days_in_Month],Expense_master[Month_Key], Daily_Data[[#This Row],[Month_key]])</f>
        <v>645.16129032258061</v>
      </c>
      <c r="P647" s="10">
        <f xml:space="preserve"> Daily_Data[[#This Row],[OTA Commision]] + Daily_Data[[#This Row],[Daily_Rent]]+Daily_Data[[#This Row],[Daily_Staff]]+Daily_Data[[#This Row],[Daily_HK]]+Daily_Data[[#This Row],[Daily_Electricity]] + Daily_Data[[#This Row],[Daily Maintenance]]</f>
        <v>18064.939910669975</v>
      </c>
      <c r="Q647" s="10">
        <f>Daily_Data[[#This Row],[Total_Sales]]-Daily_Data[[#This Row],[Total_Daily_Expense]]</f>
        <v>4567.0600893300252</v>
      </c>
      <c r="R647" s="10">
        <f>Daily_Data[[#This Row],[Total_Sales]]/Daily_Data[[#This Row],[Rooms_Occupied]]</f>
        <v>1886</v>
      </c>
      <c r="S647" s="10">
        <f>Daily_Data[[#This Row],[Total_Sales]] / Daily_Data[[#This Row],[Max_rooms]]</f>
        <v>1616.5714285714287</v>
      </c>
    </row>
    <row r="648" spans="1:19" x14ac:dyDescent="0.25">
      <c r="A648" s="6">
        <v>45573</v>
      </c>
      <c r="B648" s="20">
        <f>DATE(YEAR(Daily_Data[[#This Row],[Date]]), MONTH(Daily_Data[[#This Row],[Date]]), 1)</f>
        <v>45566</v>
      </c>
      <c r="C648" s="20" t="str">
        <f>TEXT(Daily_Data[[#This Row],[Month_key]],"mmmm")</f>
        <v>October</v>
      </c>
      <c r="D648" s="20" t="str">
        <f>TEXT(Daily_Data[[#This Row],[Month_key]],"yyyy")</f>
        <v>2024</v>
      </c>
      <c r="E648" s="7">
        <v>9</v>
      </c>
      <c r="F648" s="7">
        <v>14</v>
      </c>
      <c r="G648" s="8">
        <f>Daily_Data[[#This Row],[Rooms_Occupied]]/F648</f>
        <v>0.6428571428571429</v>
      </c>
      <c r="H648" s="7">
        <v>1006</v>
      </c>
      <c r="I648" s="7">
        <f>Daily_Data[[#This Row],[Room_rate]]*Daily_Data[[#This Row],[Rooms_Occupied]]</f>
        <v>9054</v>
      </c>
      <c r="J648" s="10">
        <f>Daily_Data[[#This Row],[Total_Sales]] * 0.22</f>
        <v>1991.88</v>
      </c>
      <c r="K648" s="10">
        <f>INDEX(Expense_master[Monthly_Rent],MATCH(Daily_Data[[#This Row],[Month_key]],Expense_master[Month_Key],0)) / INDEX(Expense_master[Days_in_Month],MATCH(Daily_Data[[#This Row],[Month_key]],Expense_master[Month_Key],0))</f>
        <v>8064.5161290322585</v>
      </c>
      <c r="L648" s="10">
        <f>SUMIFS(Expense_master[Staff_Salary],Expense_master[Month_Key],Daily_Data[[#This Row],[Month_key]]) / SUMIFS(Expense_master[Days_in_Month],Expense_master[Month_Key],Daily_Data[[#This Row],[Month_key]])</f>
        <v>2258.0645161290322</v>
      </c>
      <c r="M648" s="10">
        <f>Daily_Data[[#This Row],[Rooms_Occupied]] * (SUMIFS(Expense_master[Housekeeping_Laundy],Expense_master[Month_Key],Daily_Data[[#This Row],[Month_key]]) / SUMIFS(Occupancy_table[Monthly_rooms_Occupied],Occupancy_table[Month_Key],Daily_Data[[#This Row],[Month_key]]))</f>
        <v>276.92307692307691</v>
      </c>
      <c r="N64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48" s="10">
        <f>SUMIFS(Expense_master[Monthly_Maintenance],Expense_master[Month_Key],Daily_Data[[#This Row],[Month_key]]) / SUMIFS(Expense_master[Days_in_Month],Expense_master[Month_Key], Daily_Data[[#This Row],[Month_key]])</f>
        <v>645.16129032258061</v>
      </c>
      <c r="P648" s="10">
        <f xml:space="preserve"> Daily_Data[[#This Row],[OTA Commision]] + Daily_Data[[#This Row],[Daily_Rent]]+Daily_Data[[#This Row],[Daily_Staff]]+Daily_Data[[#This Row],[Daily_HK]]+Daily_Data[[#This Row],[Daily_Electricity]] + Daily_Data[[#This Row],[Daily Maintenance]]</f>
        <v>14709.169449131514</v>
      </c>
      <c r="Q648" s="10">
        <f>Daily_Data[[#This Row],[Total_Sales]]-Daily_Data[[#This Row],[Total_Daily_Expense]]</f>
        <v>-5655.1694491315138</v>
      </c>
      <c r="R648" s="10">
        <f>Daily_Data[[#This Row],[Total_Sales]]/Daily_Data[[#This Row],[Rooms_Occupied]]</f>
        <v>1006</v>
      </c>
      <c r="S648" s="10">
        <f>Daily_Data[[#This Row],[Total_Sales]] / Daily_Data[[#This Row],[Max_rooms]]</f>
        <v>646.71428571428567</v>
      </c>
    </row>
    <row r="649" spans="1:19" x14ac:dyDescent="0.25">
      <c r="A649" s="6">
        <v>45574</v>
      </c>
      <c r="B649" s="20">
        <f>DATE(YEAR(Daily_Data[[#This Row],[Date]]), MONTH(Daily_Data[[#This Row],[Date]]), 1)</f>
        <v>45566</v>
      </c>
      <c r="C649" s="20" t="str">
        <f>TEXT(Daily_Data[[#This Row],[Month_key]],"mmmm")</f>
        <v>October</v>
      </c>
      <c r="D649" s="20" t="str">
        <f>TEXT(Daily_Data[[#This Row],[Month_key]],"yyyy")</f>
        <v>2024</v>
      </c>
      <c r="E649" s="7">
        <v>8</v>
      </c>
      <c r="F649" s="7">
        <v>14</v>
      </c>
      <c r="G649" s="8">
        <f>Daily_Data[[#This Row],[Rooms_Occupied]]/F649</f>
        <v>0.5714285714285714</v>
      </c>
      <c r="H649" s="7">
        <v>1408</v>
      </c>
      <c r="I649" s="7">
        <f>Daily_Data[[#This Row],[Room_rate]]*Daily_Data[[#This Row],[Rooms_Occupied]]</f>
        <v>11264</v>
      </c>
      <c r="J649" s="10">
        <f>Daily_Data[[#This Row],[Total_Sales]] * 0.22</f>
        <v>2478.08</v>
      </c>
      <c r="K649" s="10">
        <f>INDEX(Expense_master[Monthly_Rent],MATCH(Daily_Data[[#This Row],[Month_key]],Expense_master[Month_Key],0)) / INDEX(Expense_master[Days_in_Month],MATCH(Daily_Data[[#This Row],[Month_key]],Expense_master[Month_Key],0))</f>
        <v>8064.5161290322585</v>
      </c>
      <c r="L649" s="10">
        <f>SUMIFS(Expense_master[Staff_Salary],Expense_master[Month_Key],Daily_Data[[#This Row],[Month_key]]) / SUMIFS(Expense_master[Days_in_Month],Expense_master[Month_Key],Daily_Data[[#This Row],[Month_key]])</f>
        <v>2258.0645161290322</v>
      </c>
      <c r="M649" s="10">
        <f>Daily_Data[[#This Row],[Rooms_Occupied]] * (SUMIFS(Expense_master[Housekeeping_Laundy],Expense_master[Month_Key],Daily_Data[[#This Row],[Month_key]]) / SUMIFS(Occupancy_table[Monthly_rooms_Occupied],Occupancy_table[Month_Key],Daily_Data[[#This Row],[Month_key]]))</f>
        <v>246.15384615384616</v>
      </c>
      <c r="N64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1380.5235136476426</v>
      </c>
      <c r="O649" s="10">
        <f>SUMIFS(Expense_master[Monthly_Maintenance],Expense_master[Month_Key],Daily_Data[[#This Row],[Month_key]]) / SUMIFS(Expense_master[Days_in_Month],Expense_master[Month_Key], Daily_Data[[#This Row],[Month_key]])</f>
        <v>645.16129032258061</v>
      </c>
      <c r="P649" s="10">
        <f xml:space="preserve"> Daily_Data[[#This Row],[OTA Commision]] + Daily_Data[[#This Row],[Daily_Rent]]+Daily_Data[[#This Row],[Daily_Staff]]+Daily_Data[[#This Row],[Daily_HK]]+Daily_Data[[#This Row],[Daily_Electricity]] + Daily_Data[[#This Row],[Daily Maintenance]]</f>
        <v>15072.499295285361</v>
      </c>
      <c r="Q649" s="10">
        <f>Daily_Data[[#This Row],[Total_Sales]]-Daily_Data[[#This Row],[Total_Daily_Expense]]</f>
        <v>-3808.4992952853609</v>
      </c>
      <c r="R649" s="10">
        <f>Daily_Data[[#This Row],[Total_Sales]]/Daily_Data[[#This Row],[Rooms_Occupied]]</f>
        <v>1408</v>
      </c>
      <c r="S649" s="10">
        <f>Daily_Data[[#This Row],[Total_Sales]] / Daily_Data[[#This Row],[Max_rooms]]</f>
        <v>804.57142857142856</v>
      </c>
    </row>
    <row r="650" spans="1:19" x14ac:dyDescent="0.25">
      <c r="A650" s="6">
        <v>45575</v>
      </c>
      <c r="B650" s="20">
        <f>DATE(YEAR(Daily_Data[[#This Row],[Date]]), MONTH(Daily_Data[[#This Row],[Date]]), 1)</f>
        <v>45566</v>
      </c>
      <c r="C650" s="20" t="str">
        <f>TEXT(Daily_Data[[#This Row],[Month_key]],"mmmm")</f>
        <v>October</v>
      </c>
      <c r="D650" s="20" t="str">
        <f>TEXT(Daily_Data[[#This Row],[Month_key]],"yyyy")</f>
        <v>2024</v>
      </c>
      <c r="E650" s="7">
        <v>9</v>
      </c>
      <c r="F650" s="7">
        <v>14</v>
      </c>
      <c r="G650" s="8">
        <f>Daily_Data[[#This Row],[Rooms_Occupied]]/F650</f>
        <v>0.6428571428571429</v>
      </c>
      <c r="H650" s="7">
        <v>1549</v>
      </c>
      <c r="I650" s="7">
        <f>Daily_Data[[#This Row],[Room_rate]]*Daily_Data[[#This Row],[Rooms_Occupied]]</f>
        <v>13941</v>
      </c>
      <c r="J650" s="10">
        <f>Daily_Data[[#This Row],[Total_Sales]] * 0.22</f>
        <v>3067.02</v>
      </c>
      <c r="K650" s="10">
        <f>INDEX(Expense_master[Monthly_Rent],MATCH(Daily_Data[[#This Row],[Month_key]],Expense_master[Month_Key],0)) / INDEX(Expense_master[Days_in_Month],MATCH(Daily_Data[[#This Row],[Month_key]],Expense_master[Month_Key],0))</f>
        <v>8064.5161290322585</v>
      </c>
      <c r="L650" s="10">
        <f>SUMIFS(Expense_master[Staff_Salary],Expense_master[Month_Key],Daily_Data[[#This Row],[Month_key]]) / SUMIFS(Expense_master[Days_in_Month],Expense_master[Month_Key],Daily_Data[[#This Row],[Month_key]])</f>
        <v>2258.0645161290322</v>
      </c>
      <c r="M650" s="10">
        <f>Daily_Data[[#This Row],[Rooms_Occupied]] * (SUMIFS(Expense_master[Housekeeping_Laundy],Expense_master[Month_Key],Daily_Data[[#This Row],[Month_key]]) / SUMIFS(Occupancy_table[Monthly_rooms_Occupied],Occupancy_table[Month_Key],Daily_Data[[#This Row],[Month_key]]))</f>
        <v>276.92307692307691</v>
      </c>
      <c r="N65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50" s="10">
        <f>SUMIFS(Expense_master[Monthly_Maintenance],Expense_master[Month_Key],Daily_Data[[#This Row],[Month_key]]) / SUMIFS(Expense_master[Days_in_Month],Expense_master[Month_Key], Daily_Data[[#This Row],[Month_key]])</f>
        <v>645.16129032258061</v>
      </c>
      <c r="P650" s="10">
        <f xml:space="preserve"> Daily_Data[[#This Row],[OTA Commision]] + Daily_Data[[#This Row],[Daily_Rent]]+Daily_Data[[#This Row],[Daily_Staff]]+Daily_Data[[#This Row],[Daily_HK]]+Daily_Data[[#This Row],[Daily_Electricity]] + Daily_Data[[#This Row],[Daily Maintenance]]</f>
        <v>15784.309449131513</v>
      </c>
      <c r="Q650" s="10">
        <f>Daily_Data[[#This Row],[Total_Sales]]-Daily_Data[[#This Row],[Total_Daily_Expense]]</f>
        <v>-1843.3094491315132</v>
      </c>
      <c r="R650" s="10">
        <f>Daily_Data[[#This Row],[Total_Sales]]/Daily_Data[[#This Row],[Rooms_Occupied]]</f>
        <v>1549</v>
      </c>
      <c r="S650" s="10">
        <f>Daily_Data[[#This Row],[Total_Sales]] / Daily_Data[[#This Row],[Max_rooms]]</f>
        <v>995.78571428571433</v>
      </c>
    </row>
    <row r="651" spans="1:19" x14ac:dyDescent="0.25">
      <c r="A651" s="6">
        <v>45576</v>
      </c>
      <c r="B651" s="20">
        <f>DATE(YEAR(Daily_Data[[#This Row],[Date]]), MONTH(Daily_Data[[#This Row],[Date]]), 1)</f>
        <v>45566</v>
      </c>
      <c r="C651" s="20" t="str">
        <f>TEXT(Daily_Data[[#This Row],[Month_key]],"mmmm")</f>
        <v>October</v>
      </c>
      <c r="D651" s="20" t="str">
        <f>TEXT(Daily_Data[[#This Row],[Month_key]],"yyyy")</f>
        <v>2024</v>
      </c>
      <c r="E651" s="7">
        <v>14</v>
      </c>
      <c r="F651" s="7">
        <v>14</v>
      </c>
      <c r="G651" s="8">
        <f>Daily_Data[[#This Row],[Rooms_Occupied]]/F651</f>
        <v>1</v>
      </c>
      <c r="H651" s="7">
        <v>1661</v>
      </c>
      <c r="I651" s="7">
        <f>Daily_Data[[#This Row],[Room_rate]]*Daily_Data[[#This Row],[Rooms_Occupied]]</f>
        <v>23254</v>
      </c>
      <c r="J651" s="10">
        <f>Daily_Data[[#This Row],[Total_Sales]] * 0.22</f>
        <v>5115.88</v>
      </c>
      <c r="K651" s="10">
        <f>INDEX(Expense_master[Monthly_Rent],MATCH(Daily_Data[[#This Row],[Month_key]],Expense_master[Month_Key],0)) / INDEX(Expense_master[Days_in_Month],MATCH(Daily_Data[[#This Row],[Month_key]],Expense_master[Month_Key],0))</f>
        <v>8064.5161290322585</v>
      </c>
      <c r="L651" s="10">
        <f>SUMIFS(Expense_master[Staff_Salary],Expense_master[Month_Key],Daily_Data[[#This Row],[Month_key]]) / SUMIFS(Expense_master[Days_in_Month],Expense_master[Month_Key],Daily_Data[[#This Row],[Month_key]])</f>
        <v>2258.0645161290322</v>
      </c>
      <c r="M651" s="10">
        <f>Daily_Data[[#This Row],[Rooms_Occupied]] * (SUMIFS(Expense_master[Housekeeping_Laundy],Expense_master[Month_Key],Daily_Data[[#This Row],[Month_key]]) / SUMIFS(Occupancy_table[Monthly_rooms_Occupied],Occupancy_table[Month_Key],Daily_Data[[#This Row],[Month_key]]))</f>
        <v>430.76923076923077</v>
      </c>
      <c r="N65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1933.1290521091812</v>
      </c>
      <c r="O651" s="10">
        <f>SUMIFS(Expense_master[Monthly_Maintenance],Expense_master[Month_Key],Daily_Data[[#This Row],[Month_key]]) / SUMIFS(Expense_master[Days_in_Month],Expense_master[Month_Key], Daily_Data[[#This Row],[Month_key]])</f>
        <v>645.16129032258061</v>
      </c>
      <c r="P651" s="10">
        <f xml:space="preserve"> Daily_Data[[#This Row],[OTA Commision]] + Daily_Data[[#This Row],[Daily_Rent]]+Daily_Data[[#This Row],[Daily_Staff]]+Daily_Data[[#This Row],[Daily_HK]]+Daily_Data[[#This Row],[Daily_Electricity]] + Daily_Data[[#This Row],[Daily Maintenance]]</f>
        <v>18447.520218362282</v>
      </c>
      <c r="Q651" s="10">
        <f>Daily_Data[[#This Row],[Total_Sales]]-Daily_Data[[#This Row],[Total_Daily_Expense]]</f>
        <v>4806.4797816377177</v>
      </c>
      <c r="R651" s="10">
        <f>Daily_Data[[#This Row],[Total_Sales]]/Daily_Data[[#This Row],[Rooms_Occupied]]</f>
        <v>1661</v>
      </c>
      <c r="S651" s="10">
        <f>Daily_Data[[#This Row],[Total_Sales]] / Daily_Data[[#This Row],[Max_rooms]]</f>
        <v>1661</v>
      </c>
    </row>
    <row r="652" spans="1:19" x14ac:dyDescent="0.25">
      <c r="A652" s="6">
        <v>45577</v>
      </c>
      <c r="B652" s="20">
        <f>DATE(YEAR(Daily_Data[[#This Row],[Date]]), MONTH(Daily_Data[[#This Row],[Date]]), 1)</f>
        <v>45566</v>
      </c>
      <c r="C652" s="20" t="str">
        <f>TEXT(Daily_Data[[#This Row],[Month_key]],"mmmm")</f>
        <v>October</v>
      </c>
      <c r="D652" s="20" t="str">
        <f>TEXT(Daily_Data[[#This Row],[Month_key]],"yyyy")</f>
        <v>2024</v>
      </c>
      <c r="E652" s="7">
        <v>10</v>
      </c>
      <c r="F652" s="7">
        <v>14</v>
      </c>
      <c r="G652" s="8">
        <f>Daily_Data[[#This Row],[Rooms_Occupied]]/F652</f>
        <v>0.7142857142857143</v>
      </c>
      <c r="H652" s="7">
        <v>1585</v>
      </c>
      <c r="I652" s="7">
        <f>Daily_Data[[#This Row],[Room_rate]]*Daily_Data[[#This Row],[Rooms_Occupied]]</f>
        <v>15850</v>
      </c>
      <c r="J652" s="10">
        <f>Daily_Data[[#This Row],[Total_Sales]] * 0.22</f>
        <v>3487</v>
      </c>
      <c r="K652" s="10">
        <f>INDEX(Expense_master[Monthly_Rent],MATCH(Daily_Data[[#This Row],[Month_key]],Expense_master[Month_Key],0)) / INDEX(Expense_master[Days_in_Month],MATCH(Daily_Data[[#This Row],[Month_key]],Expense_master[Month_Key],0))</f>
        <v>8064.5161290322585</v>
      </c>
      <c r="L652" s="10">
        <f>SUMIFS(Expense_master[Staff_Salary],Expense_master[Month_Key],Daily_Data[[#This Row],[Month_key]]) / SUMIFS(Expense_master[Days_in_Month],Expense_master[Month_Key],Daily_Data[[#This Row],[Month_key]])</f>
        <v>2258.0645161290322</v>
      </c>
      <c r="M652" s="10">
        <f>Daily_Data[[#This Row],[Rooms_Occupied]] * (SUMIFS(Expense_master[Housekeeping_Laundy],Expense_master[Month_Key],Daily_Data[[#This Row],[Month_key]]) / SUMIFS(Occupancy_table[Monthly_rooms_Occupied],Occupancy_table[Month_Key],Daily_Data[[#This Row],[Month_key]]))</f>
        <v>307.69230769230768</v>
      </c>
      <c r="N65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1564.725359801489</v>
      </c>
      <c r="O652" s="10">
        <f>SUMIFS(Expense_master[Monthly_Maintenance],Expense_master[Month_Key],Daily_Data[[#This Row],[Month_key]]) / SUMIFS(Expense_master[Days_in_Month],Expense_master[Month_Key], Daily_Data[[#This Row],[Month_key]])</f>
        <v>645.16129032258061</v>
      </c>
      <c r="P652" s="10">
        <f xml:space="preserve"> Daily_Data[[#This Row],[OTA Commision]] + Daily_Data[[#This Row],[Daily_Rent]]+Daily_Data[[#This Row],[Daily_Staff]]+Daily_Data[[#This Row],[Daily_HK]]+Daily_Data[[#This Row],[Daily_Electricity]] + Daily_Data[[#This Row],[Daily Maintenance]]</f>
        <v>16327.159602977668</v>
      </c>
      <c r="Q652" s="10">
        <f>Daily_Data[[#This Row],[Total_Sales]]-Daily_Data[[#This Row],[Total_Daily_Expense]]</f>
        <v>-477.15960297766833</v>
      </c>
      <c r="R652" s="10">
        <f>Daily_Data[[#This Row],[Total_Sales]]/Daily_Data[[#This Row],[Rooms_Occupied]]</f>
        <v>1585</v>
      </c>
      <c r="S652" s="10">
        <f>Daily_Data[[#This Row],[Total_Sales]] / Daily_Data[[#This Row],[Max_rooms]]</f>
        <v>1132.1428571428571</v>
      </c>
    </row>
    <row r="653" spans="1:19" x14ac:dyDescent="0.25">
      <c r="A653" s="6">
        <v>45578</v>
      </c>
      <c r="B653" s="20">
        <f>DATE(YEAR(Daily_Data[[#This Row],[Date]]), MONTH(Daily_Data[[#This Row],[Date]]), 1)</f>
        <v>45566</v>
      </c>
      <c r="C653" s="20" t="str">
        <f>TEXT(Daily_Data[[#This Row],[Month_key]],"mmmm")</f>
        <v>October</v>
      </c>
      <c r="D653" s="20" t="str">
        <f>TEXT(Daily_Data[[#This Row],[Month_key]],"yyyy")</f>
        <v>2024</v>
      </c>
      <c r="E653" s="7">
        <v>9</v>
      </c>
      <c r="F653" s="7">
        <v>14</v>
      </c>
      <c r="G653" s="8">
        <f>Daily_Data[[#This Row],[Rooms_Occupied]]/F653</f>
        <v>0.6428571428571429</v>
      </c>
      <c r="H653" s="7">
        <v>1684</v>
      </c>
      <c r="I653" s="7">
        <f>Daily_Data[[#This Row],[Room_rate]]*Daily_Data[[#This Row],[Rooms_Occupied]]</f>
        <v>15156</v>
      </c>
      <c r="J653" s="10">
        <f>Daily_Data[[#This Row],[Total_Sales]] * 0.22</f>
        <v>3334.32</v>
      </c>
      <c r="K653" s="10">
        <f>INDEX(Expense_master[Monthly_Rent],MATCH(Daily_Data[[#This Row],[Month_key]],Expense_master[Month_Key],0)) / INDEX(Expense_master[Days_in_Month],MATCH(Daily_Data[[#This Row],[Month_key]],Expense_master[Month_Key],0))</f>
        <v>8064.5161290322585</v>
      </c>
      <c r="L653" s="10">
        <f>SUMIFS(Expense_master[Staff_Salary],Expense_master[Month_Key],Daily_Data[[#This Row],[Month_key]]) / SUMIFS(Expense_master[Days_in_Month],Expense_master[Month_Key],Daily_Data[[#This Row],[Month_key]])</f>
        <v>2258.0645161290322</v>
      </c>
      <c r="M653" s="10">
        <f>Daily_Data[[#This Row],[Rooms_Occupied]] * (SUMIFS(Expense_master[Housekeeping_Laundy],Expense_master[Month_Key],Daily_Data[[#This Row],[Month_key]]) / SUMIFS(Occupancy_table[Monthly_rooms_Occupied],Occupancy_table[Month_Key],Daily_Data[[#This Row],[Month_key]]))</f>
        <v>276.92307692307691</v>
      </c>
      <c r="N65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53" s="10">
        <f>SUMIFS(Expense_master[Monthly_Maintenance],Expense_master[Month_Key],Daily_Data[[#This Row],[Month_key]]) / SUMIFS(Expense_master[Days_in_Month],Expense_master[Month_Key], Daily_Data[[#This Row],[Month_key]])</f>
        <v>645.16129032258061</v>
      </c>
      <c r="P653" s="10">
        <f xml:space="preserve"> Daily_Data[[#This Row],[OTA Commision]] + Daily_Data[[#This Row],[Daily_Rent]]+Daily_Data[[#This Row],[Daily_Staff]]+Daily_Data[[#This Row],[Daily_HK]]+Daily_Data[[#This Row],[Daily_Electricity]] + Daily_Data[[#This Row],[Daily Maintenance]]</f>
        <v>16051.609449131514</v>
      </c>
      <c r="Q653" s="10">
        <f>Daily_Data[[#This Row],[Total_Sales]]-Daily_Data[[#This Row],[Total_Daily_Expense]]</f>
        <v>-895.60944913151434</v>
      </c>
      <c r="R653" s="10">
        <f>Daily_Data[[#This Row],[Total_Sales]]/Daily_Data[[#This Row],[Rooms_Occupied]]</f>
        <v>1684</v>
      </c>
      <c r="S653" s="10">
        <f>Daily_Data[[#This Row],[Total_Sales]] / Daily_Data[[#This Row],[Max_rooms]]</f>
        <v>1082.5714285714287</v>
      </c>
    </row>
    <row r="654" spans="1:19" x14ac:dyDescent="0.25">
      <c r="A654" s="6">
        <v>45579</v>
      </c>
      <c r="B654" s="20">
        <f>DATE(YEAR(Daily_Data[[#This Row],[Date]]), MONTH(Daily_Data[[#This Row],[Date]]), 1)</f>
        <v>45566</v>
      </c>
      <c r="C654" s="20" t="str">
        <f>TEXT(Daily_Data[[#This Row],[Month_key]],"mmmm")</f>
        <v>October</v>
      </c>
      <c r="D654" s="20" t="str">
        <f>TEXT(Daily_Data[[#This Row],[Month_key]],"yyyy")</f>
        <v>2024</v>
      </c>
      <c r="E654" s="7">
        <v>12</v>
      </c>
      <c r="F654" s="7">
        <v>14</v>
      </c>
      <c r="G654" s="8">
        <f>Daily_Data[[#This Row],[Rooms_Occupied]]/F654</f>
        <v>0.8571428571428571</v>
      </c>
      <c r="H654" s="7">
        <v>1947</v>
      </c>
      <c r="I654" s="7">
        <f>Daily_Data[[#This Row],[Room_rate]]*Daily_Data[[#This Row],[Rooms_Occupied]]</f>
        <v>23364</v>
      </c>
      <c r="J654" s="10">
        <f>Daily_Data[[#This Row],[Total_Sales]] * 0.22</f>
        <v>5140.08</v>
      </c>
      <c r="K654" s="10">
        <f>INDEX(Expense_master[Monthly_Rent],MATCH(Daily_Data[[#This Row],[Month_key]],Expense_master[Month_Key],0)) / INDEX(Expense_master[Days_in_Month],MATCH(Daily_Data[[#This Row],[Month_key]],Expense_master[Month_Key],0))</f>
        <v>8064.5161290322585</v>
      </c>
      <c r="L654" s="10">
        <f>SUMIFS(Expense_master[Staff_Salary],Expense_master[Month_Key],Daily_Data[[#This Row],[Month_key]]) / SUMIFS(Expense_master[Days_in_Month],Expense_master[Month_Key],Daily_Data[[#This Row],[Month_key]])</f>
        <v>2258.0645161290322</v>
      </c>
      <c r="M654" s="10">
        <f>Daily_Data[[#This Row],[Rooms_Occupied]] * (SUMIFS(Expense_master[Housekeeping_Laundy],Expense_master[Month_Key],Daily_Data[[#This Row],[Month_key]]) / SUMIFS(Occupancy_table[Monthly_rooms_Occupied],Occupancy_table[Month_Key],Daily_Data[[#This Row],[Month_key]]))</f>
        <v>369.23076923076923</v>
      </c>
      <c r="N65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1748.927205955335</v>
      </c>
      <c r="O654" s="10">
        <f>SUMIFS(Expense_master[Monthly_Maintenance],Expense_master[Month_Key],Daily_Data[[#This Row],[Month_key]]) / SUMIFS(Expense_master[Days_in_Month],Expense_master[Month_Key], Daily_Data[[#This Row],[Month_key]])</f>
        <v>645.16129032258061</v>
      </c>
      <c r="P654" s="10">
        <f xml:space="preserve"> Daily_Data[[#This Row],[OTA Commision]] + Daily_Data[[#This Row],[Daily_Rent]]+Daily_Data[[#This Row],[Daily_Staff]]+Daily_Data[[#This Row],[Daily_HK]]+Daily_Data[[#This Row],[Daily_Electricity]] + Daily_Data[[#This Row],[Daily Maintenance]]</f>
        <v>18225.979910669976</v>
      </c>
      <c r="Q654" s="10">
        <f>Daily_Data[[#This Row],[Total_Sales]]-Daily_Data[[#This Row],[Total_Daily_Expense]]</f>
        <v>5138.0200893300243</v>
      </c>
      <c r="R654" s="10">
        <f>Daily_Data[[#This Row],[Total_Sales]]/Daily_Data[[#This Row],[Rooms_Occupied]]</f>
        <v>1947</v>
      </c>
      <c r="S654" s="10">
        <f>Daily_Data[[#This Row],[Total_Sales]] / Daily_Data[[#This Row],[Max_rooms]]</f>
        <v>1668.8571428571429</v>
      </c>
    </row>
    <row r="655" spans="1:19" x14ac:dyDescent="0.25">
      <c r="A655" s="6">
        <v>45580</v>
      </c>
      <c r="B655" s="20">
        <f>DATE(YEAR(Daily_Data[[#This Row],[Date]]), MONTH(Daily_Data[[#This Row],[Date]]), 1)</f>
        <v>45566</v>
      </c>
      <c r="C655" s="20" t="str">
        <f>TEXT(Daily_Data[[#This Row],[Month_key]],"mmmm")</f>
        <v>October</v>
      </c>
      <c r="D655" s="20" t="str">
        <f>TEXT(Daily_Data[[#This Row],[Month_key]],"yyyy")</f>
        <v>2024</v>
      </c>
      <c r="E655" s="7">
        <v>14</v>
      </c>
      <c r="F655" s="7">
        <v>14</v>
      </c>
      <c r="G655" s="8">
        <f>Daily_Data[[#This Row],[Rooms_Occupied]]/F655</f>
        <v>1</v>
      </c>
      <c r="H655" s="7">
        <v>1093</v>
      </c>
      <c r="I655" s="7">
        <f>Daily_Data[[#This Row],[Room_rate]]*Daily_Data[[#This Row],[Rooms_Occupied]]</f>
        <v>15302</v>
      </c>
      <c r="J655" s="10">
        <f>Daily_Data[[#This Row],[Total_Sales]] * 0.22</f>
        <v>3366.44</v>
      </c>
      <c r="K655" s="10">
        <f>INDEX(Expense_master[Monthly_Rent],MATCH(Daily_Data[[#This Row],[Month_key]],Expense_master[Month_Key],0)) / INDEX(Expense_master[Days_in_Month],MATCH(Daily_Data[[#This Row],[Month_key]],Expense_master[Month_Key],0))</f>
        <v>8064.5161290322585</v>
      </c>
      <c r="L655" s="10">
        <f>SUMIFS(Expense_master[Staff_Salary],Expense_master[Month_Key],Daily_Data[[#This Row],[Month_key]]) / SUMIFS(Expense_master[Days_in_Month],Expense_master[Month_Key],Daily_Data[[#This Row],[Month_key]])</f>
        <v>2258.0645161290322</v>
      </c>
      <c r="M655" s="10">
        <f>Daily_Data[[#This Row],[Rooms_Occupied]] * (SUMIFS(Expense_master[Housekeeping_Laundy],Expense_master[Month_Key],Daily_Data[[#This Row],[Month_key]]) / SUMIFS(Occupancy_table[Monthly_rooms_Occupied],Occupancy_table[Month_Key],Daily_Data[[#This Row],[Month_key]]))</f>
        <v>430.76923076923077</v>
      </c>
      <c r="N65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1933.1290521091812</v>
      </c>
      <c r="O655" s="10">
        <f>SUMIFS(Expense_master[Monthly_Maintenance],Expense_master[Month_Key],Daily_Data[[#This Row],[Month_key]]) / SUMIFS(Expense_master[Days_in_Month],Expense_master[Month_Key], Daily_Data[[#This Row],[Month_key]])</f>
        <v>645.16129032258061</v>
      </c>
      <c r="P655" s="10">
        <f xml:space="preserve"> Daily_Data[[#This Row],[OTA Commision]] + Daily_Data[[#This Row],[Daily_Rent]]+Daily_Data[[#This Row],[Daily_Staff]]+Daily_Data[[#This Row],[Daily_HK]]+Daily_Data[[#This Row],[Daily_Electricity]] + Daily_Data[[#This Row],[Daily Maintenance]]</f>
        <v>16698.080218362284</v>
      </c>
      <c r="Q655" s="10">
        <f>Daily_Data[[#This Row],[Total_Sales]]-Daily_Data[[#This Row],[Total_Daily_Expense]]</f>
        <v>-1396.0802183622836</v>
      </c>
      <c r="R655" s="10">
        <f>Daily_Data[[#This Row],[Total_Sales]]/Daily_Data[[#This Row],[Rooms_Occupied]]</f>
        <v>1093</v>
      </c>
      <c r="S655" s="10">
        <f>Daily_Data[[#This Row],[Total_Sales]] / Daily_Data[[#This Row],[Max_rooms]]</f>
        <v>1093</v>
      </c>
    </row>
    <row r="656" spans="1:19" x14ac:dyDescent="0.25">
      <c r="A656" s="6">
        <v>45581</v>
      </c>
      <c r="B656" s="20">
        <f>DATE(YEAR(Daily_Data[[#This Row],[Date]]), MONTH(Daily_Data[[#This Row],[Date]]), 1)</f>
        <v>45566</v>
      </c>
      <c r="C656" s="20" t="str">
        <f>TEXT(Daily_Data[[#This Row],[Month_key]],"mmmm")</f>
        <v>October</v>
      </c>
      <c r="D656" s="20" t="str">
        <f>TEXT(Daily_Data[[#This Row],[Month_key]],"yyyy")</f>
        <v>2024</v>
      </c>
      <c r="E656" s="7">
        <v>9</v>
      </c>
      <c r="F656" s="7">
        <v>14</v>
      </c>
      <c r="G656" s="8">
        <f>Daily_Data[[#This Row],[Rooms_Occupied]]/F656</f>
        <v>0.6428571428571429</v>
      </c>
      <c r="H656" s="7">
        <v>1772</v>
      </c>
      <c r="I656" s="7">
        <f>Daily_Data[[#This Row],[Room_rate]]*Daily_Data[[#This Row],[Rooms_Occupied]]</f>
        <v>15948</v>
      </c>
      <c r="J656" s="10">
        <f>Daily_Data[[#This Row],[Total_Sales]] * 0.22</f>
        <v>3508.56</v>
      </c>
      <c r="K656" s="10">
        <f>INDEX(Expense_master[Monthly_Rent],MATCH(Daily_Data[[#This Row],[Month_key]],Expense_master[Month_Key],0)) / INDEX(Expense_master[Days_in_Month],MATCH(Daily_Data[[#This Row],[Month_key]],Expense_master[Month_Key],0))</f>
        <v>8064.5161290322585</v>
      </c>
      <c r="L656" s="10">
        <f>SUMIFS(Expense_master[Staff_Salary],Expense_master[Month_Key],Daily_Data[[#This Row],[Month_key]]) / SUMIFS(Expense_master[Days_in_Month],Expense_master[Month_Key],Daily_Data[[#This Row],[Month_key]])</f>
        <v>2258.0645161290322</v>
      </c>
      <c r="M656" s="10">
        <f>Daily_Data[[#This Row],[Rooms_Occupied]] * (SUMIFS(Expense_master[Housekeeping_Laundy],Expense_master[Month_Key],Daily_Data[[#This Row],[Month_key]]) / SUMIFS(Occupancy_table[Monthly_rooms_Occupied],Occupancy_table[Month_Key],Daily_Data[[#This Row],[Month_key]]))</f>
        <v>276.92307692307691</v>
      </c>
      <c r="N65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56" s="10">
        <f>SUMIFS(Expense_master[Monthly_Maintenance],Expense_master[Month_Key],Daily_Data[[#This Row],[Month_key]]) / SUMIFS(Expense_master[Days_in_Month],Expense_master[Month_Key], Daily_Data[[#This Row],[Month_key]])</f>
        <v>645.16129032258061</v>
      </c>
      <c r="P656" s="10">
        <f xml:space="preserve"> Daily_Data[[#This Row],[OTA Commision]] + Daily_Data[[#This Row],[Daily_Rent]]+Daily_Data[[#This Row],[Daily_Staff]]+Daily_Data[[#This Row],[Daily_HK]]+Daily_Data[[#This Row],[Daily_Electricity]] + Daily_Data[[#This Row],[Daily Maintenance]]</f>
        <v>16225.849449131514</v>
      </c>
      <c r="Q656" s="10">
        <f>Daily_Data[[#This Row],[Total_Sales]]-Daily_Data[[#This Row],[Total_Daily_Expense]]</f>
        <v>-277.84944913151412</v>
      </c>
      <c r="R656" s="10">
        <f>Daily_Data[[#This Row],[Total_Sales]]/Daily_Data[[#This Row],[Rooms_Occupied]]</f>
        <v>1772</v>
      </c>
      <c r="S656" s="10">
        <f>Daily_Data[[#This Row],[Total_Sales]] / Daily_Data[[#This Row],[Max_rooms]]</f>
        <v>1139.1428571428571</v>
      </c>
    </row>
    <row r="657" spans="1:19" x14ac:dyDescent="0.25">
      <c r="A657" s="6">
        <v>45582</v>
      </c>
      <c r="B657" s="20">
        <f>DATE(YEAR(Daily_Data[[#This Row],[Date]]), MONTH(Daily_Data[[#This Row],[Date]]), 1)</f>
        <v>45566</v>
      </c>
      <c r="C657" s="20" t="str">
        <f>TEXT(Daily_Data[[#This Row],[Month_key]],"mmmm")</f>
        <v>October</v>
      </c>
      <c r="D657" s="20" t="str">
        <f>TEXT(Daily_Data[[#This Row],[Month_key]],"yyyy")</f>
        <v>2024</v>
      </c>
      <c r="E657" s="7">
        <v>8</v>
      </c>
      <c r="F657" s="7">
        <v>14</v>
      </c>
      <c r="G657" s="8">
        <f>Daily_Data[[#This Row],[Rooms_Occupied]]/F657</f>
        <v>0.5714285714285714</v>
      </c>
      <c r="H657" s="7">
        <v>1043</v>
      </c>
      <c r="I657" s="7">
        <f>Daily_Data[[#This Row],[Room_rate]]*Daily_Data[[#This Row],[Rooms_Occupied]]</f>
        <v>8344</v>
      </c>
      <c r="J657" s="10">
        <f>Daily_Data[[#This Row],[Total_Sales]] * 0.22</f>
        <v>1835.68</v>
      </c>
      <c r="K657" s="10">
        <f>INDEX(Expense_master[Monthly_Rent],MATCH(Daily_Data[[#This Row],[Month_key]],Expense_master[Month_Key],0)) / INDEX(Expense_master[Days_in_Month],MATCH(Daily_Data[[#This Row],[Month_key]],Expense_master[Month_Key],0))</f>
        <v>8064.5161290322585</v>
      </c>
      <c r="L657" s="10">
        <f>SUMIFS(Expense_master[Staff_Salary],Expense_master[Month_Key],Daily_Data[[#This Row],[Month_key]]) / SUMIFS(Expense_master[Days_in_Month],Expense_master[Month_Key],Daily_Data[[#This Row],[Month_key]])</f>
        <v>2258.0645161290322</v>
      </c>
      <c r="M657" s="10">
        <f>Daily_Data[[#This Row],[Rooms_Occupied]] * (SUMIFS(Expense_master[Housekeeping_Laundy],Expense_master[Month_Key],Daily_Data[[#This Row],[Month_key]]) / SUMIFS(Occupancy_table[Monthly_rooms_Occupied],Occupancy_table[Month_Key],Daily_Data[[#This Row],[Month_key]]))</f>
        <v>246.15384615384616</v>
      </c>
      <c r="N65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1380.5235136476426</v>
      </c>
      <c r="O657" s="10">
        <f>SUMIFS(Expense_master[Monthly_Maintenance],Expense_master[Month_Key],Daily_Data[[#This Row],[Month_key]]) / SUMIFS(Expense_master[Days_in_Month],Expense_master[Month_Key], Daily_Data[[#This Row],[Month_key]])</f>
        <v>645.16129032258061</v>
      </c>
      <c r="P657" s="10">
        <f xml:space="preserve"> Daily_Data[[#This Row],[OTA Commision]] + Daily_Data[[#This Row],[Daily_Rent]]+Daily_Data[[#This Row],[Daily_Staff]]+Daily_Data[[#This Row],[Daily_HK]]+Daily_Data[[#This Row],[Daily_Electricity]] + Daily_Data[[#This Row],[Daily Maintenance]]</f>
        <v>14430.099295285359</v>
      </c>
      <c r="Q657" s="10">
        <f>Daily_Data[[#This Row],[Total_Sales]]-Daily_Data[[#This Row],[Total_Daily_Expense]]</f>
        <v>-6086.0992952853594</v>
      </c>
      <c r="R657" s="10">
        <f>Daily_Data[[#This Row],[Total_Sales]]/Daily_Data[[#This Row],[Rooms_Occupied]]</f>
        <v>1043</v>
      </c>
      <c r="S657" s="10">
        <f>Daily_Data[[#This Row],[Total_Sales]] / Daily_Data[[#This Row],[Max_rooms]]</f>
        <v>596</v>
      </c>
    </row>
    <row r="658" spans="1:19" x14ac:dyDescent="0.25">
      <c r="A658" s="6">
        <v>45583</v>
      </c>
      <c r="B658" s="20">
        <f>DATE(YEAR(Daily_Data[[#This Row],[Date]]), MONTH(Daily_Data[[#This Row],[Date]]), 1)</f>
        <v>45566</v>
      </c>
      <c r="C658" s="20" t="str">
        <f>TEXT(Daily_Data[[#This Row],[Month_key]],"mmmm")</f>
        <v>October</v>
      </c>
      <c r="D658" s="20" t="str">
        <f>TEXT(Daily_Data[[#This Row],[Month_key]],"yyyy")</f>
        <v>2024</v>
      </c>
      <c r="E658" s="7">
        <v>12</v>
      </c>
      <c r="F658" s="7">
        <v>14</v>
      </c>
      <c r="G658" s="8">
        <f>Daily_Data[[#This Row],[Rooms_Occupied]]/F658</f>
        <v>0.8571428571428571</v>
      </c>
      <c r="H658" s="7">
        <v>1756</v>
      </c>
      <c r="I658" s="7">
        <f>Daily_Data[[#This Row],[Room_rate]]*Daily_Data[[#This Row],[Rooms_Occupied]]</f>
        <v>21072</v>
      </c>
      <c r="J658" s="10">
        <f>Daily_Data[[#This Row],[Total_Sales]] * 0.22</f>
        <v>4635.84</v>
      </c>
      <c r="K658" s="10">
        <f>INDEX(Expense_master[Monthly_Rent],MATCH(Daily_Data[[#This Row],[Month_key]],Expense_master[Month_Key],0)) / INDEX(Expense_master[Days_in_Month],MATCH(Daily_Data[[#This Row],[Month_key]],Expense_master[Month_Key],0))</f>
        <v>8064.5161290322585</v>
      </c>
      <c r="L658" s="10">
        <f>SUMIFS(Expense_master[Staff_Salary],Expense_master[Month_Key],Daily_Data[[#This Row],[Month_key]]) / SUMIFS(Expense_master[Days_in_Month],Expense_master[Month_Key],Daily_Data[[#This Row],[Month_key]])</f>
        <v>2258.0645161290322</v>
      </c>
      <c r="M658" s="10">
        <f>Daily_Data[[#This Row],[Rooms_Occupied]] * (SUMIFS(Expense_master[Housekeeping_Laundy],Expense_master[Month_Key],Daily_Data[[#This Row],[Month_key]]) / SUMIFS(Occupancy_table[Monthly_rooms_Occupied],Occupancy_table[Month_Key],Daily_Data[[#This Row],[Month_key]]))</f>
        <v>369.23076923076923</v>
      </c>
      <c r="N65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1748.927205955335</v>
      </c>
      <c r="O658" s="10">
        <f>SUMIFS(Expense_master[Monthly_Maintenance],Expense_master[Month_Key],Daily_Data[[#This Row],[Month_key]]) / SUMIFS(Expense_master[Days_in_Month],Expense_master[Month_Key], Daily_Data[[#This Row],[Month_key]])</f>
        <v>645.16129032258061</v>
      </c>
      <c r="P658" s="10">
        <f xml:space="preserve"> Daily_Data[[#This Row],[OTA Commision]] + Daily_Data[[#This Row],[Daily_Rent]]+Daily_Data[[#This Row],[Daily_Staff]]+Daily_Data[[#This Row],[Daily_HK]]+Daily_Data[[#This Row],[Daily_Electricity]] + Daily_Data[[#This Row],[Daily Maintenance]]</f>
        <v>17721.739910669974</v>
      </c>
      <c r="Q658" s="10">
        <f>Daily_Data[[#This Row],[Total_Sales]]-Daily_Data[[#This Row],[Total_Daily_Expense]]</f>
        <v>3350.2600893300259</v>
      </c>
      <c r="R658" s="10">
        <f>Daily_Data[[#This Row],[Total_Sales]]/Daily_Data[[#This Row],[Rooms_Occupied]]</f>
        <v>1756</v>
      </c>
      <c r="S658" s="10">
        <f>Daily_Data[[#This Row],[Total_Sales]] / Daily_Data[[#This Row],[Max_rooms]]</f>
        <v>1505.1428571428571</v>
      </c>
    </row>
    <row r="659" spans="1:19" x14ac:dyDescent="0.25">
      <c r="A659" s="6">
        <v>45584</v>
      </c>
      <c r="B659" s="20">
        <f>DATE(YEAR(Daily_Data[[#This Row],[Date]]), MONTH(Daily_Data[[#This Row],[Date]]), 1)</f>
        <v>45566</v>
      </c>
      <c r="C659" s="20" t="str">
        <f>TEXT(Daily_Data[[#This Row],[Month_key]],"mmmm")</f>
        <v>October</v>
      </c>
      <c r="D659" s="20" t="str">
        <f>TEXT(Daily_Data[[#This Row],[Month_key]],"yyyy")</f>
        <v>2024</v>
      </c>
      <c r="E659" s="7">
        <v>11</v>
      </c>
      <c r="F659" s="7">
        <v>14</v>
      </c>
      <c r="G659" s="8">
        <f>Daily_Data[[#This Row],[Rooms_Occupied]]/F659</f>
        <v>0.7857142857142857</v>
      </c>
      <c r="H659" s="7">
        <v>1050</v>
      </c>
      <c r="I659" s="7">
        <f>Daily_Data[[#This Row],[Room_rate]]*Daily_Data[[#This Row],[Rooms_Occupied]]</f>
        <v>11550</v>
      </c>
      <c r="J659" s="10">
        <f>Daily_Data[[#This Row],[Total_Sales]] * 0.22</f>
        <v>2541</v>
      </c>
      <c r="K659" s="10">
        <f>INDEX(Expense_master[Monthly_Rent],MATCH(Daily_Data[[#This Row],[Month_key]],Expense_master[Month_Key],0)) / INDEX(Expense_master[Days_in_Month],MATCH(Daily_Data[[#This Row],[Month_key]],Expense_master[Month_Key],0))</f>
        <v>8064.5161290322585</v>
      </c>
      <c r="L659" s="10">
        <f>SUMIFS(Expense_master[Staff_Salary],Expense_master[Month_Key],Daily_Data[[#This Row],[Month_key]]) / SUMIFS(Expense_master[Days_in_Month],Expense_master[Month_Key],Daily_Data[[#This Row],[Month_key]])</f>
        <v>2258.0645161290322</v>
      </c>
      <c r="M659" s="10">
        <f>Daily_Data[[#This Row],[Rooms_Occupied]] * (SUMIFS(Expense_master[Housekeeping_Laundy],Expense_master[Month_Key],Daily_Data[[#This Row],[Month_key]]) / SUMIFS(Occupancy_table[Monthly_rooms_Occupied],Occupancy_table[Month_Key],Daily_Data[[#This Row],[Month_key]]))</f>
        <v>338.46153846153845</v>
      </c>
      <c r="N65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1656.826282878412</v>
      </c>
      <c r="O659" s="10">
        <f>SUMIFS(Expense_master[Monthly_Maintenance],Expense_master[Month_Key],Daily_Data[[#This Row],[Month_key]]) / SUMIFS(Expense_master[Days_in_Month],Expense_master[Month_Key], Daily_Data[[#This Row],[Month_key]])</f>
        <v>645.16129032258061</v>
      </c>
      <c r="P659" s="10">
        <f xml:space="preserve"> Daily_Data[[#This Row],[OTA Commision]] + Daily_Data[[#This Row],[Daily_Rent]]+Daily_Data[[#This Row],[Daily_Staff]]+Daily_Data[[#This Row],[Daily_HK]]+Daily_Data[[#This Row],[Daily_Electricity]] + Daily_Data[[#This Row],[Daily Maintenance]]</f>
        <v>15504.029756823822</v>
      </c>
      <c r="Q659" s="10">
        <f>Daily_Data[[#This Row],[Total_Sales]]-Daily_Data[[#This Row],[Total_Daily_Expense]]</f>
        <v>-3954.029756823822</v>
      </c>
      <c r="R659" s="10">
        <f>Daily_Data[[#This Row],[Total_Sales]]/Daily_Data[[#This Row],[Rooms_Occupied]]</f>
        <v>1050</v>
      </c>
      <c r="S659" s="10">
        <f>Daily_Data[[#This Row],[Total_Sales]] / Daily_Data[[#This Row],[Max_rooms]]</f>
        <v>825</v>
      </c>
    </row>
    <row r="660" spans="1:19" x14ac:dyDescent="0.25">
      <c r="A660" s="6">
        <v>45585</v>
      </c>
      <c r="B660" s="20">
        <f>DATE(YEAR(Daily_Data[[#This Row],[Date]]), MONTH(Daily_Data[[#This Row],[Date]]), 1)</f>
        <v>45566</v>
      </c>
      <c r="C660" s="20" t="str">
        <f>TEXT(Daily_Data[[#This Row],[Month_key]],"mmmm")</f>
        <v>October</v>
      </c>
      <c r="D660" s="20" t="str">
        <f>TEXT(Daily_Data[[#This Row],[Month_key]],"yyyy")</f>
        <v>2024</v>
      </c>
      <c r="E660" s="7">
        <v>14</v>
      </c>
      <c r="F660" s="7">
        <v>14</v>
      </c>
      <c r="G660" s="8">
        <f>Daily_Data[[#This Row],[Rooms_Occupied]]/F660</f>
        <v>1</v>
      </c>
      <c r="H660" s="7">
        <v>1531</v>
      </c>
      <c r="I660" s="7">
        <f>Daily_Data[[#This Row],[Room_rate]]*Daily_Data[[#This Row],[Rooms_Occupied]]</f>
        <v>21434</v>
      </c>
      <c r="J660" s="10">
        <f>Daily_Data[[#This Row],[Total_Sales]] * 0.22</f>
        <v>4715.4800000000005</v>
      </c>
      <c r="K660" s="10">
        <f>INDEX(Expense_master[Monthly_Rent],MATCH(Daily_Data[[#This Row],[Month_key]],Expense_master[Month_Key],0)) / INDEX(Expense_master[Days_in_Month],MATCH(Daily_Data[[#This Row],[Month_key]],Expense_master[Month_Key],0))</f>
        <v>8064.5161290322585</v>
      </c>
      <c r="L660" s="10">
        <f>SUMIFS(Expense_master[Staff_Salary],Expense_master[Month_Key],Daily_Data[[#This Row],[Month_key]]) / SUMIFS(Expense_master[Days_in_Month],Expense_master[Month_Key],Daily_Data[[#This Row],[Month_key]])</f>
        <v>2258.0645161290322</v>
      </c>
      <c r="M660" s="10">
        <f>Daily_Data[[#This Row],[Rooms_Occupied]] * (SUMIFS(Expense_master[Housekeeping_Laundy],Expense_master[Month_Key],Daily_Data[[#This Row],[Month_key]]) / SUMIFS(Occupancy_table[Monthly_rooms_Occupied],Occupancy_table[Month_Key],Daily_Data[[#This Row],[Month_key]]))</f>
        <v>430.76923076923077</v>
      </c>
      <c r="N66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1933.1290521091812</v>
      </c>
      <c r="O660" s="10">
        <f>SUMIFS(Expense_master[Monthly_Maintenance],Expense_master[Month_Key],Daily_Data[[#This Row],[Month_key]]) / SUMIFS(Expense_master[Days_in_Month],Expense_master[Month_Key], Daily_Data[[#This Row],[Month_key]])</f>
        <v>645.16129032258061</v>
      </c>
      <c r="P660" s="10">
        <f xml:space="preserve"> Daily_Data[[#This Row],[OTA Commision]] + Daily_Data[[#This Row],[Daily_Rent]]+Daily_Data[[#This Row],[Daily_Staff]]+Daily_Data[[#This Row],[Daily_HK]]+Daily_Data[[#This Row],[Daily_Electricity]] + Daily_Data[[#This Row],[Daily Maintenance]]</f>
        <v>18047.120218362281</v>
      </c>
      <c r="Q660" s="10">
        <f>Daily_Data[[#This Row],[Total_Sales]]-Daily_Data[[#This Row],[Total_Daily_Expense]]</f>
        <v>3386.8797816377191</v>
      </c>
      <c r="R660" s="10">
        <f>Daily_Data[[#This Row],[Total_Sales]]/Daily_Data[[#This Row],[Rooms_Occupied]]</f>
        <v>1531</v>
      </c>
      <c r="S660" s="10">
        <f>Daily_Data[[#This Row],[Total_Sales]] / Daily_Data[[#This Row],[Max_rooms]]</f>
        <v>1531</v>
      </c>
    </row>
    <row r="661" spans="1:19" x14ac:dyDescent="0.25">
      <c r="A661" s="6">
        <v>45586</v>
      </c>
      <c r="B661" s="20">
        <f>DATE(YEAR(Daily_Data[[#This Row],[Date]]), MONTH(Daily_Data[[#This Row],[Date]]), 1)</f>
        <v>45566</v>
      </c>
      <c r="C661" s="20" t="str">
        <f>TEXT(Daily_Data[[#This Row],[Month_key]],"mmmm")</f>
        <v>October</v>
      </c>
      <c r="D661" s="20" t="str">
        <f>TEXT(Daily_Data[[#This Row],[Month_key]],"yyyy")</f>
        <v>2024</v>
      </c>
      <c r="E661" s="7">
        <v>9</v>
      </c>
      <c r="F661" s="7">
        <v>14</v>
      </c>
      <c r="G661" s="8">
        <f>Daily_Data[[#This Row],[Rooms_Occupied]]/F661</f>
        <v>0.6428571428571429</v>
      </c>
      <c r="H661" s="7">
        <v>1510</v>
      </c>
      <c r="I661" s="7">
        <f>Daily_Data[[#This Row],[Room_rate]]*Daily_Data[[#This Row],[Rooms_Occupied]]</f>
        <v>13590</v>
      </c>
      <c r="J661" s="10">
        <f>Daily_Data[[#This Row],[Total_Sales]] * 0.22</f>
        <v>2989.8</v>
      </c>
      <c r="K661" s="10">
        <f>INDEX(Expense_master[Monthly_Rent],MATCH(Daily_Data[[#This Row],[Month_key]],Expense_master[Month_Key],0)) / INDEX(Expense_master[Days_in_Month],MATCH(Daily_Data[[#This Row],[Month_key]],Expense_master[Month_Key],0))</f>
        <v>8064.5161290322585</v>
      </c>
      <c r="L661" s="10">
        <f>SUMIFS(Expense_master[Staff_Salary],Expense_master[Month_Key],Daily_Data[[#This Row],[Month_key]]) / SUMIFS(Expense_master[Days_in_Month],Expense_master[Month_Key],Daily_Data[[#This Row],[Month_key]])</f>
        <v>2258.0645161290322</v>
      </c>
      <c r="M661" s="10">
        <f>Daily_Data[[#This Row],[Rooms_Occupied]] * (SUMIFS(Expense_master[Housekeeping_Laundy],Expense_master[Month_Key],Daily_Data[[#This Row],[Month_key]]) / SUMIFS(Occupancy_table[Monthly_rooms_Occupied],Occupancy_table[Month_Key],Daily_Data[[#This Row],[Month_key]]))</f>
        <v>276.92307692307691</v>
      </c>
      <c r="N66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61" s="10">
        <f>SUMIFS(Expense_master[Monthly_Maintenance],Expense_master[Month_Key],Daily_Data[[#This Row],[Month_key]]) / SUMIFS(Expense_master[Days_in_Month],Expense_master[Month_Key], Daily_Data[[#This Row],[Month_key]])</f>
        <v>645.16129032258061</v>
      </c>
      <c r="P661" s="10">
        <f xml:space="preserve"> Daily_Data[[#This Row],[OTA Commision]] + Daily_Data[[#This Row],[Daily_Rent]]+Daily_Data[[#This Row],[Daily_Staff]]+Daily_Data[[#This Row],[Daily_HK]]+Daily_Data[[#This Row],[Daily_Electricity]] + Daily_Data[[#This Row],[Daily Maintenance]]</f>
        <v>15707.089449131514</v>
      </c>
      <c r="Q661" s="10">
        <f>Daily_Data[[#This Row],[Total_Sales]]-Daily_Data[[#This Row],[Total_Daily_Expense]]</f>
        <v>-2117.0894491315139</v>
      </c>
      <c r="R661" s="10">
        <f>Daily_Data[[#This Row],[Total_Sales]]/Daily_Data[[#This Row],[Rooms_Occupied]]</f>
        <v>1510</v>
      </c>
      <c r="S661" s="10">
        <f>Daily_Data[[#This Row],[Total_Sales]] / Daily_Data[[#This Row],[Max_rooms]]</f>
        <v>970.71428571428567</v>
      </c>
    </row>
    <row r="662" spans="1:19" x14ac:dyDescent="0.25">
      <c r="A662" s="6">
        <v>45587</v>
      </c>
      <c r="B662" s="20">
        <f>DATE(YEAR(Daily_Data[[#This Row],[Date]]), MONTH(Daily_Data[[#This Row],[Date]]), 1)</f>
        <v>45566</v>
      </c>
      <c r="C662" s="20" t="str">
        <f>TEXT(Daily_Data[[#This Row],[Month_key]],"mmmm")</f>
        <v>October</v>
      </c>
      <c r="D662" s="20" t="str">
        <f>TEXT(Daily_Data[[#This Row],[Month_key]],"yyyy")</f>
        <v>2024</v>
      </c>
      <c r="E662" s="7">
        <v>11</v>
      </c>
      <c r="F662" s="7">
        <v>14</v>
      </c>
      <c r="G662" s="8">
        <f>Daily_Data[[#This Row],[Rooms_Occupied]]/F662</f>
        <v>0.7857142857142857</v>
      </c>
      <c r="H662" s="7">
        <v>1312</v>
      </c>
      <c r="I662" s="7">
        <f>Daily_Data[[#This Row],[Room_rate]]*Daily_Data[[#This Row],[Rooms_Occupied]]</f>
        <v>14432</v>
      </c>
      <c r="J662" s="10">
        <f>Daily_Data[[#This Row],[Total_Sales]] * 0.22</f>
        <v>3175.04</v>
      </c>
      <c r="K662" s="10">
        <f>INDEX(Expense_master[Monthly_Rent],MATCH(Daily_Data[[#This Row],[Month_key]],Expense_master[Month_Key],0)) / INDEX(Expense_master[Days_in_Month],MATCH(Daily_Data[[#This Row],[Month_key]],Expense_master[Month_Key],0))</f>
        <v>8064.5161290322585</v>
      </c>
      <c r="L662" s="10">
        <f>SUMIFS(Expense_master[Staff_Salary],Expense_master[Month_Key],Daily_Data[[#This Row],[Month_key]]) / SUMIFS(Expense_master[Days_in_Month],Expense_master[Month_Key],Daily_Data[[#This Row],[Month_key]])</f>
        <v>2258.0645161290322</v>
      </c>
      <c r="M662" s="10">
        <f>Daily_Data[[#This Row],[Rooms_Occupied]] * (SUMIFS(Expense_master[Housekeeping_Laundy],Expense_master[Month_Key],Daily_Data[[#This Row],[Month_key]]) / SUMIFS(Occupancy_table[Monthly_rooms_Occupied],Occupancy_table[Month_Key],Daily_Data[[#This Row],[Month_key]]))</f>
        <v>338.46153846153845</v>
      </c>
      <c r="N66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1656.826282878412</v>
      </c>
      <c r="O662" s="10">
        <f>SUMIFS(Expense_master[Monthly_Maintenance],Expense_master[Month_Key],Daily_Data[[#This Row],[Month_key]]) / SUMIFS(Expense_master[Days_in_Month],Expense_master[Month_Key], Daily_Data[[#This Row],[Month_key]])</f>
        <v>645.16129032258061</v>
      </c>
      <c r="P662" s="10">
        <f xml:space="preserve"> Daily_Data[[#This Row],[OTA Commision]] + Daily_Data[[#This Row],[Daily_Rent]]+Daily_Data[[#This Row],[Daily_Staff]]+Daily_Data[[#This Row],[Daily_HK]]+Daily_Data[[#This Row],[Daily_Electricity]] + Daily_Data[[#This Row],[Daily Maintenance]]</f>
        <v>16138.069756823823</v>
      </c>
      <c r="Q662" s="10">
        <f>Daily_Data[[#This Row],[Total_Sales]]-Daily_Data[[#This Row],[Total_Daily_Expense]]</f>
        <v>-1706.0697568238229</v>
      </c>
      <c r="R662" s="10">
        <f>Daily_Data[[#This Row],[Total_Sales]]/Daily_Data[[#This Row],[Rooms_Occupied]]</f>
        <v>1312</v>
      </c>
      <c r="S662" s="10">
        <f>Daily_Data[[#This Row],[Total_Sales]] / Daily_Data[[#This Row],[Max_rooms]]</f>
        <v>1030.8571428571429</v>
      </c>
    </row>
    <row r="663" spans="1:19" x14ac:dyDescent="0.25">
      <c r="A663" s="6">
        <v>45588</v>
      </c>
      <c r="B663" s="20">
        <f>DATE(YEAR(Daily_Data[[#This Row],[Date]]), MONTH(Daily_Data[[#This Row],[Date]]), 1)</f>
        <v>45566</v>
      </c>
      <c r="C663" s="20" t="str">
        <f>TEXT(Daily_Data[[#This Row],[Month_key]],"mmmm")</f>
        <v>October</v>
      </c>
      <c r="D663" s="20" t="str">
        <f>TEXT(Daily_Data[[#This Row],[Month_key]],"yyyy")</f>
        <v>2024</v>
      </c>
      <c r="E663" s="7">
        <v>10</v>
      </c>
      <c r="F663" s="7">
        <v>14</v>
      </c>
      <c r="G663" s="8">
        <f>Daily_Data[[#This Row],[Rooms_Occupied]]/F663</f>
        <v>0.7142857142857143</v>
      </c>
      <c r="H663" s="7">
        <v>1444</v>
      </c>
      <c r="I663" s="7">
        <f>Daily_Data[[#This Row],[Room_rate]]*Daily_Data[[#This Row],[Rooms_Occupied]]</f>
        <v>14440</v>
      </c>
      <c r="J663" s="10">
        <f>Daily_Data[[#This Row],[Total_Sales]] * 0.22</f>
        <v>3176.8</v>
      </c>
      <c r="K663" s="10">
        <f>INDEX(Expense_master[Monthly_Rent],MATCH(Daily_Data[[#This Row],[Month_key]],Expense_master[Month_Key],0)) / INDEX(Expense_master[Days_in_Month],MATCH(Daily_Data[[#This Row],[Month_key]],Expense_master[Month_Key],0))</f>
        <v>8064.5161290322585</v>
      </c>
      <c r="L663" s="10">
        <f>SUMIFS(Expense_master[Staff_Salary],Expense_master[Month_Key],Daily_Data[[#This Row],[Month_key]]) / SUMIFS(Expense_master[Days_in_Month],Expense_master[Month_Key],Daily_Data[[#This Row],[Month_key]])</f>
        <v>2258.0645161290322</v>
      </c>
      <c r="M663" s="10">
        <f>Daily_Data[[#This Row],[Rooms_Occupied]] * (SUMIFS(Expense_master[Housekeeping_Laundy],Expense_master[Month_Key],Daily_Data[[#This Row],[Month_key]]) / SUMIFS(Occupancy_table[Monthly_rooms_Occupied],Occupancy_table[Month_Key],Daily_Data[[#This Row],[Month_key]]))</f>
        <v>307.69230769230768</v>
      </c>
      <c r="N66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1564.725359801489</v>
      </c>
      <c r="O663" s="10">
        <f>SUMIFS(Expense_master[Monthly_Maintenance],Expense_master[Month_Key],Daily_Data[[#This Row],[Month_key]]) / SUMIFS(Expense_master[Days_in_Month],Expense_master[Month_Key], Daily_Data[[#This Row],[Month_key]])</f>
        <v>645.16129032258061</v>
      </c>
      <c r="P663" s="10">
        <f xml:space="preserve"> Daily_Data[[#This Row],[OTA Commision]] + Daily_Data[[#This Row],[Daily_Rent]]+Daily_Data[[#This Row],[Daily_Staff]]+Daily_Data[[#This Row],[Daily_HK]]+Daily_Data[[#This Row],[Daily_Electricity]] + Daily_Data[[#This Row],[Daily Maintenance]]</f>
        <v>16016.959602977669</v>
      </c>
      <c r="Q663" s="10">
        <f>Daily_Data[[#This Row],[Total_Sales]]-Daily_Data[[#This Row],[Total_Daily_Expense]]</f>
        <v>-1576.9596029776694</v>
      </c>
      <c r="R663" s="10">
        <f>Daily_Data[[#This Row],[Total_Sales]]/Daily_Data[[#This Row],[Rooms_Occupied]]</f>
        <v>1444</v>
      </c>
      <c r="S663" s="10">
        <f>Daily_Data[[#This Row],[Total_Sales]] / Daily_Data[[#This Row],[Max_rooms]]</f>
        <v>1031.4285714285713</v>
      </c>
    </row>
    <row r="664" spans="1:19" x14ac:dyDescent="0.25">
      <c r="A664" s="6">
        <v>45589</v>
      </c>
      <c r="B664" s="20">
        <f>DATE(YEAR(Daily_Data[[#This Row],[Date]]), MONTH(Daily_Data[[#This Row],[Date]]), 1)</f>
        <v>45566</v>
      </c>
      <c r="C664" s="20" t="str">
        <f>TEXT(Daily_Data[[#This Row],[Month_key]],"mmmm")</f>
        <v>October</v>
      </c>
      <c r="D664" s="20" t="str">
        <f>TEXT(Daily_Data[[#This Row],[Month_key]],"yyyy")</f>
        <v>2024</v>
      </c>
      <c r="E664" s="7">
        <v>13</v>
      </c>
      <c r="F664" s="7">
        <v>14</v>
      </c>
      <c r="G664" s="8">
        <f>Daily_Data[[#This Row],[Rooms_Occupied]]/F664</f>
        <v>0.9285714285714286</v>
      </c>
      <c r="H664" s="7">
        <v>1557</v>
      </c>
      <c r="I664" s="7">
        <f>Daily_Data[[#This Row],[Room_rate]]*Daily_Data[[#This Row],[Rooms_Occupied]]</f>
        <v>20241</v>
      </c>
      <c r="J664" s="10">
        <f>Daily_Data[[#This Row],[Total_Sales]] * 0.22</f>
        <v>4453.0200000000004</v>
      </c>
      <c r="K664" s="10">
        <f>INDEX(Expense_master[Monthly_Rent],MATCH(Daily_Data[[#This Row],[Month_key]],Expense_master[Month_Key],0)) / INDEX(Expense_master[Days_in_Month],MATCH(Daily_Data[[#This Row],[Month_key]],Expense_master[Month_Key],0))</f>
        <v>8064.5161290322585</v>
      </c>
      <c r="L664" s="10">
        <f>SUMIFS(Expense_master[Staff_Salary],Expense_master[Month_Key],Daily_Data[[#This Row],[Month_key]]) / SUMIFS(Expense_master[Days_in_Month],Expense_master[Month_Key],Daily_Data[[#This Row],[Month_key]])</f>
        <v>2258.0645161290322</v>
      </c>
      <c r="M664" s="10">
        <f>Daily_Data[[#This Row],[Rooms_Occupied]] * (SUMIFS(Expense_master[Housekeeping_Laundy],Expense_master[Month_Key],Daily_Data[[#This Row],[Month_key]]) / SUMIFS(Occupancy_table[Monthly_rooms_Occupied],Occupancy_table[Month_Key],Daily_Data[[#This Row],[Month_key]]))</f>
        <v>400</v>
      </c>
      <c r="N66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1841.0281290322582</v>
      </c>
      <c r="O664" s="10">
        <f>SUMIFS(Expense_master[Monthly_Maintenance],Expense_master[Month_Key],Daily_Data[[#This Row],[Month_key]]) / SUMIFS(Expense_master[Days_in_Month],Expense_master[Month_Key], Daily_Data[[#This Row],[Month_key]])</f>
        <v>645.16129032258061</v>
      </c>
      <c r="P664" s="10">
        <f xml:space="preserve"> Daily_Data[[#This Row],[OTA Commision]] + Daily_Data[[#This Row],[Daily_Rent]]+Daily_Data[[#This Row],[Daily_Staff]]+Daily_Data[[#This Row],[Daily_HK]]+Daily_Data[[#This Row],[Daily_Electricity]] + Daily_Data[[#This Row],[Daily Maintenance]]</f>
        <v>17661.790064516128</v>
      </c>
      <c r="Q664" s="10">
        <f>Daily_Data[[#This Row],[Total_Sales]]-Daily_Data[[#This Row],[Total_Daily_Expense]]</f>
        <v>2579.209935483872</v>
      </c>
      <c r="R664" s="10">
        <f>Daily_Data[[#This Row],[Total_Sales]]/Daily_Data[[#This Row],[Rooms_Occupied]]</f>
        <v>1557</v>
      </c>
      <c r="S664" s="10">
        <f>Daily_Data[[#This Row],[Total_Sales]] / Daily_Data[[#This Row],[Max_rooms]]</f>
        <v>1445.7857142857142</v>
      </c>
    </row>
    <row r="665" spans="1:19" x14ac:dyDescent="0.25">
      <c r="A665" s="6">
        <v>45590</v>
      </c>
      <c r="B665" s="20">
        <f>DATE(YEAR(Daily_Data[[#This Row],[Date]]), MONTH(Daily_Data[[#This Row],[Date]]), 1)</f>
        <v>45566</v>
      </c>
      <c r="C665" s="20" t="str">
        <f>TEXT(Daily_Data[[#This Row],[Month_key]],"mmmm")</f>
        <v>October</v>
      </c>
      <c r="D665" s="20" t="str">
        <f>TEXT(Daily_Data[[#This Row],[Month_key]],"yyyy")</f>
        <v>2024</v>
      </c>
      <c r="E665" s="7">
        <v>10</v>
      </c>
      <c r="F665" s="7">
        <v>14</v>
      </c>
      <c r="G665" s="8">
        <f>Daily_Data[[#This Row],[Rooms_Occupied]]/F665</f>
        <v>0.7142857142857143</v>
      </c>
      <c r="H665" s="7">
        <v>1299</v>
      </c>
      <c r="I665" s="7">
        <f>Daily_Data[[#This Row],[Room_rate]]*Daily_Data[[#This Row],[Rooms_Occupied]]</f>
        <v>12990</v>
      </c>
      <c r="J665" s="10">
        <f>Daily_Data[[#This Row],[Total_Sales]] * 0.22</f>
        <v>2857.8</v>
      </c>
      <c r="K665" s="10">
        <f>INDEX(Expense_master[Monthly_Rent],MATCH(Daily_Data[[#This Row],[Month_key]],Expense_master[Month_Key],0)) / INDEX(Expense_master[Days_in_Month],MATCH(Daily_Data[[#This Row],[Month_key]],Expense_master[Month_Key],0))</f>
        <v>8064.5161290322585</v>
      </c>
      <c r="L665" s="10">
        <f>SUMIFS(Expense_master[Staff_Salary],Expense_master[Month_Key],Daily_Data[[#This Row],[Month_key]]) / SUMIFS(Expense_master[Days_in_Month],Expense_master[Month_Key],Daily_Data[[#This Row],[Month_key]])</f>
        <v>2258.0645161290322</v>
      </c>
      <c r="M665" s="10">
        <f>Daily_Data[[#This Row],[Rooms_Occupied]] * (SUMIFS(Expense_master[Housekeeping_Laundy],Expense_master[Month_Key],Daily_Data[[#This Row],[Month_key]]) / SUMIFS(Occupancy_table[Monthly_rooms_Occupied],Occupancy_table[Month_Key],Daily_Data[[#This Row],[Month_key]]))</f>
        <v>307.69230769230768</v>
      </c>
      <c r="N66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1564.725359801489</v>
      </c>
      <c r="O665" s="10">
        <f>SUMIFS(Expense_master[Monthly_Maintenance],Expense_master[Month_Key],Daily_Data[[#This Row],[Month_key]]) / SUMIFS(Expense_master[Days_in_Month],Expense_master[Month_Key], Daily_Data[[#This Row],[Month_key]])</f>
        <v>645.16129032258061</v>
      </c>
      <c r="P665" s="10">
        <f xml:space="preserve"> Daily_Data[[#This Row],[OTA Commision]] + Daily_Data[[#This Row],[Daily_Rent]]+Daily_Data[[#This Row],[Daily_Staff]]+Daily_Data[[#This Row],[Daily_HK]]+Daily_Data[[#This Row],[Daily_Electricity]] + Daily_Data[[#This Row],[Daily Maintenance]]</f>
        <v>15697.959602977669</v>
      </c>
      <c r="Q665" s="10">
        <f>Daily_Data[[#This Row],[Total_Sales]]-Daily_Data[[#This Row],[Total_Daily_Expense]]</f>
        <v>-2707.9596029776694</v>
      </c>
      <c r="R665" s="10">
        <f>Daily_Data[[#This Row],[Total_Sales]]/Daily_Data[[#This Row],[Rooms_Occupied]]</f>
        <v>1299</v>
      </c>
      <c r="S665" s="10">
        <f>Daily_Data[[#This Row],[Total_Sales]] / Daily_Data[[#This Row],[Max_rooms]]</f>
        <v>927.85714285714289</v>
      </c>
    </row>
    <row r="666" spans="1:19" x14ac:dyDescent="0.25">
      <c r="A666" s="6">
        <v>45591</v>
      </c>
      <c r="B666" s="20">
        <f>DATE(YEAR(Daily_Data[[#This Row],[Date]]), MONTH(Daily_Data[[#This Row],[Date]]), 1)</f>
        <v>45566</v>
      </c>
      <c r="C666" s="20" t="str">
        <f>TEXT(Daily_Data[[#This Row],[Month_key]],"mmmm")</f>
        <v>October</v>
      </c>
      <c r="D666" s="20" t="str">
        <f>TEXT(Daily_Data[[#This Row],[Month_key]],"yyyy")</f>
        <v>2024</v>
      </c>
      <c r="E666" s="7">
        <v>14</v>
      </c>
      <c r="F666" s="7">
        <v>14</v>
      </c>
      <c r="G666" s="8">
        <f>Daily_Data[[#This Row],[Rooms_Occupied]]/F666</f>
        <v>1</v>
      </c>
      <c r="H666" s="7">
        <v>1895</v>
      </c>
      <c r="I666" s="7">
        <f>Daily_Data[[#This Row],[Room_rate]]*Daily_Data[[#This Row],[Rooms_Occupied]]</f>
        <v>26530</v>
      </c>
      <c r="J666" s="10">
        <f>Daily_Data[[#This Row],[Total_Sales]] * 0.22</f>
        <v>5836.6</v>
      </c>
      <c r="K666" s="10">
        <f>INDEX(Expense_master[Monthly_Rent],MATCH(Daily_Data[[#This Row],[Month_key]],Expense_master[Month_Key],0)) / INDEX(Expense_master[Days_in_Month],MATCH(Daily_Data[[#This Row],[Month_key]],Expense_master[Month_Key],0))</f>
        <v>8064.5161290322585</v>
      </c>
      <c r="L666" s="10">
        <f>SUMIFS(Expense_master[Staff_Salary],Expense_master[Month_Key],Daily_Data[[#This Row],[Month_key]]) / SUMIFS(Expense_master[Days_in_Month],Expense_master[Month_Key],Daily_Data[[#This Row],[Month_key]])</f>
        <v>2258.0645161290322</v>
      </c>
      <c r="M666" s="10">
        <f>Daily_Data[[#This Row],[Rooms_Occupied]] * (SUMIFS(Expense_master[Housekeeping_Laundy],Expense_master[Month_Key],Daily_Data[[#This Row],[Month_key]]) / SUMIFS(Occupancy_table[Monthly_rooms_Occupied],Occupancy_table[Month_Key],Daily_Data[[#This Row],[Month_key]]))</f>
        <v>430.76923076923077</v>
      </c>
      <c r="N66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1933.1290521091812</v>
      </c>
      <c r="O666" s="10">
        <f>SUMIFS(Expense_master[Monthly_Maintenance],Expense_master[Month_Key],Daily_Data[[#This Row],[Month_key]]) / SUMIFS(Expense_master[Days_in_Month],Expense_master[Month_Key], Daily_Data[[#This Row],[Month_key]])</f>
        <v>645.16129032258061</v>
      </c>
      <c r="P666" s="10">
        <f xml:space="preserve"> Daily_Data[[#This Row],[OTA Commision]] + Daily_Data[[#This Row],[Daily_Rent]]+Daily_Data[[#This Row],[Daily_Staff]]+Daily_Data[[#This Row],[Daily_HK]]+Daily_Data[[#This Row],[Daily_Electricity]] + Daily_Data[[#This Row],[Daily Maintenance]]</f>
        <v>19168.240218362283</v>
      </c>
      <c r="Q666" s="10">
        <f>Daily_Data[[#This Row],[Total_Sales]]-Daily_Data[[#This Row],[Total_Daily_Expense]]</f>
        <v>7361.7597816377165</v>
      </c>
      <c r="R666" s="10">
        <f>Daily_Data[[#This Row],[Total_Sales]]/Daily_Data[[#This Row],[Rooms_Occupied]]</f>
        <v>1895</v>
      </c>
      <c r="S666" s="10">
        <f>Daily_Data[[#This Row],[Total_Sales]] / Daily_Data[[#This Row],[Max_rooms]]</f>
        <v>1895</v>
      </c>
    </row>
    <row r="667" spans="1:19" x14ac:dyDescent="0.25">
      <c r="A667" s="6">
        <v>45592</v>
      </c>
      <c r="B667" s="20">
        <f>DATE(YEAR(Daily_Data[[#This Row],[Date]]), MONTH(Daily_Data[[#This Row],[Date]]), 1)</f>
        <v>45566</v>
      </c>
      <c r="C667" s="20" t="str">
        <f>TEXT(Daily_Data[[#This Row],[Month_key]],"mmmm")</f>
        <v>October</v>
      </c>
      <c r="D667" s="20" t="str">
        <f>TEXT(Daily_Data[[#This Row],[Month_key]],"yyyy")</f>
        <v>2024</v>
      </c>
      <c r="E667" s="7">
        <v>9</v>
      </c>
      <c r="F667" s="7">
        <v>14</v>
      </c>
      <c r="G667" s="8">
        <f>Daily_Data[[#This Row],[Rooms_Occupied]]/F667</f>
        <v>0.6428571428571429</v>
      </c>
      <c r="H667" s="7">
        <v>1544</v>
      </c>
      <c r="I667" s="7">
        <f>Daily_Data[[#This Row],[Room_rate]]*Daily_Data[[#This Row],[Rooms_Occupied]]</f>
        <v>13896</v>
      </c>
      <c r="J667" s="10">
        <f>Daily_Data[[#This Row],[Total_Sales]] * 0.22</f>
        <v>3057.12</v>
      </c>
      <c r="K667" s="10">
        <f>INDEX(Expense_master[Monthly_Rent],MATCH(Daily_Data[[#This Row],[Month_key]],Expense_master[Month_Key],0)) / INDEX(Expense_master[Days_in_Month],MATCH(Daily_Data[[#This Row],[Month_key]],Expense_master[Month_Key],0))</f>
        <v>8064.5161290322585</v>
      </c>
      <c r="L667" s="10">
        <f>SUMIFS(Expense_master[Staff_Salary],Expense_master[Month_Key],Daily_Data[[#This Row],[Month_key]]) / SUMIFS(Expense_master[Days_in_Month],Expense_master[Month_Key],Daily_Data[[#This Row],[Month_key]])</f>
        <v>2258.0645161290322</v>
      </c>
      <c r="M667" s="10">
        <f>Daily_Data[[#This Row],[Rooms_Occupied]] * (SUMIFS(Expense_master[Housekeeping_Laundy],Expense_master[Month_Key],Daily_Data[[#This Row],[Month_key]]) / SUMIFS(Occupancy_table[Monthly_rooms_Occupied],Occupancy_table[Month_Key],Daily_Data[[#This Row],[Month_key]]))</f>
        <v>276.92307692307691</v>
      </c>
      <c r="N66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1472.6244367245658</v>
      </c>
      <c r="O667" s="10">
        <f>SUMIFS(Expense_master[Monthly_Maintenance],Expense_master[Month_Key],Daily_Data[[#This Row],[Month_key]]) / SUMIFS(Expense_master[Days_in_Month],Expense_master[Month_Key], Daily_Data[[#This Row],[Month_key]])</f>
        <v>645.16129032258061</v>
      </c>
      <c r="P667" s="10">
        <f xml:space="preserve"> Daily_Data[[#This Row],[OTA Commision]] + Daily_Data[[#This Row],[Daily_Rent]]+Daily_Data[[#This Row],[Daily_Staff]]+Daily_Data[[#This Row],[Daily_HK]]+Daily_Data[[#This Row],[Daily_Electricity]] + Daily_Data[[#This Row],[Daily Maintenance]]</f>
        <v>15774.409449131514</v>
      </c>
      <c r="Q667" s="10">
        <f>Daily_Data[[#This Row],[Total_Sales]]-Daily_Data[[#This Row],[Total_Daily_Expense]]</f>
        <v>-1878.4094491315136</v>
      </c>
      <c r="R667" s="10">
        <f>Daily_Data[[#This Row],[Total_Sales]]/Daily_Data[[#This Row],[Rooms_Occupied]]</f>
        <v>1544</v>
      </c>
      <c r="S667" s="10">
        <f>Daily_Data[[#This Row],[Total_Sales]] / Daily_Data[[#This Row],[Max_rooms]]</f>
        <v>992.57142857142856</v>
      </c>
    </row>
    <row r="668" spans="1:19" x14ac:dyDescent="0.25">
      <c r="A668" s="6">
        <v>45593</v>
      </c>
      <c r="B668" s="20">
        <f>DATE(YEAR(Daily_Data[[#This Row],[Date]]), MONTH(Daily_Data[[#This Row],[Date]]), 1)</f>
        <v>45566</v>
      </c>
      <c r="C668" s="20" t="str">
        <f>TEXT(Daily_Data[[#This Row],[Month_key]],"mmmm")</f>
        <v>October</v>
      </c>
      <c r="D668" s="20" t="str">
        <f>TEXT(Daily_Data[[#This Row],[Month_key]],"yyyy")</f>
        <v>2024</v>
      </c>
      <c r="E668" s="7">
        <v>11</v>
      </c>
      <c r="F668" s="7">
        <v>14</v>
      </c>
      <c r="G668" s="8">
        <f>Daily_Data[[#This Row],[Rooms_Occupied]]/F668</f>
        <v>0.7857142857142857</v>
      </c>
      <c r="H668" s="7">
        <v>1294</v>
      </c>
      <c r="I668" s="7">
        <f>Daily_Data[[#This Row],[Room_rate]]*Daily_Data[[#This Row],[Rooms_Occupied]]</f>
        <v>14234</v>
      </c>
      <c r="J668" s="10">
        <f>Daily_Data[[#This Row],[Total_Sales]] * 0.22</f>
        <v>3131.48</v>
      </c>
      <c r="K668" s="10">
        <f>INDEX(Expense_master[Monthly_Rent],MATCH(Daily_Data[[#This Row],[Month_key]],Expense_master[Month_Key],0)) / INDEX(Expense_master[Days_in_Month],MATCH(Daily_Data[[#This Row],[Month_key]],Expense_master[Month_Key],0))</f>
        <v>8064.5161290322585</v>
      </c>
      <c r="L668" s="10">
        <f>SUMIFS(Expense_master[Staff_Salary],Expense_master[Month_Key],Daily_Data[[#This Row],[Month_key]]) / SUMIFS(Expense_master[Days_in_Month],Expense_master[Month_Key],Daily_Data[[#This Row],[Month_key]])</f>
        <v>2258.0645161290322</v>
      </c>
      <c r="M668" s="10">
        <f>Daily_Data[[#This Row],[Rooms_Occupied]] * (SUMIFS(Expense_master[Housekeeping_Laundy],Expense_master[Month_Key],Daily_Data[[#This Row],[Month_key]]) / SUMIFS(Occupancy_table[Monthly_rooms_Occupied],Occupancy_table[Month_Key],Daily_Data[[#This Row],[Month_key]]))</f>
        <v>338.46153846153845</v>
      </c>
      <c r="N66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1656.826282878412</v>
      </c>
      <c r="O668" s="10">
        <f>SUMIFS(Expense_master[Monthly_Maintenance],Expense_master[Month_Key],Daily_Data[[#This Row],[Month_key]]) / SUMIFS(Expense_master[Days_in_Month],Expense_master[Month_Key], Daily_Data[[#This Row],[Month_key]])</f>
        <v>645.16129032258061</v>
      </c>
      <c r="P668" s="10">
        <f xml:space="preserve"> Daily_Data[[#This Row],[OTA Commision]] + Daily_Data[[#This Row],[Daily_Rent]]+Daily_Data[[#This Row],[Daily_Staff]]+Daily_Data[[#This Row],[Daily_HK]]+Daily_Data[[#This Row],[Daily_Electricity]] + Daily_Data[[#This Row],[Daily Maintenance]]</f>
        <v>16094.509756823823</v>
      </c>
      <c r="Q668" s="10">
        <f>Daily_Data[[#This Row],[Total_Sales]]-Daily_Data[[#This Row],[Total_Daily_Expense]]</f>
        <v>-1860.5097568238234</v>
      </c>
      <c r="R668" s="10">
        <f>Daily_Data[[#This Row],[Total_Sales]]/Daily_Data[[#This Row],[Rooms_Occupied]]</f>
        <v>1294</v>
      </c>
      <c r="S668" s="10">
        <f>Daily_Data[[#This Row],[Total_Sales]] / Daily_Data[[#This Row],[Max_rooms]]</f>
        <v>1016.7142857142857</v>
      </c>
    </row>
    <row r="669" spans="1:19" x14ac:dyDescent="0.25">
      <c r="A669" s="6">
        <v>45594</v>
      </c>
      <c r="B669" s="20">
        <f>DATE(YEAR(Daily_Data[[#This Row],[Date]]), MONTH(Daily_Data[[#This Row],[Date]]), 1)</f>
        <v>45566</v>
      </c>
      <c r="C669" s="20" t="str">
        <f>TEXT(Daily_Data[[#This Row],[Month_key]],"mmmm")</f>
        <v>October</v>
      </c>
      <c r="D669" s="20" t="str">
        <f>TEXT(Daily_Data[[#This Row],[Month_key]],"yyyy")</f>
        <v>2024</v>
      </c>
      <c r="E669" s="7">
        <v>8</v>
      </c>
      <c r="F669" s="7">
        <v>14</v>
      </c>
      <c r="G669" s="8">
        <f>Daily_Data[[#This Row],[Rooms_Occupied]]/F669</f>
        <v>0.5714285714285714</v>
      </c>
      <c r="H669" s="7">
        <v>1417</v>
      </c>
      <c r="I669" s="7">
        <f>Daily_Data[[#This Row],[Room_rate]]*Daily_Data[[#This Row],[Rooms_Occupied]]</f>
        <v>11336</v>
      </c>
      <c r="J669" s="10">
        <f>Daily_Data[[#This Row],[Total_Sales]] * 0.22</f>
        <v>2493.92</v>
      </c>
      <c r="K669" s="10">
        <f>INDEX(Expense_master[Monthly_Rent],MATCH(Daily_Data[[#This Row],[Month_key]],Expense_master[Month_Key],0)) / INDEX(Expense_master[Days_in_Month],MATCH(Daily_Data[[#This Row],[Month_key]],Expense_master[Month_Key],0))</f>
        <v>8064.5161290322585</v>
      </c>
      <c r="L669" s="10">
        <f>SUMIFS(Expense_master[Staff_Salary],Expense_master[Month_Key],Daily_Data[[#This Row],[Month_key]]) / SUMIFS(Expense_master[Days_in_Month],Expense_master[Month_Key],Daily_Data[[#This Row],[Month_key]])</f>
        <v>2258.0645161290322</v>
      </c>
      <c r="M669" s="10">
        <f>Daily_Data[[#This Row],[Rooms_Occupied]] * (SUMIFS(Expense_master[Housekeeping_Laundy],Expense_master[Month_Key],Daily_Data[[#This Row],[Month_key]]) / SUMIFS(Occupancy_table[Monthly_rooms_Occupied],Occupancy_table[Month_Key],Daily_Data[[#This Row],[Month_key]]))</f>
        <v>246.15384615384616</v>
      </c>
      <c r="N66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1380.5235136476426</v>
      </c>
      <c r="O669" s="10">
        <f>SUMIFS(Expense_master[Monthly_Maintenance],Expense_master[Month_Key],Daily_Data[[#This Row],[Month_key]]) / SUMIFS(Expense_master[Days_in_Month],Expense_master[Month_Key], Daily_Data[[#This Row],[Month_key]])</f>
        <v>645.16129032258061</v>
      </c>
      <c r="P669" s="10">
        <f xml:space="preserve"> Daily_Data[[#This Row],[OTA Commision]] + Daily_Data[[#This Row],[Daily_Rent]]+Daily_Data[[#This Row],[Daily_Staff]]+Daily_Data[[#This Row],[Daily_HK]]+Daily_Data[[#This Row],[Daily_Electricity]] + Daily_Data[[#This Row],[Daily Maintenance]]</f>
        <v>15088.339295285361</v>
      </c>
      <c r="Q669" s="10">
        <f>Daily_Data[[#This Row],[Total_Sales]]-Daily_Data[[#This Row],[Total_Daily_Expense]]</f>
        <v>-3752.339295285361</v>
      </c>
      <c r="R669" s="10">
        <f>Daily_Data[[#This Row],[Total_Sales]]/Daily_Data[[#This Row],[Rooms_Occupied]]</f>
        <v>1417</v>
      </c>
      <c r="S669" s="10">
        <f>Daily_Data[[#This Row],[Total_Sales]] / Daily_Data[[#This Row],[Max_rooms]]</f>
        <v>809.71428571428567</v>
      </c>
    </row>
    <row r="670" spans="1:19" x14ac:dyDescent="0.25">
      <c r="A670" s="6">
        <v>45595</v>
      </c>
      <c r="B670" s="20">
        <f>DATE(YEAR(Daily_Data[[#This Row],[Date]]), MONTH(Daily_Data[[#This Row],[Date]]), 1)</f>
        <v>45566</v>
      </c>
      <c r="C670" s="20" t="str">
        <f>TEXT(Daily_Data[[#This Row],[Month_key]],"mmmm")</f>
        <v>October</v>
      </c>
      <c r="D670" s="20" t="str">
        <f>TEXT(Daily_Data[[#This Row],[Month_key]],"yyyy")</f>
        <v>2024</v>
      </c>
      <c r="E670" s="7">
        <v>11</v>
      </c>
      <c r="F670" s="7">
        <v>14</v>
      </c>
      <c r="G670" s="8">
        <f>Daily_Data[[#This Row],[Rooms_Occupied]]/F670</f>
        <v>0.7857142857142857</v>
      </c>
      <c r="H670" s="7">
        <v>1284</v>
      </c>
      <c r="I670" s="7">
        <f>Daily_Data[[#This Row],[Room_rate]]*Daily_Data[[#This Row],[Rooms_Occupied]]</f>
        <v>14124</v>
      </c>
      <c r="J670" s="10">
        <f>Daily_Data[[#This Row],[Total_Sales]] * 0.22</f>
        <v>3107.28</v>
      </c>
      <c r="K670" s="10">
        <f>INDEX(Expense_master[Monthly_Rent],MATCH(Daily_Data[[#This Row],[Month_key]],Expense_master[Month_Key],0)) / INDEX(Expense_master[Days_in_Month],MATCH(Daily_Data[[#This Row],[Month_key]],Expense_master[Month_Key],0))</f>
        <v>8064.5161290322585</v>
      </c>
      <c r="L670" s="10">
        <f>SUMIFS(Expense_master[Staff_Salary],Expense_master[Month_Key],Daily_Data[[#This Row],[Month_key]]) / SUMIFS(Expense_master[Days_in_Month],Expense_master[Month_Key],Daily_Data[[#This Row],[Month_key]])</f>
        <v>2258.0645161290322</v>
      </c>
      <c r="M670" s="10">
        <f>Daily_Data[[#This Row],[Rooms_Occupied]] * (SUMIFS(Expense_master[Housekeeping_Laundy],Expense_master[Month_Key],Daily_Data[[#This Row],[Month_key]]) / SUMIFS(Occupancy_table[Monthly_rooms_Occupied],Occupancy_table[Month_Key],Daily_Data[[#This Row],[Month_key]]))</f>
        <v>338.46153846153845</v>
      </c>
      <c r="N67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1656.826282878412</v>
      </c>
      <c r="O670" s="10">
        <f>SUMIFS(Expense_master[Monthly_Maintenance],Expense_master[Month_Key],Daily_Data[[#This Row],[Month_key]]) / SUMIFS(Expense_master[Days_in_Month],Expense_master[Month_Key], Daily_Data[[#This Row],[Month_key]])</f>
        <v>645.16129032258061</v>
      </c>
      <c r="P670" s="10">
        <f xml:space="preserve"> Daily_Data[[#This Row],[OTA Commision]] + Daily_Data[[#This Row],[Daily_Rent]]+Daily_Data[[#This Row],[Daily_Staff]]+Daily_Data[[#This Row],[Daily_HK]]+Daily_Data[[#This Row],[Daily_Electricity]] + Daily_Data[[#This Row],[Daily Maintenance]]</f>
        <v>16070.309756823823</v>
      </c>
      <c r="Q670" s="10">
        <f>Daily_Data[[#This Row],[Total_Sales]]-Daily_Data[[#This Row],[Total_Daily_Expense]]</f>
        <v>-1946.3097568238227</v>
      </c>
      <c r="R670" s="10">
        <f>Daily_Data[[#This Row],[Total_Sales]]/Daily_Data[[#This Row],[Rooms_Occupied]]</f>
        <v>1284</v>
      </c>
      <c r="S670" s="10">
        <f>Daily_Data[[#This Row],[Total_Sales]] / Daily_Data[[#This Row],[Max_rooms]]</f>
        <v>1008.8571428571429</v>
      </c>
    </row>
    <row r="671" spans="1:19" x14ac:dyDescent="0.25">
      <c r="A671" s="6">
        <v>45596</v>
      </c>
      <c r="B671" s="20">
        <f>DATE(YEAR(Daily_Data[[#This Row],[Date]]), MONTH(Daily_Data[[#This Row],[Date]]), 1)</f>
        <v>45566</v>
      </c>
      <c r="C671" s="20" t="str">
        <f>TEXT(Daily_Data[[#This Row],[Month_key]],"mmmm")</f>
        <v>October</v>
      </c>
      <c r="D671" s="20" t="str">
        <f>TEXT(Daily_Data[[#This Row],[Month_key]],"yyyy")</f>
        <v>2024</v>
      </c>
      <c r="E671" s="7">
        <v>10</v>
      </c>
      <c r="F671" s="7">
        <v>14</v>
      </c>
      <c r="G671" s="8">
        <f>Daily_Data[[#This Row],[Rooms_Occupied]]/F671</f>
        <v>0.7142857142857143</v>
      </c>
      <c r="H671" s="7">
        <v>1918</v>
      </c>
      <c r="I671" s="7">
        <f>Daily_Data[[#This Row],[Room_rate]]*Daily_Data[[#This Row],[Rooms_Occupied]]</f>
        <v>19180</v>
      </c>
      <c r="J671" s="10">
        <f>Daily_Data[[#This Row],[Total_Sales]] * 0.22</f>
        <v>4219.6000000000004</v>
      </c>
      <c r="K671" s="10">
        <f>INDEX(Expense_master[Monthly_Rent],MATCH(Daily_Data[[#This Row],[Month_key]],Expense_master[Month_Key],0)) / INDEX(Expense_master[Days_in_Month],MATCH(Daily_Data[[#This Row],[Month_key]],Expense_master[Month_Key],0))</f>
        <v>8064.5161290322585</v>
      </c>
      <c r="L671" s="10">
        <f>SUMIFS(Expense_master[Staff_Salary],Expense_master[Month_Key],Daily_Data[[#This Row],[Month_key]]) / SUMIFS(Expense_master[Days_in_Month],Expense_master[Month_Key],Daily_Data[[#This Row],[Month_key]])</f>
        <v>2258.0645161290322</v>
      </c>
      <c r="M671" s="10">
        <f>Daily_Data[[#This Row],[Rooms_Occupied]] * (SUMIFS(Expense_master[Housekeeping_Laundy],Expense_master[Month_Key],Daily_Data[[#This Row],[Month_key]]) / SUMIFS(Occupancy_table[Monthly_rooms_Occupied],Occupancy_table[Month_Key],Daily_Data[[#This Row],[Month_key]]))</f>
        <v>307.69230769230768</v>
      </c>
      <c r="N67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1564.725359801489</v>
      </c>
      <c r="O671" s="10">
        <f>SUMIFS(Expense_master[Monthly_Maintenance],Expense_master[Month_Key],Daily_Data[[#This Row],[Month_key]]) / SUMIFS(Expense_master[Days_in_Month],Expense_master[Month_Key], Daily_Data[[#This Row],[Month_key]])</f>
        <v>645.16129032258061</v>
      </c>
      <c r="P671" s="10">
        <f xml:space="preserve"> Daily_Data[[#This Row],[OTA Commision]] + Daily_Data[[#This Row],[Daily_Rent]]+Daily_Data[[#This Row],[Daily_Staff]]+Daily_Data[[#This Row],[Daily_HK]]+Daily_Data[[#This Row],[Daily_Electricity]] + Daily_Data[[#This Row],[Daily Maintenance]]</f>
        <v>17059.759602977669</v>
      </c>
      <c r="Q671" s="10">
        <f>Daily_Data[[#This Row],[Total_Sales]]-Daily_Data[[#This Row],[Total_Daily_Expense]]</f>
        <v>2120.2403970223313</v>
      </c>
      <c r="R671" s="10">
        <f>Daily_Data[[#This Row],[Total_Sales]]/Daily_Data[[#This Row],[Rooms_Occupied]]</f>
        <v>1918</v>
      </c>
      <c r="S671" s="10">
        <f>Daily_Data[[#This Row],[Total_Sales]] / Daily_Data[[#This Row],[Max_rooms]]</f>
        <v>1370</v>
      </c>
    </row>
    <row r="672" spans="1:19" x14ac:dyDescent="0.25">
      <c r="A672" s="6">
        <v>45597</v>
      </c>
      <c r="B672" s="20">
        <f>DATE(YEAR(Daily_Data[[#This Row],[Date]]), MONTH(Daily_Data[[#This Row],[Date]]), 1)</f>
        <v>45597</v>
      </c>
      <c r="C672" s="20" t="str">
        <f>TEXT(Daily_Data[[#This Row],[Month_key]],"mmmm")</f>
        <v>November</v>
      </c>
      <c r="D672" s="20" t="str">
        <f>TEXT(Daily_Data[[#This Row],[Month_key]],"yyyy")</f>
        <v>2024</v>
      </c>
      <c r="E672" s="7">
        <v>11</v>
      </c>
      <c r="F672" s="7">
        <v>14</v>
      </c>
      <c r="G672" s="8">
        <f>Daily_Data[[#This Row],[Rooms_Occupied]]/F672</f>
        <v>0.7857142857142857</v>
      </c>
      <c r="H672" s="7">
        <v>1230</v>
      </c>
      <c r="I672" s="7">
        <f>Daily_Data[[#This Row],[Room_rate]]*Daily_Data[[#This Row],[Rooms_Occupied]]</f>
        <v>13530</v>
      </c>
      <c r="J672" s="10">
        <f>Daily_Data[[#This Row],[Total_Sales]] * 0.22</f>
        <v>2976.6</v>
      </c>
      <c r="K672" s="10">
        <f>INDEX(Expense_master[Monthly_Rent],MATCH(Daily_Data[[#This Row],[Month_key]],Expense_master[Month_Key],0)) / INDEX(Expense_master[Days_in_Month],MATCH(Daily_Data[[#This Row],[Month_key]],Expense_master[Month_Key],0))</f>
        <v>8333.3333333333339</v>
      </c>
      <c r="L672" s="10">
        <f>SUMIFS(Expense_master[Staff_Salary],Expense_master[Month_Key],Daily_Data[[#This Row],[Month_key]]) / SUMIFS(Expense_master[Days_in_Month],Expense_master[Month_Key],Daily_Data[[#This Row],[Month_key]])</f>
        <v>2333.3333333333335</v>
      </c>
      <c r="M672" s="10">
        <f>Daily_Data[[#This Row],[Rooms_Occupied]] * (SUMIFS(Expense_master[Housekeeping_Laundy],Expense_master[Month_Key],Daily_Data[[#This Row],[Month_key]]) / SUMIFS(Occupancy_table[Monthly_rooms_Occupied],Occupancy_table[Month_Key],Daily_Data[[#This Row],[Month_key]]))</f>
        <v>326.40949554896144</v>
      </c>
      <c r="N67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1648.9894362017803</v>
      </c>
      <c r="O672" s="10">
        <f>SUMIFS(Expense_master[Monthly_Maintenance],Expense_master[Month_Key],Daily_Data[[#This Row],[Month_key]]) / SUMIFS(Expense_master[Days_in_Month],Expense_master[Month_Key], Daily_Data[[#This Row],[Month_key]])</f>
        <v>666.66666666666663</v>
      </c>
      <c r="P672" s="10">
        <f xml:space="preserve"> Daily_Data[[#This Row],[OTA Commision]] + Daily_Data[[#This Row],[Daily_Rent]]+Daily_Data[[#This Row],[Daily_Staff]]+Daily_Data[[#This Row],[Daily_HK]]+Daily_Data[[#This Row],[Daily_Electricity]] + Daily_Data[[#This Row],[Daily Maintenance]]</f>
        <v>16285.332265084076</v>
      </c>
      <c r="Q672" s="10">
        <f>Daily_Data[[#This Row],[Total_Sales]]-Daily_Data[[#This Row],[Total_Daily_Expense]]</f>
        <v>-2755.3322650840764</v>
      </c>
      <c r="R672" s="10">
        <f>Daily_Data[[#This Row],[Total_Sales]]/Daily_Data[[#This Row],[Rooms_Occupied]]</f>
        <v>1230</v>
      </c>
      <c r="S672" s="10">
        <f>Daily_Data[[#This Row],[Total_Sales]] / Daily_Data[[#This Row],[Max_rooms]]</f>
        <v>966.42857142857144</v>
      </c>
    </row>
    <row r="673" spans="1:19" x14ac:dyDescent="0.25">
      <c r="A673" s="6">
        <v>45598</v>
      </c>
      <c r="B673" s="20">
        <f>DATE(YEAR(Daily_Data[[#This Row],[Date]]), MONTH(Daily_Data[[#This Row],[Date]]), 1)</f>
        <v>45597</v>
      </c>
      <c r="C673" s="20" t="str">
        <f>TEXT(Daily_Data[[#This Row],[Month_key]],"mmmm")</f>
        <v>November</v>
      </c>
      <c r="D673" s="20" t="str">
        <f>TEXT(Daily_Data[[#This Row],[Month_key]],"yyyy")</f>
        <v>2024</v>
      </c>
      <c r="E673" s="7">
        <v>12</v>
      </c>
      <c r="F673" s="7">
        <v>14</v>
      </c>
      <c r="G673" s="8">
        <f>Daily_Data[[#This Row],[Rooms_Occupied]]/F673</f>
        <v>0.8571428571428571</v>
      </c>
      <c r="H673" s="7">
        <v>1815</v>
      </c>
      <c r="I673" s="7">
        <f>Daily_Data[[#This Row],[Room_rate]]*Daily_Data[[#This Row],[Rooms_Occupied]]</f>
        <v>21780</v>
      </c>
      <c r="J673" s="10">
        <f>Daily_Data[[#This Row],[Total_Sales]] * 0.22</f>
        <v>4791.6000000000004</v>
      </c>
      <c r="K673" s="10">
        <f>INDEX(Expense_master[Monthly_Rent],MATCH(Daily_Data[[#This Row],[Month_key]],Expense_master[Month_Key],0)) / INDEX(Expense_master[Days_in_Month],MATCH(Daily_Data[[#This Row],[Month_key]],Expense_master[Month_Key],0))</f>
        <v>8333.3333333333339</v>
      </c>
      <c r="L673" s="10">
        <f>SUMIFS(Expense_master[Staff_Salary],Expense_master[Month_Key],Daily_Data[[#This Row],[Month_key]]) / SUMIFS(Expense_master[Days_in_Month],Expense_master[Month_Key],Daily_Data[[#This Row],[Month_key]])</f>
        <v>2333.3333333333335</v>
      </c>
      <c r="M673" s="10">
        <f>Daily_Data[[#This Row],[Rooms_Occupied]] * (SUMIFS(Expense_master[Housekeeping_Laundy],Expense_master[Month_Key],Daily_Data[[#This Row],[Month_key]]) / SUMIFS(Occupancy_table[Monthly_rooms_Occupied],Occupancy_table[Month_Key],Daily_Data[[#This Row],[Month_key]]))</f>
        <v>356.08308605341244</v>
      </c>
      <c r="N67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1738.1775667655786</v>
      </c>
      <c r="O673" s="10">
        <f>SUMIFS(Expense_master[Monthly_Maintenance],Expense_master[Month_Key],Daily_Data[[#This Row],[Month_key]]) / SUMIFS(Expense_master[Days_in_Month],Expense_master[Month_Key], Daily_Data[[#This Row],[Month_key]])</f>
        <v>666.66666666666663</v>
      </c>
      <c r="P673" s="10">
        <f xml:space="preserve"> Daily_Data[[#This Row],[OTA Commision]] + Daily_Data[[#This Row],[Daily_Rent]]+Daily_Data[[#This Row],[Daily_Staff]]+Daily_Data[[#This Row],[Daily_HK]]+Daily_Data[[#This Row],[Daily_Electricity]] + Daily_Data[[#This Row],[Daily Maintenance]]</f>
        <v>18219.193986152328</v>
      </c>
      <c r="Q673" s="10">
        <f>Daily_Data[[#This Row],[Total_Sales]]-Daily_Data[[#This Row],[Total_Daily_Expense]]</f>
        <v>3560.8060138476721</v>
      </c>
      <c r="R673" s="10">
        <f>Daily_Data[[#This Row],[Total_Sales]]/Daily_Data[[#This Row],[Rooms_Occupied]]</f>
        <v>1815</v>
      </c>
      <c r="S673" s="10">
        <f>Daily_Data[[#This Row],[Total_Sales]] / Daily_Data[[#This Row],[Max_rooms]]</f>
        <v>1555.7142857142858</v>
      </c>
    </row>
    <row r="674" spans="1:19" x14ac:dyDescent="0.25">
      <c r="A674" s="6">
        <v>45599</v>
      </c>
      <c r="B674" s="20">
        <f>DATE(YEAR(Daily_Data[[#This Row],[Date]]), MONTH(Daily_Data[[#This Row],[Date]]), 1)</f>
        <v>45597</v>
      </c>
      <c r="C674" s="20" t="str">
        <f>TEXT(Daily_Data[[#This Row],[Month_key]],"mmmm")</f>
        <v>November</v>
      </c>
      <c r="D674" s="20" t="str">
        <f>TEXT(Daily_Data[[#This Row],[Month_key]],"yyyy")</f>
        <v>2024</v>
      </c>
      <c r="E674" s="7">
        <v>9</v>
      </c>
      <c r="F674" s="7">
        <v>14</v>
      </c>
      <c r="G674" s="8">
        <f>Daily_Data[[#This Row],[Rooms_Occupied]]/F674</f>
        <v>0.6428571428571429</v>
      </c>
      <c r="H674" s="7">
        <v>1839</v>
      </c>
      <c r="I674" s="7">
        <f>Daily_Data[[#This Row],[Room_rate]]*Daily_Data[[#This Row],[Rooms_Occupied]]</f>
        <v>16551</v>
      </c>
      <c r="J674" s="10">
        <f>Daily_Data[[#This Row],[Total_Sales]] * 0.22</f>
        <v>3641.22</v>
      </c>
      <c r="K674" s="10">
        <f>INDEX(Expense_master[Monthly_Rent],MATCH(Daily_Data[[#This Row],[Month_key]],Expense_master[Month_Key],0)) / INDEX(Expense_master[Days_in_Month],MATCH(Daily_Data[[#This Row],[Month_key]],Expense_master[Month_Key],0))</f>
        <v>8333.3333333333339</v>
      </c>
      <c r="L674" s="10">
        <f>SUMIFS(Expense_master[Staff_Salary],Expense_master[Month_Key],Daily_Data[[#This Row],[Month_key]]) / SUMIFS(Expense_master[Days_in_Month],Expense_master[Month_Key],Daily_Data[[#This Row],[Month_key]])</f>
        <v>2333.3333333333335</v>
      </c>
      <c r="M674" s="10">
        <f>Daily_Data[[#This Row],[Rooms_Occupied]] * (SUMIFS(Expense_master[Housekeeping_Laundy],Expense_master[Month_Key],Daily_Data[[#This Row],[Month_key]]) / SUMIFS(Occupancy_table[Monthly_rooms_Occupied],Occupancy_table[Month_Key],Daily_Data[[#This Row],[Month_key]]))</f>
        <v>267.06231454005933</v>
      </c>
      <c r="N67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1470.613175074184</v>
      </c>
      <c r="O674" s="10">
        <f>SUMIFS(Expense_master[Monthly_Maintenance],Expense_master[Month_Key],Daily_Data[[#This Row],[Month_key]]) / SUMIFS(Expense_master[Days_in_Month],Expense_master[Month_Key], Daily_Data[[#This Row],[Month_key]])</f>
        <v>666.66666666666663</v>
      </c>
      <c r="P674" s="10">
        <f xml:space="preserve"> Daily_Data[[#This Row],[OTA Commision]] + Daily_Data[[#This Row],[Daily_Rent]]+Daily_Data[[#This Row],[Daily_Staff]]+Daily_Data[[#This Row],[Daily_HK]]+Daily_Data[[#This Row],[Daily_Electricity]] + Daily_Data[[#This Row],[Daily Maintenance]]</f>
        <v>16712.228822947578</v>
      </c>
      <c r="Q674" s="10">
        <f>Daily_Data[[#This Row],[Total_Sales]]-Daily_Data[[#This Row],[Total_Daily_Expense]]</f>
        <v>-161.22882294757801</v>
      </c>
      <c r="R674" s="10">
        <f>Daily_Data[[#This Row],[Total_Sales]]/Daily_Data[[#This Row],[Rooms_Occupied]]</f>
        <v>1839</v>
      </c>
      <c r="S674" s="10">
        <f>Daily_Data[[#This Row],[Total_Sales]] / Daily_Data[[#This Row],[Max_rooms]]</f>
        <v>1182.2142857142858</v>
      </c>
    </row>
    <row r="675" spans="1:19" x14ac:dyDescent="0.25">
      <c r="A675" s="6">
        <v>45600</v>
      </c>
      <c r="B675" s="20">
        <f>DATE(YEAR(Daily_Data[[#This Row],[Date]]), MONTH(Daily_Data[[#This Row],[Date]]), 1)</f>
        <v>45597</v>
      </c>
      <c r="C675" s="20" t="str">
        <f>TEXT(Daily_Data[[#This Row],[Month_key]],"mmmm")</f>
        <v>November</v>
      </c>
      <c r="D675" s="20" t="str">
        <f>TEXT(Daily_Data[[#This Row],[Month_key]],"yyyy")</f>
        <v>2024</v>
      </c>
      <c r="E675" s="7">
        <v>14</v>
      </c>
      <c r="F675" s="7">
        <v>14</v>
      </c>
      <c r="G675" s="8">
        <f>Daily_Data[[#This Row],[Rooms_Occupied]]/F675</f>
        <v>1</v>
      </c>
      <c r="H675" s="7">
        <v>1713</v>
      </c>
      <c r="I675" s="7">
        <f>Daily_Data[[#This Row],[Room_rate]]*Daily_Data[[#This Row],[Rooms_Occupied]]</f>
        <v>23982</v>
      </c>
      <c r="J675" s="10">
        <f>Daily_Data[[#This Row],[Total_Sales]] * 0.22</f>
        <v>5276.04</v>
      </c>
      <c r="K675" s="10">
        <f>INDEX(Expense_master[Monthly_Rent],MATCH(Daily_Data[[#This Row],[Month_key]],Expense_master[Month_Key],0)) / INDEX(Expense_master[Days_in_Month],MATCH(Daily_Data[[#This Row],[Month_key]],Expense_master[Month_Key],0))</f>
        <v>8333.3333333333339</v>
      </c>
      <c r="L675" s="10">
        <f>SUMIFS(Expense_master[Staff_Salary],Expense_master[Month_Key],Daily_Data[[#This Row],[Month_key]]) / SUMIFS(Expense_master[Days_in_Month],Expense_master[Month_Key],Daily_Data[[#This Row],[Month_key]])</f>
        <v>2333.3333333333335</v>
      </c>
      <c r="M675" s="10">
        <f>Daily_Data[[#This Row],[Rooms_Occupied]] * (SUMIFS(Expense_master[Housekeeping_Laundy],Expense_master[Month_Key],Daily_Data[[#This Row],[Month_key]]) / SUMIFS(Occupancy_table[Monthly_rooms_Occupied],Occupancy_table[Month_Key],Daily_Data[[#This Row],[Month_key]]))</f>
        <v>415.43026706231456</v>
      </c>
      <c r="N67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1916.5538278931749</v>
      </c>
      <c r="O675" s="10">
        <f>SUMIFS(Expense_master[Monthly_Maintenance],Expense_master[Month_Key],Daily_Data[[#This Row],[Month_key]]) / SUMIFS(Expense_master[Days_in_Month],Expense_master[Month_Key], Daily_Data[[#This Row],[Month_key]])</f>
        <v>666.66666666666663</v>
      </c>
      <c r="P675" s="10">
        <f xml:space="preserve"> Daily_Data[[#This Row],[OTA Commision]] + Daily_Data[[#This Row],[Daily_Rent]]+Daily_Data[[#This Row],[Daily_Staff]]+Daily_Data[[#This Row],[Daily_HK]]+Daily_Data[[#This Row],[Daily_Electricity]] + Daily_Data[[#This Row],[Daily Maintenance]]</f>
        <v>18941.357428288826</v>
      </c>
      <c r="Q675" s="10">
        <f>Daily_Data[[#This Row],[Total_Sales]]-Daily_Data[[#This Row],[Total_Daily_Expense]]</f>
        <v>5040.6425717111742</v>
      </c>
      <c r="R675" s="10">
        <f>Daily_Data[[#This Row],[Total_Sales]]/Daily_Data[[#This Row],[Rooms_Occupied]]</f>
        <v>1713</v>
      </c>
      <c r="S675" s="10">
        <f>Daily_Data[[#This Row],[Total_Sales]] / Daily_Data[[#This Row],[Max_rooms]]</f>
        <v>1713</v>
      </c>
    </row>
    <row r="676" spans="1:19" x14ac:dyDescent="0.25">
      <c r="A676" s="6">
        <v>45601</v>
      </c>
      <c r="B676" s="20">
        <f>DATE(YEAR(Daily_Data[[#This Row],[Date]]), MONTH(Daily_Data[[#This Row],[Date]]), 1)</f>
        <v>45597</v>
      </c>
      <c r="C676" s="20" t="str">
        <f>TEXT(Daily_Data[[#This Row],[Month_key]],"mmmm")</f>
        <v>November</v>
      </c>
      <c r="D676" s="20" t="str">
        <f>TEXT(Daily_Data[[#This Row],[Month_key]],"yyyy")</f>
        <v>2024</v>
      </c>
      <c r="E676" s="7">
        <v>11</v>
      </c>
      <c r="F676" s="7">
        <v>14</v>
      </c>
      <c r="G676" s="8">
        <f>Daily_Data[[#This Row],[Rooms_Occupied]]/F676</f>
        <v>0.7857142857142857</v>
      </c>
      <c r="H676" s="7">
        <v>1069</v>
      </c>
      <c r="I676" s="7">
        <f>Daily_Data[[#This Row],[Room_rate]]*Daily_Data[[#This Row],[Rooms_Occupied]]</f>
        <v>11759</v>
      </c>
      <c r="J676" s="10">
        <f>Daily_Data[[#This Row],[Total_Sales]] * 0.22</f>
        <v>2586.98</v>
      </c>
      <c r="K676" s="10">
        <f>INDEX(Expense_master[Monthly_Rent],MATCH(Daily_Data[[#This Row],[Month_key]],Expense_master[Month_Key],0)) / INDEX(Expense_master[Days_in_Month],MATCH(Daily_Data[[#This Row],[Month_key]],Expense_master[Month_Key],0))</f>
        <v>8333.3333333333339</v>
      </c>
      <c r="L676" s="10">
        <f>SUMIFS(Expense_master[Staff_Salary],Expense_master[Month_Key],Daily_Data[[#This Row],[Month_key]]) / SUMIFS(Expense_master[Days_in_Month],Expense_master[Month_Key],Daily_Data[[#This Row],[Month_key]])</f>
        <v>2333.3333333333335</v>
      </c>
      <c r="M676" s="10">
        <f>Daily_Data[[#This Row],[Rooms_Occupied]] * (SUMIFS(Expense_master[Housekeeping_Laundy],Expense_master[Month_Key],Daily_Data[[#This Row],[Month_key]]) / SUMIFS(Occupancy_table[Monthly_rooms_Occupied],Occupancy_table[Month_Key],Daily_Data[[#This Row],[Month_key]]))</f>
        <v>326.40949554896144</v>
      </c>
      <c r="N67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1648.9894362017803</v>
      </c>
      <c r="O676" s="10">
        <f>SUMIFS(Expense_master[Monthly_Maintenance],Expense_master[Month_Key],Daily_Data[[#This Row],[Month_key]]) / SUMIFS(Expense_master[Days_in_Month],Expense_master[Month_Key], Daily_Data[[#This Row],[Month_key]])</f>
        <v>666.66666666666663</v>
      </c>
      <c r="P676" s="10">
        <f xml:space="preserve"> Daily_Data[[#This Row],[OTA Commision]] + Daily_Data[[#This Row],[Daily_Rent]]+Daily_Data[[#This Row],[Daily_Staff]]+Daily_Data[[#This Row],[Daily_HK]]+Daily_Data[[#This Row],[Daily_Electricity]] + Daily_Data[[#This Row],[Daily Maintenance]]</f>
        <v>15895.712265084076</v>
      </c>
      <c r="Q676" s="10">
        <f>Daily_Data[[#This Row],[Total_Sales]]-Daily_Data[[#This Row],[Total_Daily_Expense]]</f>
        <v>-4136.7122650840756</v>
      </c>
      <c r="R676" s="10">
        <f>Daily_Data[[#This Row],[Total_Sales]]/Daily_Data[[#This Row],[Rooms_Occupied]]</f>
        <v>1069</v>
      </c>
      <c r="S676" s="10">
        <f>Daily_Data[[#This Row],[Total_Sales]] / Daily_Data[[#This Row],[Max_rooms]]</f>
        <v>839.92857142857144</v>
      </c>
    </row>
    <row r="677" spans="1:19" x14ac:dyDescent="0.25">
      <c r="A677" s="6">
        <v>45602</v>
      </c>
      <c r="B677" s="20">
        <f>DATE(YEAR(Daily_Data[[#This Row],[Date]]), MONTH(Daily_Data[[#This Row],[Date]]), 1)</f>
        <v>45597</v>
      </c>
      <c r="C677" s="20" t="str">
        <f>TEXT(Daily_Data[[#This Row],[Month_key]],"mmmm")</f>
        <v>November</v>
      </c>
      <c r="D677" s="20" t="str">
        <f>TEXT(Daily_Data[[#This Row],[Month_key]],"yyyy")</f>
        <v>2024</v>
      </c>
      <c r="E677" s="7">
        <v>8</v>
      </c>
      <c r="F677" s="7">
        <v>14</v>
      </c>
      <c r="G677" s="8">
        <f>Daily_Data[[#This Row],[Rooms_Occupied]]/F677</f>
        <v>0.5714285714285714</v>
      </c>
      <c r="H677" s="7">
        <v>1407</v>
      </c>
      <c r="I677" s="7">
        <f>Daily_Data[[#This Row],[Room_rate]]*Daily_Data[[#This Row],[Rooms_Occupied]]</f>
        <v>11256</v>
      </c>
      <c r="J677" s="10">
        <f>Daily_Data[[#This Row],[Total_Sales]] * 0.22</f>
        <v>2476.3200000000002</v>
      </c>
      <c r="K677" s="10">
        <f>INDEX(Expense_master[Monthly_Rent],MATCH(Daily_Data[[#This Row],[Month_key]],Expense_master[Month_Key],0)) / INDEX(Expense_master[Days_in_Month],MATCH(Daily_Data[[#This Row],[Month_key]],Expense_master[Month_Key],0))</f>
        <v>8333.3333333333339</v>
      </c>
      <c r="L677" s="10">
        <f>SUMIFS(Expense_master[Staff_Salary],Expense_master[Month_Key],Daily_Data[[#This Row],[Month_key]]) / SUMIFS(Expense_master[Days_in_Month],Expense_master[Month_Key],Daily_Data[[#This Row],[Month_key]])</f>
        <v>2333.3333333333335</v>
      </c>
      <c r="M677" s="10">
        <f>Daily_Data[[#This Row],[Rooms_Occupied]] * (SUMIFS(Expense_master[Housekeeping_Laundy],Expense_master[Month_Key],Daily_Data[[#This Row],[Month_key]]) / SUMIFS(Occupancy_table[Monthly_rooms_Occupied],Occupancy_table[Month_Key],Daily_Data[[#This Row],[Month_key]]))</f>
        <v>237.38872403560831</v>
      </c>
      <c r="N67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1381.4250445103858</v>
      </c>
      <c r="O677" s="10">
        <f>SUMIFS(Expense_master[Monthly_Maintenance],Expense_master[Month_Key],Daily_Data[[#This Row],[Month_key]]) / SUMIFS(Expense_master[Days_in_Month],Expense_master[Month_Key], Daily_Data[[#This Row],[Month_key]])</f>
        <v>666.66666666666663</v>
      </c>
      <c r="P677" s="10">
        <f xml:space="preserve"> Daily_Data[[#This Row],[OTA Commision]] + Daily_Data[[#This Row],[Daily_Rent]]+Daily_Data[[#This Row],[Daily_Staff]]+Daily_Data[[#This Row],[Daily_HK]]+Daily_Data[[#This Row],[Daily_Electricity]] + Daily_Data[[#This Row],[Daily Maintenance]]</f>
        <v>15428.467101879329</v>
      </c>
      <c r="Q677" s="10">
        <f>Daily_Data[[#This Row],[Total_Sales]]-Daily_Data[[#This Row],[Total_Daily_Expense]]</f>
        <v>-4172.4671018793288</v>
      </c>
      <c r="R677" s="10">
        <f>Daily_Data[[#This Row],[Total_Sales]]/Daily_Data[[#This Row],[Rooms_Occupied]]</f>
        <v>1407</v>
      </c>
      <c r="S677" s="10">
        <f>Daily_Data[[#This Row],[Total_Sales]] / Daily_Data[[#This Row],[Max_rooms]]</f>
        <v>804</v>
      </c>
    </row>
    <row r="678" spans="1:19" x14ac:dyDescent="0.25">
      <c r="A678" s="6">
        <v>45603</v>
      </c>
      <c r="B678" s="20">
        <f>DATE(YEAR(Daily_Data[[#This Row],[Date]]), MONTH(Daily_Data[[#This Row],[Date]]), 1)</f>
        <v>45597</v>
      </c>
      <c r="C678" s="20" t="str">
        <f>TEXT(Daily_Data[[#This Row],[Month_key]],"mmmm")</f>
        <v>November</v>
      </c>
      <c r="D678" s="20" t="str">
        <f>TEXT(Daily_Data[[#This Row],[Month_key]],"yyyy")</f>
        <v>2024</v>
      </c>
      <c r="E678" s="7">
        <v>10</v>
      </c>
      <c r="F678" s="7">
        <v>14</v>
      </c>
      <c r="G678" s="8">
        <f>Daily_Data[[#This Row],[Rooms_Occupied]]/F678</f>
        <v>0.7142857142857143</v>
      </c>
      <c r="H678" s="7">
        <v>1918</v>
      </c>
      <c r="I678" s="7">
        <f>Daily_Data[[#This Row],[Room_rate]]*Daily_Data[[#This Row],[Rooms_Occupied]]</f>
        <v>19180</v>
      </c>
      <c r="J678" s="10">
        <f>Daily_Data[[#This Row],[Total_Sales]] * 0.22</f>
        <v>4219.6000000000004</v>
      </c>
      <c r="K678" s="10">
        <f>INDEX(Expense_master[Monthly_Rent],MATCH(Daily_Data[[#This Row],[Month_key]],Expense_master[Month_Key],0)) / INDEX(Expense_master[Days_in_Month],MATCH(Daily_Data[[#This Row],[Month_key]],Expense_master[Month_Key],0))</f>
        <v>8333.3333333333339</v>
      </c>
      <c r="L678" s="10">
        <f>SUMIFS(Expense_master[Staff_Salary],Expense_master[Month_Key],Daily_Data[[#This Row],[Month_key]]) / SUMIFS(Expense_master[Days_in_Month],Expense_master[Month_Key],Daily_Data[[#This Row],[Month_key]])</f>
        <v>2333.3333333333335</v>
      </c>
      <c r="M678" s="10">
        <f>Daily_Data[[#This Row],[Rooms_Occupied]] * (SUMIFS(Expense_master[Housekeeping_Laundy],Expense_master[Month_Key],Daily_Data[[#This Row],[Month_key]]) / SUMIFS(Occupancy_table[Monthly_rooms_Occupied],Occupancy_table[Month_Key],Daily_Data[[#This Row],[Month_key]]))</f>
        <v>296.73590504451039</v>
      </c>
      <c r="N67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1559.8013056379823</v>
      </c>
      <c r="O678" s="10">
        <f>SUMIFS(Expense_master[Monthly_Maintenance],Expense_master[Month_Key],Daily_Data[[#This Row],[Month_key]]) / SUMIFS(Expense_master[Days_in_Month],Expense_master[Month_Key], Daily_Data[[#This Row],[Month_key]])</f>
        <v>666.66666666666663</v>
      </c>
      <c r="P678" s="10">
        <f xml:space="preserve"> Daily_Data[[#This Row],[OTA Commision]] + Daily_Data[[#This Row],[Daily_Rent]]+Daily_Data[[#This Row],[Daily_Staff]]+Daily_Data[[#This Row],[Daily_HK]]+Daily_Data[[#This Row],[Daily_Electricity]] + Daily_Data[[#This Row],[Daily Maintenance]]</f>
        <v>17409.470544015829</v>
      </c>
      <c r="Q678" s="10">
        <f>Daily_Data[[#This Row],[Total_Sales]]-Daily_Data[[#This Row],[Total_Daily_Expense]]</f>
        <v>1770.5294559841714</v>
      </c>
      <c r="R678" s="10">
        <f>Daily_Data[[#This Row],[Total_Sales]]/Daily_Data[[#This Row],[Rooms_Occupied]]</f>
        <v>1918</v>
      </c>
      <c r="S678" s="10">
        <f>Daily_Data[[#This Row],[Total_Sales]] / Daily_Data[[#This Row],[Max_rooms]]</f>
        <v>1370</v>
      </c>
    </row>
    <row r="679" spans="1:19" x14ac:dyDescent="0.25">
      <c r="A679" s="6">
        <v>45604</v>
      </c>
      <c r="B679" s="20">
        <f>DATE(YEAR(Daily_Data[[#This Row],[Date]]), MONTH(Daily_Data[[#This Row],[Date]]), 1)</f>
        <v>45597</v>
      </c>
      <c r="C679" s="20" t="str">
        <f>TEXT(Daily_Data[[#This Row],[Month_key]],"mmmm")</f>
        <v>November</v>
      </c>
      <c r="D679" s="20" t="str">
        <f>TEXT(Daily_Data[[#This Row],[Month_key]],"yyyy")</f>
        <v>2024</v>
      </c>
      <c r="E679" s="7">
        <v>12</v>
      </c>
      <c r="F679" s="7">
        <v>14</v>
      </c>
      <c r="G679" s="8">
        <f>Daily_Data[[#This Row],[Rooms_Occupied]]/F679</f>
        <v>0.8571428571428571</v>
      </c>
      <c r="H679" s="7">
        <v>1624</v>
      </c>
      <c r="I679" s="7">
        <f>Daily_Data[[#This Row],[Room_rate]]*Daily_Data[[#This Row],[Rooms_Occupied]]</f>
        <v>19488</v>
      </c>
      <c r="J679" s="10">
        <f>Daily_Data[[#This Row],[Total_Sales]] * 0.22</f>
        <v>4287.3599999999997</v>
      </c>
      <c r="K679" s="10">
        <f>INDEX(Expense_master[Monthly_Rent],MATCH(Daily_Data[[#This Row],[Month_key]],Expense_master[Month_Key],0)) / INDEX(Expense_master[Days_in_Month],MATCH(Daily_Data[[#This Row],[Month_key]],Expense_master[Month_Key],0))</f>
        <v>8333.3333333333339</v>
      </c>
      <c r="L679" s="10">
        <f>SUMIFS(Expense_master[Staff_Salary],Expense_master[Month_Key],Daily_Data[[#This Row],[Month_key]]) / SUMIFS(Expense_master[Days_in_Month],Expense_master[Month_Key],Daily_Data[[#This Row],[Month_key]])</f>
        <v>2333.3333333333335</v>
      </c>
      <c r="M679" s="10">
        <f>Daily_Data[[#This Row],[Rooms_Occupied]] * (SUMIFS(Expense_master[Housekeeping_Laundy],Expense_master[Month_Key],Daily_Data[[#This Row],[Month_key]]) / SUMIFS(Occupancy_table[Monthly_rooms_Occupied],Occupancy_table[Month_Key],Daily_Data[[#This Row],[Month_key]]))</f>
        <v>356.08308605341244</v>
      </c>
      <c r="N67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1738.1775667655786</v>
      </c>
      <c r="O679" s="10">
        <f>SUMIFS(Expense_master[Monthly_Maintenance],Expense_master[Month_Key],Daily_Data[[#This Row],[Month_key]]) / SUMIFS(Expense_master[Days_in_Month],Expense_master[Month_Key], Daily_Data[[#This Row],[Month_key]])</f>
        <v>666.66666666666663</v>
      </c>
      <c r="P679" s="10">
        <f xml:space="preserve"> Daily_Data[[#This Row],[OTA Commision]] + Daily_Data[[#This Row],[Daily_Rent]]+Daily_Data[[#This Row],[Daily_Staff]]+Daily_Data[[#This Row],[Daily_HK]]+Daily_Data[[#This Row],[Daily_Electricity]] + Daily_Data[[#This Row],[Daily Maintenance]]</f>
        <v>17714.953986152326</v>
      </c>
      <c r="Q679" s="10">
        <f>Daily_Data[[#This Row],[Total_Sales]]-Daily_Data[[#This Row],[Total_Daily_Expense]]</f>
        <v>1773.0460138476737</v>
      </c>
      <c r="R679" s="10">
        <f>Daily_Data[[#This Row],[Total_Sales]]/Daily_Data[[#This Row],[Rooms_Occupied]]</f>
        <v>1624</v>
      </c>
      <c r="S679" s="10">
        <f>Daily_Data[[#This Row],[Total_Sales]] / Daily_Data[[#This Row],[Max_rooms]]</f>
        <v>1392</v>
      </c>
    </row>
    <row r="680" spans="1:19" x14ac:dyDescent="0.25">
      <c r="A680" s="6">
        <v>45605</v>
      </c>
      <c r="B680" s="20">
        <f>DATE(YEAR(Daily_Data[[#This Row],[Date]]), MONTH(Daily_Data[[#This Row],[Date]]), 1)</f>
        <v>45597</v>
      </c>
      <c r="C680" s="20" t="str">
        <f>TEXT(Daily_Data[[#This Row],[Month_key]],"mmmm")</f>
        <v>November</v>
      </c>
      <c r="D680" s="20" t="str">
        <f>TEXT(Daily_Data[[#This Row],[Month_key]],"yyyy")</f>
        <v>2024</v>
      </c>
      <c r="E680" s="7">
        <v>14</v>
      </c>
      <c r="F680" s="7">
        <v>14</v>
      </c>
      <c r="G680" s="8">
        <f>Daily_Data[[#This Row],[Rooms_Occupied]]/F680</f>
        <v>1</v>
      </c>
      <c r="H680" s="7">
        <v>1712</v>
      </c>
      <c r="I680" s="7">
        <f>Daily_Data[[#This Row],[Room_rate]]*Daily_Data[[#This Row],[Rooms_Occupied]]</f>
        <v>23968</v>
      </c>
      <c r="J680" s="10">
        <f>Daily_Data[[#This Row],[Total_Sales]] * 0.22</f>
        <v>5272.96</v>
      </c>
      <c r="K680" s="10">
        <f>INDEX(Expense_master[Monthly_Rent],MATCH(Daily_Data[[#This Row],[Month_key]],Expense_master[Month_Key],0)) / INDEX(Expense_master[Days_in_Month],MATCH(Daily_Data[[#This Row],[Month_key]],Expense_master[Month_Key],0))</f>
        <v>8333.3333333333339</v>
      </c>
      <c r="L680" s="10">
        <f>SUMIFS(Expense_master[Staff_Salary],Expense_master[Month_Key],Daily_Data[[#This Row],[Month_key]]) / SUMIFS(Expense_master[Days_in_Month],Expense_master[Month_Key],Daily_Data[[#This Row],[Month_key]])</f>
        <v>2333.3333333333335</v>
      </c>
      <c r="M680" s="10">
        <f>Daily_Data[[#This Row],[Rooms_Occupied]] * (SUMIFS(Expense_master[Housekeeping_Laundy],Expense_master[Month_Key],Daily_Data[[#This Row],[Month_key]]) / SUMIFS(Occupancy_table[Monthly_rooms_Occupied],Occupancy_table[Month_Key],Daily_Data[[#This Row],[Month_key]]))</f>
        <v>415.43026706231456</v>
      </c>
      <c r="N68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1916.5538278931749</v>
      </c>
      <c r="O680" s="10">
        <f>SUMIFS(Expense_master[Monthly_Maintenance],Expense_master[Month_Key],Daily_Data[[#This Row],[Month_key]]) / SUMIFS(Expense_master[Days_in_Month],Expense_master[Month_Key], Daily_Data[[#This Row],[Month_key]])</f>
        <v>666.66666666666663</v>
      </c>
      <c r="P680" s="10">
        <f xml:space="preserve"> Daily_Data[[#This Row],[OTA Commision]] + Daily_Data[[#This Row],[Daily_Rent]]+Daily_Data[[#This Row],[Daily_Staff]]+Daily_Data[[#This Row],[Daily_HK]]+Daily_Data[[#This Row],[Daily_Electricity]] + Daily_Data[[#This Row],[Daily Maintenance]]</f>
        <v>18938.277428288828</v>
      </c>
      <c r="Q680" s="10">
        <f>Daily_Data[[#This Row],[Total_Sales]]-Daily_Data[[#This Row],[Total_Daily_Expense]]</f>
        <v>5029.7225717111723</v>
      </c>
      <c r="R680" s="10">
        <f>Daily_Data[[#This Row],[Total_Sales]]/Daily_Data[[#This Row],[Rooms_Occupied]]</f>
        <v>1712</v>
      </c>
      <c r="S680" s="10">
        <f>Daily_Data[[#This Row],[Total_Sales]] / Daily_Data[[#This Row],[Max_rooms]]</f>
        <v>1712</v>
      </c>
    </row>
    <row r="681" spans="1:19" x14ac:dyDescent="0.25">
      <c r="A681" s="6">
        <v>45606</v>
      </c>
      <c r="B681" s="20">
        <f>DATE(YEAR(Daily_Data[[#This Row],[Date]]), MONTH(Daily_Data[[#This Row],[Date]]), 1)</f>
        <v>45597</v>
      </c>
      <c r="C681" s="20" t="str">
        <f>TEXT(Daily_Data[[#This Row],[Month_key]],"mmmm")</f>
        <v>November</v>
      </c>
      <c r="D681" s="20" t="str">
        <f>TEXT(Daily_Data[[#This Row],[Month_key]],"yyyy")</f>
        <v>2024</v>
      </c>
      <c r="E681" s="7">
        <v>8</v>
      </c>
      <c r="F681" s="7">
        <v>14</v>
      </c>
      <c r="G681" s="8">
        <f>Daily_Data[[#This Row],[Rooms_Occupied]]/F681</f>
        <v>0.5714285714285714</v>
      </c>
      <c r="H681" s="7">
        <v>1299</v>
      </c>
      <c r="I681" s="7">
        <f>Daily_Data[[#This Row],[Room_rate]]*Daily_Data[[#This Row],[Rooms_Occupied]]</f>
        <v>10392</v>
      </c>
      <c r="J681" s="10">
        <f>Daily_Data[[#This Row],[Total_Sales]] * 0.22</f>
        <v>2286.2400000000002</v>
      </c>
      <c r="K681" s="10">
        <f>INDEX(Expense_master[Monthly_Rent],MATCH(Daily_Data[[#This Row],[Month_key]],Expense_master[Month_Key],0)) / INDEX(Expense_master[Days_in_Month],MATCH(Daily_Data[[#This Row],[Month_key]],Expense_master[Month_Key],0))</f>
        <v>8333.3333333333339</v>
      </c>
      <c r="L681" s="10">
        <f>SUMIFS(Expense_master[Staff_Salary],Expense_master[Month_Key],Daily_Data[[#This Row],[Month_key]]) / SUMIFS(Expense_master[Days_in_Month],Expense_master[Month_Key],Daily_Data[[#This Row],[Month_key]])</f>
        <v>2333.3333333333335</v>
      </c>
      <c r="M681" s="10">
        <f>Daily_Data[[#This Row],[Rooms_Occupied]] * (SUMIFS(Expense_master[Housekeeping_Laundy],Expense_master[Month_Key],Daily_Data[[#This Row],[Month_key]]) / SUMIFS(Occupancy_table[Monthly_rooms_Occupied],Occupancy_table[Month_Key],Daily_Data[[#This Row],[Month_key]]))</f>
        <v>237.38872403560831</v>
      </c>
      <c r="N68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1381.4250445103858</v>
      </c>
      <c r="O681" s="10">
        <f>SUMIFS(Expense_master[Monthly_Maintenance],Expense_master[Month_Key],Daily_Data[[#This Row],[Month_key]]) / SUMIFS(Expense_master[Days_in_Month],Expense_master[Month_Key], Daily_Data[[#This Row],[Month_key]])</f>
        <v>666.66666666666663</v>
      </c>
      <c r="P681" s="10">
        <f xml:space="preserve"> Daily_Data[[#This Row],[OTA Commision]] + Daily_Data[[#This Row],[Daily_Rent]]+Daily_Data[[#This Row],[Daily_Staff]]+Daily_Data[[#This Row],[Daily_HK]]+Daily_Data[[#This Row],[Daily_Electricity]] + Daily_Data[[#This Row],[Daily Maintenance]]</f>
        <v>15238.387101879329</v>
      </c>
      <c r="Q681" s="10">
        <f>Daily_Data[[#This Row],[Total_Sales]]-Daily_Data[[#This Row],[Total_Daily_Expense]]</f>
        <v>-4846.3871018793288</v>
      </c>
      <c r="R681" s="10">
        <f>Daily_Data[[#This Row],[Total_Sales]]/Daily_Data[[#This Row],[Rooms_Occupied]]</f>
        <v>1299</v>
      </c>
      <c r="S681" s="10">
        <f>Daily_Data[[#This Row],[Total_Sales]] / Daily_Data[[#This Row],[Max_rooms]]</f>
        <v>742.28571428571433</v>
      </c>
    </row>
    <row r="682" spans="1:19" x14ac:dyDescent="0.25">
      <c r="A682" s="6">
        <v>45607</v>
      </c>
      <c r="B682" s="20">
        <f>DATE(YEAR(Daily_Data[[#This Row],[Date]]), MONTH(Daily_Data[[#This Row],[Date]]), 1)</f>
        <v>45597</v>
      </c>
      <c r="C682" s="20" t="str">
        <f>TEXT(Daily_Data[[#This Row],[Month_key]],"mmmm")</f>
        <v>November</v>
      </c>
      <c r="D682" s="20" t="str">
        <f>TEXT(Daily_Data[[#This Row],[Month_key]],"yyyy")</f>
        <v>2024</v>
      </c>
      <c r="E682" s="7">
        <v>11</v>
      </c>
      <c r="F682" s="7">
        <v>14</v>
      </c>
      <c r="G682" s="8">
        <f>Daily_Data[[#This Row],[Rooms_Occupied]]/F682</f>
        <v>0.7857142857142857</v>
      </c>
      <c r="H682" s="7">
        <v>1928</v>
      </c>
      <c r="I682" s="7">
        <f>Daily_Data[[#This Row],[Room_rate]]*Daily_Data[[#This Row],[Rooms_Occupied]]</f>
        <v>21208</v>
      </c>
      <c r="J682" s="10">
        <f>Daily_Data[[#This Row],[Total_Sales]] * 0.22</f>
        <v>4665.76</v>
      </c>
      <c r="K682" s="10">
        <f>INDEX(Expense_master[Monthly_Rent],MATCH(Daily_Data[[#This Row],[Month_key]],Expense_master[Month_Key],0)) / INDEX(Expense_master[Days_in_Month],MATCH(Daily_Data[[#This Row],[Month_key]],Expense_master[Month_Key],0))</f>
        <v>8333.3333333333339</v>
      </c>
      <c r="L682" s="10">
        <f>SUMIFS(Expense_master[Staff_Salary],Expense_master[Month_Key],Daily_Data[[#This Row],[Month_key]]) / SUMIFS(Expense_master[Days_in_Month],Expense_master[Month_Key],Daily_Data[[#This Row],[Month_key]])</f>
        <v>2333.3333333333335</v>
      </c>
      <c r="M682" s="10">
        <f>Daily_Data[[#This Row],[Rooms_Occupied]] * (SUMIFS(Expense_master[Housekeeping_Laundy],Expense_master[Month_Key],Daily_Data[[#This Row],[Month_key]]) / SUMIFS(Occupancy_table[Monthly_rooms_Occupied],Occupancy_table[Month_Key],Daily_Data[[#This Row],[Month_key]]))</f>
        <v>326.40949554896144</v>
      </c>
      <c r="N68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1648.9894362017803</v>
      </c>
      <c r="O682" s="10">
        <f>SUMIFS(Expense_master[Monthly_Maintenance],Expense_master[Month_Key],Daily_Data[[#This Row],[Month_key]]) / SUMIFS(Expense_master[Days_in_Month],Expense_master[Month_Key], Daily_Data[[#This Row],[Month_key]])</f>
        <v>666.66666666666663</v>
      </c>
      <c r="P682" s="10">
        <f xml:space="preserve"> Daily_Data[[#This Row],[OTA Commision]] + Daily_Data[[#This Row],[Daily_Rent]]+Daily_Data[[#This Row],[Daily_Staff]]+Daily_Data[[#This Row],[Daily_HK]]+Daily_Data[[#This Row],[Daily_Electricity]] + Daily_Data[[#This Row],[Daily Maintenance]]</f>
        <v>17974.492265084078</v>
      </c>
      <c r="Q682" s="10">
        <f>Daily_Data[[#This Row],[Total_Sales]]-Daily_Data[[#This Row],[Total_Daily_Expense]]</f>
        <v>3233.5077349159219</v>
      </c>
      <c r="R682" s="10">
        <f>Daily_Data[[#This Row],[Total_Sales]]/Daily_Data[[#This Row],[Rooms_Occupied]]</f>
        <v>1928</v>
      </c>
      <c r="S682" s="10">
        <f>Daily_Data[[#This Row],[Total_Sales]] / Daily_Data[[#This Row],[Max_rooms]]</f>
        <v>1514.8571428571429</v>
      </c>
    </row>
    <row r="683" spans="1:19" x14ac:dyDescent="0.25">
      <c r="A683" s="6">
        <v>45608</v>
      </c>
      <c r="B683" s="20">
        <f>DATE(YEAR(Daily_Data[[#This Row],[Date]]), MONTH(Daily_Data[[#This Row],[Date]]), 1)</f>
        <v>45597</v>
      </c>
      <c r="C683" s="20" t="str">
        <f>TEXT(Daily_Data[[#This Row],[Month_key]],"mmmm")</f>
        <v>November</v>
      </c>
      <c r="D683" s="20" t="str">
        <f>TEXT(Daily_Data[[#This Row],[Month_key]],"yyyy")</f>
        <v>2024</v>
      </c>
      <c r="E683" s="7">
        <v>13</v>
      </c>
      <c r="F683" s="7">
        <v>14</v>
      </c>
      <c r="G683" s="8">
        <f>Daily_Data[[#This Row],[Rooms_Occupied]]/F683</f>
        <v>0.9285714285714286</v>
      </c>
      <c r="H683" s="7">
        <v>1478</v>
      </c>
      <c r="I683" s="7">
        <f>Daily_Data[[#This Row],[Room_rate]]*Daily_Data[[#This Row],[Rooms_Occupied]]</f>
        <v>19214</v>
      </c>
      <c r="J683" s="10">
        <f>Daily_Data[[#This Row],[Total_Sales]] * 0.22</f>
        <v>4227.08</v>
      </c>
      <c r="K683" s="10">
        <f>INDEX(Expense_master[Monthly_Rent],MATCH(Daily_Data[[#This Row],[Month_key]],Expense_master[Month_Key],0)) / INDEX(Expense_master[Days_in_Month],MATCH(Daily_Data[[#This Row],[Month_key]],Expense_master[Month_Key],0))</f>
        <v>8333.3333333333339</v>
      </c>
      <c r="L683" s="10">
        <f>SUMIFS(Expense_master[Staff_Salary],Expense_master[Month_Key],Daily_Data[[#This Row],[Month_key]]) / SUMIFS(Expense_master[Days_in_Month],Expense_master[Month_Key],Daily_Data[[#This Row],[Month_key]])</f>
        <v>2333.3333333333335</v>
      </c>
      <c r="M683" s="10">
        <f>Daily_Data[[#This Row],[Rooms_Occupied]] * (SUMIFS(Expense_master[Housekeeping_Laundy],Expense_master[Month_Key],Daily_Data[[#This Row],[Month_key]]) / SUMIFS(Occupancy_table[Monthly_rooms_Occupied],Occupancy_table[Month_Key],Daily_Data[[#This Row],[Month_key]]))</f>
        <v>385.7566765578635</v>
      </c>
      <c r="N68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1827.3656973293769</v>
      </c>
      <c r="O683" s="10">
        <f>SUMIFS(Expense_master[Monthly_Maintenance],Expense_master[Month_Key],Daily_Data[[#This Row],[Month_key]]) / SUMIFS(Expense_master[Days_in_Month],Expense_master[Month_Key], Daily_Data[[#This Row],[Month_key]])</f>
        <v>666.66666666666663</v>
      </c>
      <c r="P683" s="10">
        <f xml:space="preserve"> Daily_Data[[#This Row],[OTA Commision]] + Daily_Data[[#This Row],[Daily_Rent]]+Daily_Data[[#This Row],[Daily_Staff]]+Daily_Data[[#This Row],[Daily_HK]]+Daily_Data[[#This Row],[Daily_Electricity]] + Daily_Data[[#This Row],[Daily Maintenance]]</f>
        <v>17773.535707220577</v>
      </c>
      <c r="Q683" s="10">
        <f>Daily_Data[[#This Row],[Total_Sales]]-Daily_Data[[#This Row],[Total_Daily_Expense]]</f>
        <v>1440.464292779423</v>
      </c>
      <c r="R683" s="10">
        <f>Daily_Data[[#This Row],[Total_Sales]]/Daily_Data[[#This Row],[Rooms_Occupied]]</f>
        <v>1478</v>
      </c>
      <c r="S683" s="10">
        <f>Daily_Data[[#This Row],[Total_Sales]] / Daily_Data[[#This Row],[Max_rooms]]</f>
        <v>1372.4285714285713</v>
      </c>
    </row>
    <row r="684" spans="1:19" x14ac:dyDescent="0.25">
      <c r="A684" s="6">
        <v>45609</v>
      </c>
      <c r="B684" s="20">
        <f>DATE(YEAR(Daily_Data[[#This Row],[Date]]), MONTH(Daily_Data[[#This Row],[Date]]), 1)</f>
        <v>45597</v>
      </c>
      <c r="C684" s="20" t="str">
        <f>TEXT(Daily_Data[[#This Row],[Month_key]],"mmmm")</f>
        <v>November</v>
      </c>
      <c r="D684" s="20" t="str">
        <f>TEXT(Daily_Data[[#This Row],[Month_key]],"yyyy")</f>
        <v>2024</v>
      </c>
      <c r="E684" s="7">
        <v>8</v>
      </c>
      <c r="F684" s="7">
        <v>14</v>
      </c>
      <c r="G684" s="8">
        <f>Daily_Data[[#This Row],[Rooms_Occupied]]/F684</f>
        <v>0.5714285714285714</v>
      </c>
      <c r="H684" s="7">
        <v>1742</v>
      </c>
      <c r="I684" s="7">
        <f>Daily_Data[[#This Row],[Room_rate]]*Daily_Data[[#This Row],[Rooms_Occupied]]</f>
        <v>13936</v>
      </c>
      <c r="J684" s="10">
        <f>Daily_Data[[#This Row],[Total_Sales]] * 0.22</f>
        <v>3065.92</v>
      </c>
      <c r="K684" s="10">
        <f>INDEX(Expense_master[Monthly_Rent],MATCH(Daily_Data[[#This Row],[Month_key]],Expense_master[Month_Key],0)) / INDEX(Expense_master[Days_in_Month],MATCH(Daily_Data[[#This Row],[Month_key]],Expense_master[Month_Key],0))</f>
        <v>8333.3333333333339</v>
      </c>
      <c r="L684" s="10">
        <f>SUMIFS(Expense_master[Staff_Salary],Expense_master[Month_Key],Daily_Data[[#This Row],[Month_key]]) / SUMIFS(Expense_master[Days_in_Month],Expense_master[Month_Key],Daily_Data[[#This Row],[Month_key]])</f>
        <v>2333.3333333333335</v>
      </c>
      <c r="M684" s="10">
        <f>Daily_Data[[#This Row],[Rooms_Occupied]] * (SUMIFS(Expense_master[Housekeeping_Laundy],Expense_master[Month_Key],Daily_Data[[#This Row],[Month_key]]) / SUMIFS(Occupancy_table[Monthly_rooms_Occupied],Occupancy_table[Month_Key],Daily_Data[[#This Row],[Month_key]]))</f>
        <v>237.38872403560831</v>
      </c>
      <c r="N68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1381.4250445103858</v>
      </c>
      <c r="O684" s="10">
        <f>SUMIFS(Expense_master[Monthly_Maintenance],Expense_master[Month_Key],Daily_Data[[#This Row],[Month_key]]) / SUMIFS(Expense_master[Days_in_Month],Expense_master[Month_Key], Daily_Data[[#This Row],[Month_key]])</f>
        <v>666.66666666666663</v>
      </c>
      <c r="P684" s="10">
        <f xml:space="preserve"> Daily_Data[[#This Row],[OTA Commision]] + Daily_Data[[#This Row],[Daily_Rent]]+Daily_Data[[#This Row],[Daily_Staff]]+Daily_Data[[#This Row],[Daily_HK]]+Daily_Data[[#This Row],[Daily_Electricity]] + Daily_Data[[#This Row],[Daily Maintenance]]</f>
        <v>16018.067101879329</v>
      </c>
      <c r="Q684" s="10">
        <f>Daily_Data[[#This Row],[Total_Sales]]-Daily_Data[[#This Row],[Total_Daily_Expense]]</f>
        <v>-2082.0671018793291</v>
      </c>
      <c r="R684" s="10">
        <f>Daily_Data[[#This Row],[Total_Sales]]/Daily_Data[[#This Row],[Rooms_Occupied]]</f>
        <v>1742</v>
      </c>
      <c r="S684" s="10">
        <f>Daily_Data[[#This Row],[Total_Sales]] / Daily_Data[[#This Row],[Max_rooms]]</f>
        <v>995.42857142857144</v>
      </c>
    </row>
    <row r="685" spans="1:19" x14ac:dyDescent="0.25">
      <c r="A685" s="6">
        <v>45610</v>
      </c>
      <c r="B685" s="20">
        <f>DATE(YEAR(Daily_Data[[#This Row],[Date]]), MONTH(Daily_Data[[#This Row],[Date]]), 1)</f>
        <v>45597</v>
      </c>
      <c r="C685" s="20" t="str">
        <f>TEXT(Daily_Data[[#This Row],[Month_key]],"mmmm")</f>
        <v>November</v>
      </c>
      <c r="D685" s="20" t="str">
        <f>TEXT(Daily_Data[[#This Row],[Month_key]],"yyyy")</f>
        <v>2024</v>
      </c>
      <c r="E685" s="7">
        <v>14</v>
      </c>
      <c r="F685" s="7">
        <v>14</v>
      </c>
      <c r="G685" s="8">
        <f>Daily_Data[[#This Row],[Rooms_Occupied]]/F685</f>
        <v>1</v>
      </c>
      <c r="H685" s="7">
        <v>1857</v>
      </c>
      <c r="I685" s="7">
        <f>Daily_Data[[#This Row],[Room_rate]]*Daily_Data[[#This Row],[Rooms_Occupied]]</f>
        <v>25998</v>
      </c>
      <c r="J685" s="10">
        <f>Daily_Data[[#This Row],[Total_Sales]] * 0.22</f>
        <v>5719.56</v>
      </c>
      <c r="K685" s="10">
        <f>INDEX(Expense_master[Monthly_Rent],MATCH(Daily_Data[[#This Row],[Month_key]],Expense_master[Month_Key],0)) / INDEX(Expense_master[Days_in_Month],MATCH(Daily_Data[[#This Row],[Month_key]],Expense_master[Month_Key],0))</f>
        <v>8333.3333333333339</v>
      </c>
      <c r="L685" s="10">
        <f>SUMIFS(Expense_master[Staff_Salary],Expense_master[Month_Key],Daily_Data[[#This Row],[Month_key]]) / SUMIFS(Expense_master[Days_in_Month],Expense_master[Month_Key],Daily_Data[[#This Row],[Month_key]])</f>
        <v>2333.3333333333335</v>
      </c>
      <c r="M685" s="10">
        <f>Daily_Data[[#This Row],[Rooms_Occupied]] * (SUMIFS(Expense_master[Housekeeping_Laundy],Expense_master[Month_Key],Daily_Data[[#This Row],[Month_key]]) / SUMIFS(Occupancy_table[Monthly_rooms_Occupied],Occupancy_table[Month_Key],Daily_Data[[#This Row],[Month_key]]))</f>
        <v>415.43026706231456</v>
      </c>
      <c r="N68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1916.5538278931749</v>
      </c>
      <c r="O685" s="10">
        <f>SUMIFS(Expense_master[Monthly_Maintenance],Expense_master[Month_Key],Daily_Data[[#This Row],[Month_key]]) / SUMIFS(Expense_master[Days_in_Month],Expense_master[Month_Key], Daily_Data[[#This Row],[Month_key]])</f>
        <v>666.66666666666663</v>
      </c>
      <c r="P685" s="10">
        <f xml:space="preserve"> Daily_Data[[#This Row],[OTA Commision]] + Daily_Data[[#This Row],[Daily_Rent]]+Daily_Data[[#This Row],[Daily_Staff]]+Daily_Data[[#This Row],[Daily_HK]]+Daily_Data[[#This Row],[Daily_Electricity]] + Daily_Data[[#This Row],[Daily Maintenance]]</f>
        <v>19384.877428288823</v>
      </c>
      <c r="Q685" s="10">
        <f>Daily_Data[[#This Row],[Total_Sales]]-Daily_Data[[#This Row],[Total_Daily_Expense]]</f>
        <v>6613.1225717111774</v>
      </c>
      <c r="R685" s="10">
        <f>Daily_Data[[#This Row],[Total_Sales]]/Daily_Data[[#This Row],[Rooms_Occupied]]</f>
        <v>1857</v>
      </c>
      <c r="S685" s="10">
        <f>Daily_Data[[#This Row],[Total_Sales]] / Daily_Data[[#This Row],[Max_rooms]]</f>
        <v>1857</v>
      </c>
    </row>
    <row r="686" spans="1:19" x14ac:dyDescent="0.25">
      <c r="A686" s="6">
        <v>45611</v>
      </c>
      <c r="B686" s="20">
        <f>DATE(YEAR(Daily_Data[[#This Row],[Date]]), MONTH(Daily_Data[[#This Row],[Date]]), 1)</f>
        <v>45597</v>
      </c>
      <c r="C686" s="20" t="str">
        <f>TEXT(Daily_Data[[#This Row],[Month_key]],"mmmm")</f>
        <v>November</v>
      </c>
      <c r="D686" s="20" t="str">
        <f>TEXT(Daily_Data[[#This Row],[Month_key]],"yyyy")</f>
        <v>2024</v>
      </c>
      <c r="E686" s="7">
        <v>12</v>
      </c>
      <c r="F686" s="7">
        <v>14</v>
      </c>
      <c r="G686" s="8">
        <f>Daily_Data[[#This Row],[Rooms_Occupied]]/F686</f>
        <v>0.8571428571428571</v>
      </c>
      <c r="H686" s="7">
        <v>1265</v>
      </c>
      <c r="I686" s="7">
        <f>Daily_Data[[#This Row],[Room_rate]]*Daily_Data[[#This Row],[Rooms_Occupied]]</f>
        <v>15180</v>
      </c>
      <c r="J686" s="10">
        <f>Daily_Data[[#This Row],[Total_Sales]] * 0.22</f>
        <v>3339.6</v>
      </c>
      <c r="K686" s="10">
        <f>INDEX(Expense_master[Monthly_Rent],MATCH(Daily_Data[[#This Row],[Month_key]],Expense_master[Month_Key],0)) / INDEX(Expense_master[Days_in_Month],MATCH(Daily_Data[[#This Row],[Month_key]],Expense_master[Month_Key],0))</f>
        <v>8333.3333333333339</v>
      </c>
      <c r="L686" s="10">
        <f>SUMIFS(Expense_master[Staff_Salary],Expense_master[Month_Key],Daily_Data[[#This Row],[Month_key]]) / SUMIFS(Expense_master[Days_in_Month],Expense_master[Month_Key],Daily_Data[[#This Row],[Month_key]])</f>
        <v>2333.3333333333335</v>
      </c>
      <c r="M686" s="10">
        <f>Daily_Data[[#This Row],[Rooms_Occupied]] * (SUMIFS(Expense_master[Housekeeping_Laundy],Expense_master[Month_Key],Daily_Data[[#This Row],[Month_key]]) / SUMIFS(Occupancy_table[Monthly_rooms_Occupied],Occupancy_table[Month_Key],Daily_Data[[#This Row],[Month_key]]))</f>
        <v>356.08308605341244</v>
      </c>
      <c r="N68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1738.1775667655786</v>
      </c>
      <c r="O686" s="10">
        <f>SUMIFS(Expense_master[Monthly_Maintenance],Expense_master[Month_Key],Daily_Data[[#This Row],[Month_key]]) / SUMIFS(Expense_master[Days_in_Month],Expense_master[Month_Key], Daily_Data[[#This Row],[Month_key]])</f>
        <v>666.66666666666663</v>
      </c>
      <c r="P686" s="10">
        <f xml:space="preserve"> Daily_Data[[#This Row],[OTA Commision]] + Daily_Data[[#This Row],[Daily_Rent]]+Daily_Data[[#This Row],[Daily_Staff]]+Daily_Data[[#This Row],[Daily_HK]]+Daily_Data[[#This Row],[Daily_Electricity]] + Daily_Data[[#This Row],[Daily Maintenance]]</f>
        <v>16767.193986152328</v>
      </c>
      <c r="Q686" s="10">
        <f>Daily_Data[[#This Row],[Total_Sales]]-Daily_Data[[#This Row],[Total_Daily_Expense]]</f>
        <v>-1587.1939861523279</v>
      </c>
      <c r="R686" s="10">
        <f>Daily_Data[[#This Row],[Total_Sales]]/Daily_Data[[#This Row],[Rooms_Occupied]]</f>
        <v>1265</v>
      </c>
      <c r="S686" s="10">
        <f>Daily_Data[[#This Row],[Total_Sales]] / Daily_Data[[#This Row],[Max_rooms]]</f>
        <v>1084.2857142857142</v>
      </c>
    </row>
    <row r="687" spans="1:19" x14ac:dyDescent="0.25">
      <c r="A687" s="6">
        <v>45612</v>
      </c>
      <c r="B687" s="20">
        <f>DATE(YEAR(Daily_Data[[#This Row],[Date]]), MONTH(Daily_Data[[#This Row],[Date]]), 1)</f>
        <v>45597</v>
      </c>
      <c r="C687" s="20" t="str">
        <f>TEXT(Daily_Data[[#This Row],[Month_key]],"mmmm")</f>
        <v>November</v>
      </c>
      <c r="D687" s="20" t="str">
        <f>TEXT(Daily_Data[[#This Row],[Month_key]],"yyyy")</f>
        <v>2024</v>
      </c>
      <c r="E687" s="7">
        <v>9</v>
      </c>
      <c r="F687" s="7">
        <v>14</v>
      </c>
      <c r="G687" s="8">
        <f>Daily_Data[[#This Row],[Rooms_Occupied]]/F687</f>
        <v>0.6428571428571429</v>
      </c>
      <c r="H687" s="7">
        <v>1554</v>
      </c>
      <c r="I687" s="7">
        <f>Daily_Data[[#This Row],[Room_rate]]*Daily_Data[[#This Row],[Rooms_Occupied]]</f>
        <v>13986</v>
      </c>
      <c r="J687" s="10">
        <f>Daily_Data[[#This Row],[Total_Sales]] * 0.22</f>
        <v>3076.92</v>
      </c>
      <c r="K687" s="10">
        <f>INDEX(Expense_master[Monthly_Rent],MATCH(Daily_Data[[#This Row],[Month_key]],Expense_master[Month_Key],0)) / INDEX(Expense_master[Days_in_Month],MATCH(Daily_Data[[#This Row],[Month_key]],Expense_master[Month_Key],0))</f>
        <v>8333.3333333333339</v>
      </c>
      <c r="L687" s="10">
        <f>SUMIFS(Expense_master[Staff_Salary],Expense_master[Month_Key],Daily_Data[[#This Row],[Month_key]]) / SUMIFS(Expense_master[Days_in_Month],Expense_master[Month_Key],Daily_Data[[#This Row],[Month_key]])</f>
        <v>2333.3333333333335</v>
      </c>
      <c r="M687" s="10">
        <f>Daily_Data[[#This Row],[Rooms_Occupied]] * (SUMIFS(Expense_master[Housekeeping_Laundy],Expense_master[Month_Key],Daily_Data[[#This Row],[Month_key]]) / SUMIFS(Occupancy_table[Monthly_rooms_Occupied],Occupancy_table[Month_Key],Daily_Data[[#This Row],[Month_key]]))</f>
        <v>267.06231454005933</v>
      </c>
      <c r="N68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1470.613175074184</v>
      </c>
      <c r="O687" s="10">
        <f>SUMIFS(Expense_master[Monthly_Maintenance],Expense_master[Month_Key],Daily_Data[[#This Row],[Month_key]]) / SUMIFS(Expense_master[Days_in_Month],Expense_master[Month_Key], Daily_Data[[#This Row],[Month_key]])</f>
        <v>666.66666666666663</v>
      </c>
      <c r="P687" s="10">
        <f xml:space="preserve"> Daily_Data[[#This Row],[OTA Commision]] + Daily_Data[[#This Row],[Daily_Rent]]+Daily_Data[[#This Row],[Daily_Staff]]+Daily_Data[[#This Row],[Daily_HK]]+Daily_Data[[#This Row],[Daily_Electricity]] + Daily_Data[[#This Row],[Daily Maintenance]]</f>
        <v>16147.928822947577</v>
      </c>
      <c r="Q687" s="10">
        <f>Daily_Data[[#This Row],[Total_Sales]]-Daily_Data[[#This Row],[Total_Daily_Expense]]</f>
        <v>-2161.9288229475769</v>
      </c>
      <c r="R687" s="10">
        <f>Daily_Data[[#This Row],[Total_Sales]]/Daily_Data[[#This Row],[Rooms_Occupied]]</f>
        <v>1554</v>
      </c>
      <c r="S687" s="10">
        <f>Daily_Data[[#This Row],[Total_Sales]] / Daily_Data[[#This Row],[Max_rooms]]</f>
        <v>999</v>
      </c>
    </row>
    <row r="688" spans="1:19" x14ac:dyDescent="0.25">
      <c r="A688" s="6">
        <v>45613</v>
      </c>
      <c r="B688" s="20">
        <f>DATE(YEAR(Daily_Data[[#This Row],[Date]]), MONTH(Daily_Data[[#This Row],[Date]]), 1)</f>
        <v>45597</v>
      </c>
      <c r="C688" s="20" t="str">
        <f>TEXT(Daily_Data[[#This Row],[Month_key]],"mmmm")</f>
        <v>November</v>
      </c>
      <c r="D688" s="20" t="str">
        <f>TEXT(Daily_Data[[#This Row],[Month_key]],"yyyy")</f>
        <v>2024</v>
      </c>
      <c r="E688" s="7">
        <v>9</v>
      </c>
      <c r="F688" s="7">
        <v>14</v>
      </c>
      <c r="G688" s="8">
        <f>Daily_Data[[#This Row],[Rooms_Occupied]]/F688</f>
        <v>0.6428571428571429</v>
      </c>
      <c r="H688" s="7">
        <v>1008</v>
      </c>
      <c r="I688" s="7">
        <f>Daily_Data[[#This Row],[Room_rate]]*Daily_Data[[#This Row],[Rooms_Occupied]]</f>
        <v>9072</v>
      </c>
      <c r="J688" s="10">
        <f>Daily_Data[[#This Row],[Total_Sales]] * 0.22</f>
        <v>1995.84</v>
      </c>
      <c r="K688" s="10">
        <f>INDEX(Expense_master[Monthly_Rent],MATCH(Daily_Data[[#This Row],[Month_key]],Expense_master[Month_Key],0)) / INDEX(Expense_master[Days_in_Month],MATCH(Daily_Data[[#This Row],[Month_key]],Expense_master[Month_Key],0))</f>
        <v>8333.3333333333339</v>
      </c>
      <c r="L688" s="10">
        <f>SUMIFS(Expense_master[Staff_Salary],Expense_master[Month_Key],Daily_Data[[#This Row],[Month_key]]) / SUMIFS(Expense_master[Days_in_Month],Expense_master[Month_Key],Daily_Data[[#This Row],[Month_key]])</f>
        <v>2333.3333333333335</v>
      </c>
      <c r="M688" s="10">
        <f>Daily_Data[[#This Row],[Rooms_Occupied]] * (SUMIFS(Expense_master[Housekeeping_Laundy],Expense_master[Month_Key],Daily_Data[[#This Row],[Month_key]]) / SUMIFS(Occupancy_table[Monthly_rooms_Occupied],Occupancy_table[Month_Key],Daily_Data[[#This Row],[Month_key]]))</f>
        <v>267.06231454005933</v>
      </c>
      <c r="N68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1470.613175074184</v>
      </c>
      <c r="O688" s="10">
        <f>SUMIFS(Expense_master[Monthly_Maintenance],Expense_master[Month_Key],Daily_Data[[#This Row],[Month_key]]) / SUMIFS(Expense_master[Days_in_Month],Expense_master[Month_Key], Daily_Data[[#This Row],[Month_key]])</f>
        <v>666.66666666666663</v>
      </c>
      <c r="P688" s="10">
        <f xml:space="preserve"> Daily_Data[[#This Row],[OTA Commision]] + Daily_Data[[#This Row],[Daily_Rent]]+Daily_Data[[#This Row],[Daily_Staff]]+Daily_Data[[#This Row],[Daily_HK]]+Daily_Data[[#This Row],[Daily_Electricity]] + Daily_Data[[#This Row],[Daily Maintenance]]</f>
        <v>15066.848822947577</v>
      </c>
      <c r="Q688" s="10">
        <f>Daily_Data[[#This Row],[Total_Sales]]-Daily_Data[[#This Row],[Total_Daily_Expense]]</f>
        <v>-5994.848822947577</v>
      </c>
      <c r="R688" s="10">
        <f>Daily_Data[[#This Row],[Total_Sales]]/Daily_Data[[#This Row],[Rooms_Occupied]]</f>
        <v>1008</v>
      </c>
      <c r="S688" s="10">
        <f>Daily_Data[[#This Row],[Total_Sales]] / Daily_Data[[#This Row],[Max_rooms]]</f>
        <v>648</v>
      </c>
    </row>
    <row r="689" spans="1:19" x14ac:dyDescent="0.25">
      <c r="A689" s="6">
        <v>45614</v>
      </c>
      <c r="B689" s="20">
        <f>DATE(YEAR(Daily_Data[[#This Row],[Date]]), MONTH(Daily_Data[[#This Row],[Date]]), 1)</f>
        <v>45597</v>
      </c>
      <c r="C689" s="20" t="str">
        <f>TEXT(Daily_Data[[#This Row],[Month_key]],"mmmm")</f>
        <v>November</v>
      </c>
      <c r="D689" s="20" t="str">
        <f>TEXT(Daily_Data[[#This Row],[Month_key]],"yyyy")</f>
        <v>2024</v>
      </c>
      <c r="E689" s="7">
        <v>13</v>
      </c>
      <c r="F689" s="7">
        <v>14</v>
      </c>
      <c r="G689" s="8">
        <f>Daily_Data[[#This Row],[Rooms_Occupied]]/F689</f>
        <v>0.9285714285714286</v>
      </c>
      <c r="H689" s="7">
        <v>1416</v>
      </c>
      <c r="I689" s="7">
        <f>Daily_Data[[#This Row],[Room_rate]]*Daily_Data[[#This Row],[Rooms_Occupied]]</f>
        <v>18408</v>
      </c>
      <c r="J689" s="10">
        <f>Daily_Data[[#This Row],[Total_Sales]] * 0.22</f>
        <v>4049.76</v>
      </c>
      <c r="K689" s="10">
        <f>INDEX(Expense_master[Monthly_Rent],MATCH(Daily_Data[[#This Row],[Month_key]],Expense_master[Month_Key],0)) / INDEX(Expense_master[Days_in_Month],MATCH(Daily_Data[[#This Row],[Month_key]],Expense_master[Month_Key],0))</f>
        <v>8333.3333333333339</v>
      </c>
      <c r="L689" s="10">
        <f>SUMIFS(Expense_master[Staff_Salary],Expense_master[Month_Key],Daily_Data[[#This Row],[Month_key]]) / SUMIFS(Expense_master[Days_in_Month],Expense_master[Month_Key],Daily_Data[[#This Row],[Month_key]])</f>
        <v>2333.3333333333335</v>
      </c>
      <c r="M689" s="10">
        <f>Daily_Data[[#This Row],[Rooms_Occupied]] * (SUMIFS(Expense_master[Housekeeping_Laundy],Expense_master[Month_Key],Daily_Data[[#This Row],[Month_key]]) / SUMIFS(Occupancy_table[Monthly_rooms_Occupied],Occupancy_table[Month_Key],Daily_Data[[#This Row],[Month_key]]))</f>
        <v>385.7566765578635</v>
      </c>
      <c r="N68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1827.3656973293769</v>
      </c>
      <c r="O689" s="10">
        <f>SUMIFS(Expense_master[Monthly_Maintenance],Expense_master[Month_Key],Daily_Data[[#This Row],[Month_key]]) / SUMIFS(Expense_master[Days_in_Month],Expense_master[Month_Key], Daily_Data[[#This Row],[Month_key]])</f>
        <v>666.66666666666663</v>
      </c>
      <c r="P689" s="10">
        <f xml:space="preserve"> Daily_Data[[#This Row],[OTA Commision]] + Daily_Data[[#This Row],[Daily_Rent]]+Daily_Data[[#This Row],[Daily_Staff]]+Daily_Data[[#This Row],[Daily_HK]]+Daily_Data[[#This Row],[Daily_Electricity]] + Daily_Data[[#This Row],[Daily Maintenance]]</f>
        <v>17596.215707220577</v>
      </c>
      <c r="Q689" s="10">
        <f>Daily_Data[[#This Row],[Total_Sales]]-Daily_Data[[#This Row],[Total_Daily_Expense]]</f>
        <v>811.78429277942269</v>
      </c>
      <c r="R689" s="10">
        <f>Daily_Data[[#This Row],[Total_Sales]]/Daily_Data[[#This Row],[Rooms_Occupied]]</f>
        <v>1416</v>
      </c>
      <c r="S689" s="10">
        <f>Daily_Data[[#This Row],[Total_Sales]] / Daily_Data[[#This Row],[Max_rooms]]</f>
        <v>1314.8571428571429</v>
      </c>
    </row>
    <row r="690" spans="1:19" x14ac:dyDescent="0.25">
      <c r="A690" s="6">
        <v>45615</v>
      </c>
      <c r="B690" s="20">
        <f>DATE(YEAR(Daily_Data[[#This Row],[Date]]), MONTH(Daily_Data[[#This Row],[Date]]), 1)</f>
        <v>45597</v>
      </c>
      <c r="C690" s="20" t="str">
        <f>TEXT(Daily_Data[[#This Row],[Month_key]],"mmmm")</f>
        <v>November</v>
      </c>
      <c r="D690" s="20" t="str">
        <f>TEXT(Daily_Data[[#This Row],[Month_key]],"yyyy")</f>
        <v>2024</v>
      </c>
      <c r="E690" s="7">
        <v>12</v>
      </c>
      <c r="F690" s="7">
        <v>14</v>
      </c>
      <c r="G690" s="8">
        <f>Daily_Data[[#This Row],[Rooms_Occupied]]/F690</f>
        <v>0.8571428571428571</v>
      </c>
      <c r="H690" s="7">
        <v>1111</v>
      </c>
      <c r="I690" s="7">
        <f>Daily_Data[[#This Row],[Room_rate]]*Daily_Data[[#This Row],[Rooms_Occupied]]</f>
        <v>13332</v>
      </c>
      <c r="J690" s="10">
        <f>Daily_Data[[#This Row],[Total_Sales]] * 0.22</f>
        <v>2933.04</v>
      </c>
      <c r="K690" s="10">
        <f>INDEX(Expense_master[Monthly_Rent],MATCH(Daily_Data[[#This Row],[Month_key]],Expense_master[Month_Key],0)) / INDEX(Expense_master[Days_in_Month],MATCH(Daily_Data[[#This Row],[Month_key]],Expense_master[Month_Key],0))</f>
        <v>8333.3333333333339</v>
      </c>
      <c r="L690" s="10">
        <f>SUMIFS(Expense_master[Staff_Salary],Expense_master[Month_Key],Daily_Data[[#This Row],[Month_key]]) / SUMIFS(Expense_master[Days_in_Month],Expense_master[Month_Key],Daily_Data[[#This Row],[Month_key]])</f>
        <v>2333.3333333333335</v>
      </c>
      <c r="M690" s="10">
        <f>Daily_Data[[#This Row],[Rooms_Occupied]] * (SUMIFS(Expense_master[Housekeeping_Laundy],Expense_master[Month_Key],Daily_Data[[#This Row],[Month_key]]) / SUMIFS(Occupancy_table[Monthly_rooms_Occupied],Occupancy_table[Month_Key],Daily_Data[[#This Row],[Month_key]]))</f>
        <v>356.08308605341244</v>
      </c>
      <c r="N69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1738.1775667655786</v>
      </c>
      <c r="O690" s="10">
        <f>SUMIFS(Expense_master[Monthly_Maintenance],Expense_master[Month_Key],Daily_Data[[#This Row],[Month_key]]) / SUMIFS(Expense_master[Days_in_Month],Expense_master[Month_Key], Daily_Data[[#This Row],[Month_key]])</f>
        <v>666.66666666666663</v>
      </c>
      <c r="P690" s="10">
        <f xml:space="preserve"> Daily_Data[[#This Row],[OTA Commision]] + Daily_Data[[#This Row],[Daily_Rent]]+Daily_Data[[#This Row],[Daily_Staff]]+Daily_Data[[#This Row],[Daily_HK]]+Daily_Data[[#This Row],[Daily_Electricity]] + Daily_Data[[#This Row],[Daily Maintenance]]</f>
        <v>16360.633986152325</v>
      </c>
      <c r="Q690" s="10">
        <f>Daily_Data[[#This Row],[Total_Sales]]-Daily_Data[[#This Row],[Total_Daily_Expense]]</f>
        <v>-3028.6339861523247</v>
      </c>
      <c r="R690" s="10">
        <f>Daily_Data[[#This Row],[Total_Sales]]/Daily_Data[[#This Row],[Rooms_Occupied]]</f>
        <v>1111</v>
      </c>
      <c r="S690" s="10">
        <f>Daily_Data[[#This Row],[Total_Sales]] / Daily_Data[[#This Row],[Max_rooms]]</f>
        <v>952.28571428571433</v>
      </c>
    </row>
    <row r="691" spans="1:19" x14ac:dyDescent="0.25">
      <c r="A691" s="6">
        <v>45616</v>
      </c>
      <c r="B691" s="20">
        <f>DATE(YEAR(Daily_Data[[#This Row],[Date]]), MONTH(Daily_Data[[#This Row],[Date]]), 1)</f>
        <v>45597</v>
      </c>
      <c r="C691" s="20" t="str">
        <f>TEXT(Daily_Data[[#This Row],[Month_key]],"mmmm")</f>
        <v>November</v>
      </c>
      <c r="D691" s="20" t="str">
        <f>TEXT(Daily_Data[[#This Row],[Month_key]],"yyyy")</f>
        <v>2024</v>
      </c>
      <c r="E691" s="7">
        <v>11</v>
      </c>
      <c r="F691" s="7">
        <v>14</v>
      </c>
      <c r="G691" s="8">
        <f>Daily_Data[[#This Row],[Rooms_Occupied]]/F691</f>
        <v>0.7857142857142857</v>
      </c>
      <c r="H691" s="7">
        <v>1107</v>
      </c>
      <c r="I691" s="7">
        <f>Daily_Data[[#This Row],[Room_rate]]*Daily_Data[[#This Row],[Rooms_Occupied]]</f>
        <v>12177</v>
      </c>
      <c r="J691" s="10">
        <f>Daily_Data[[#This Row],[Total_Sales]] * 0.22</f>
        <v>2678.94</v>
      </c>
      <c r="K691" s="10">
        <f>INDEX(Expense_master[Monthly_Rent],MATCH(Daily_Data[[#This Row],[Month_key]],Expense_master[Month_Key],0)) / INDEX(Expense_master[Days_in_Month],MATCH(Daily_Data[[#This Row],[Month_key]],Expense_master[Month_Key],0))</f>
        <v>8333.3333333333339</v>
      </c>
      <c r="L691" s="10">
        <f>SUMIFS(Expense_master[Staff_Salary],Expense_master[Month_Key],Daily_Data[[#This Row],[Month_key]]) / SUMIFS(Expense_master[Days_in_Month],Expense_master[Month_Key],Daily_Data[[#This Row],[Month_key]])</f>
        <v>2333.3333333333335</v>
      </c>
      <c r="M691" s="10">
        <f>Daily_Data[[#This Row],[Rooms_Occupied]] * (SUMIFS(Expense_master[Housekeeping_Laundy],Expense_master[Month_Key],Daily_Data[[#This Row],[Month_key]]) / SUMIFS(Occupancy_table[Monthly_rooms_Occupied],Occupancy_table[Month_Key],Daily_Data[[#This Row],[Month_key]]))</f>
        <v>326.40949554896144</v>
      </c>
      <c r="N69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1648.9894362017803</v>
      </c>
      <c r="O691" s="10">
        <f>SUMIFS(Expense_master[Monthly_Maintenance],Expense_master[Month_Key],Daily_Data[[#This Row],[Month_key]]) / SUMIFS(Expense_master[Days_in_Month],Expense_master[Month_Key], Daily_Data[[#This Row],[Month_key]])</f>
        <v>666.66666666666663</v>
      </c>
      <c r="P691" s="10">
        <f xml:space="preserve"> Daily_Data[[#This Row],[OTA Commision]] + Daily_Data[[#This Row],[Daily_Rent]]+Daily_Data[[#This Row],[Daily_Staff]]+Daily_Data[[#This Row],[Daily_HK]]+Daily_Data[[#This Row],[Daily_Electricity]] + Daily_Data[[#This Row],[Daily Maintenance]]</f>
        <v>15987.672265084077</v>
      </c>
      <c r="Q691" s="10">
        <f>Daily_Data[[#This Row],[Total_Sales]]-Daily_Data[[#This Row],[Total_Daily_Expense]]</f>
        <v>-3810.6722650840766</v>
      </c>
      <c r="R691" s="10">
        <f>Daily_Data[[#This Row],[Total_Sales]]/Daily_Data[[#This Row],[Rooms_Occupied]]</f>
        <v>1107</v>
      </c>
      <c r="S691" s="10">
        <f>Daily_Data[[#This Row],[Total_Sales]] / Daily_Data[[#This Row],[Max_rooms]]</f>
        <v>869.78571428571433</v>
      </c>
    </row>
    <row r="692" spans="1:19" x14ac:dyDescent="0.25">
      <c r="A692" s="6">
        <v>45617</v>
      </c>
      <c r="B692" s="20">
        <f>DATE(YEAR(Daily_Data[[#This Row],[Date]]), MONTH(Daily_Data[[#This Row],[Date]]), 1)</f>
        <v>45597</v>
      </c>
      <c r="C692" s="20" t="str">
        <f>TEXT(Daily_Data[[#This Row],[Month_key]],"mmmm")</f>
        <v>November</v>
      </c>
      <c r="D692" s="20" t="str">
        <f>TEXT(Daily_Data[[#This Row],[Month_key]],"yyyy")</f>
        <v>2024</v>
      </c>
      <c r="E692" s="7">
        <v>14</v>
      </c>
      <c r="F692" s="7">
        <v>14</v>
      </c>
      <c r="G692" s="8">
        <f>Daily_Data[[#This Row],[Rooms_Occupied]]/F692</f>
        <v>1</v>
      </c>
      <c r="H692" s="7">
        <v>1286</v>
      </c>
      <c r="I692" s="7">
        <f>Daily_Data[[#This Row],[Room_rate]]*Daily_Data[[#This Row],[Rooms_Occupied]]</f>
        <v>18004</v>
      </c>
      <c r="J692" s="10">
        <f>Daily_Data[[#This Row],[Total_Sales]] * 0.22</f>
        <v>3960.88</v>
      </c>
      <c r="K692" s="10">
        <f>INDEX(Expense_master[Monthly_Rent],MATCH(Daily_Data[[#This Row],[Month_key]],Expense_master[Month_Key],0)) / INDEX(Expense_master[Days_in_Month],MATCH(Daily_Data[[#This Row],[Month_key]],Expense_master[Month_Key],0))</f>
        <v>8333.3333333333339</v>
      </c>
      <c r="L692" s="10">
        <f>SUMIFS(Expense_master[Staff_Salary],Expense_master[Month_Key],Daily_Data[[#This Row],[Month_key]]) / SUMIFS(Expense_master[Days_in_Month],Expense_master[Month_Key],Daily_Data[[#This Row],[Month_key]])</f>
        <v>2333.3333333333335</v>
      </c>
      <c r="M692" s="10">
        <f>Daily_Data[[#This Row],[Rooms_Occupied]] * (SUMIFS(Expense_master[Housekeeping_Laundy],Expense_master[Month_Key],Daily_Data[[#This Row],[Month_key]]) / SUMIFS(Occupancy_table[Monthly_rooms_Occupied],Occupancy_table[Month_Key],Daily_Data[[#This Row],[Month_key]]))</f>
        <v>415.43026706231456</v>
      </c>
      <c r="N69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1916.5538278931749</v>
      </c>
      <c r="O692" s="10">
        <f>SUMIFS(Expense_master[Monthly_Maintenance],Expense_master[Month_Key],Daily_Data[[#This Row],[Month_key]]) / SUMIFS(Expense_master[Days_in_Month],Expense_master[Month_Key], Daily_Data[[#This Row],[Month_key]])</f>
        <v>666.66666666666663</v>
      </c>
      <c r="P692" s="10">
        <f xml:space="preserve"> Daily_Data[[#This Row],[OTA Commision]] + Daily_Data[[#This Row],[Daily_Rent]]+Daily_Data[[#This Row],[Daily_Staff]]+Daily_Data[[#This Row],[Daily_HK]]+Daily_Data[[#This Row],[Daily_Electricity]] + Daily_Data[[#This Row],[Daily Maintenance]]</f>
        <v>17626.197428288826</v>
      </c>
      <c r="Q692" s="10">
        <f>Daily_Data[[#This Row],[Total_Sales]]-Daily_Data[[#This Row],[Total_Daily_Expense]]</f>
        <v>377.8025717111741</v>
      </c>
      <c r="R692" s="10">
        <f>Daily_Data[[#This Row],[Total_Sales]]/Daily_Data[[#This Row],[Rooms_Occupied]]</f>
        <v>1286</v>
      </c>
      <c r="S692" s="10">
        <f>Daily_Data[[#This Row],[Total_Sales]] / Daily_Data[[#This Row],[Max_rooms]]</f>
        <v>1286</v>
      </c>
    </row>
    <row r="693" spans="1:19" x14ac:dyDescent="0.25">
      <c r="A693" s="6">
        <v>45618</v>
      </c>
      <c r="B693" s="20">
        <f>DATE(YEAR(Daily_Data[[#This Row],[Date]]), MONTH(Daily_Data[[#This Row],[Date]]), 1)</f>
        <v>45597</v>
      </c>
      <c r="C693" s="20" t="str">
        <f>TEXT(Daily_Data[[#This Row],[Month_key]],"mmmm")</f>
        <v>November</v>
      </c>
      <c r="D693" s="20" t="str">
        <f>TEXT(Daily_Data[[#This Row],[Month_key]],"yyyy")</f>
        <v>2024</v>
      </c>
      <c r="E693" s="7">
        <v>13</v>
      </c>
      <c r="F693" s="7">
        <v>14</v>
      </c>
      <c r="G693" s="8">
        <f>Daily_Data[[#This Row],[Rooms_Occupied]]/F693</f>
        <v>0.9285714285714286</v>
      </c>
      <c r="H693" s="7">
        <v>1279</v>
      </c>
      <c r="I693" s="7">
        <f>Daily_Data[[#This Row],[Room_rate]]*Daily_Data[[#This Row],[Rooms_Occupied]]</f>
        <v>16627</v>
      </c>
      <c r="J693" s="10">
        <f>Daily_Data[[#This Row],[Total_Sales]] * 0.22</f>
        <v>3657.94</v>
      </c>
      <c r="K693" s="10">
        <f>INDEX(Expense_master[Monthly_Rent],MATCH(Daily_Data[[#This Row],[Month_key]],Expense_master[Month_Key],0)) / INDEX(Expense_master[Days_in_Month],MATCH(Daily_Data[[#This Row],[Month_key]],Expense_master[Month_Key],0))</f>
        <v>8333.3333333333339</v>
      </c>
      <c r="L693" s="10">
        <f>SUMIFS(Expense_master[Staff_Salary],Expense_master[Month_Key],Daily_Data[[#This Row],[Month_key]]) / SUMIFS(Expense_master[Days_in_Month],Expense_master[Month_Key],Daily_Data[[#This Row],[Month_key]])</f>
        <v>2333.3333333333335</v>
      </c>
      <c r="M693" s="10">
        <f>Daily_Data[[#This Row],[Rooms_Occupied]] * (SUMIFS(Expense_master[Housekeeping_Laundy],Expense_master[Month_Key],Daily_Data[[#This Row],[Month_key]]) / SUMIFS(Occupancy_table[Monthly_rooms_Occupied],Occupancy_table[Month_Key],Daily_Data[[#This Row],[Month_key]]))</f>
        <v>385.7566765578635</v>
      </c>
      <c r="N69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1827.3656973293769</v>
      </c>
      <c r="O693" s="10">
        <f>SUMIFS(Expense_master[Monthly_Maintenance],Expense_master[Month_Key],Daily_Data[[#This Row],[Month_key]]) / SUMIFS(Expense_master[Days_in_Month],Expense_master[Month_Key], Daily_Data[[#This Row],[Month_key]])</f>
        <v>666.66666666666663</v>
      </c>
      <c r="P693" s="10">
        <f xml:space="preserve"> Daily_Data[[#This Row],[OTA Commision]] + Daily_Data[[#This Row],[Daily_Rent]]+Daily_Data[[#This Row],[Daily_Staff]]+Daily_Data[[#This Row],[Daily_HK]]+Daily_Data[[#This Row],[Daily_Electricity]] + Daily_Data[[#This Row],[Daily Maintenance]]</f>
        <v>17204.395707220578</v>
      </c>
      <c r="Q693" s="10">
        <f>Daily_Data[[#This Row],[Total_Sales]]-Daily_Data[[#This Row],[Total_Daily_Expense]]</f>
        <v>-577.39570722057761</v>
      </c>
      <c r="R693" s="10">
        <f>Daily_Data[[#This Row],[Total_Sales]]/Daily_Data[[#This Row],[Rooms_Occupied]]</f>
        <v>1279</v>
      </c>
      <c r="S693" s="10">
        <f>Daily_Data[[#This Row],[Total_Sales]] / Daily_Data[[#This Row],[Max_rooms]]</f>
        <v>1187.6428571428571</v>
      </c>
    </row>
    <row r="694" spans="1:19" x14ac:dyDescent="0.25">
      <c r="A694" s="6">
        <v>45619</v>
      </c>
      <c r="B694" s="20">
        <f>DATE(YEAR(Daily_Data[[#This Row],[Date]]), MONTH(Daily_Data[[#This Row],[Date]]), 1)</f>
        <v>45597</v>
      </c>
      <c r="C694" s="20" t="str">
        <f>TEXT(Daily_Data[[#This Row],[Month_key]],"mmmm")</f>
        <v>November</v>
      </c>
      <c r="D694" s="20" t="str">
        <f>TEXT(Daily_Data[[#This Row],[Month_key]],"yyyy")</f>
        <v>2024</v>
      </c>
      <c r="E694" s="7">
        <v>12</v>
      </c>
      <c r="F694" s="7">
        <v>14</v>
      </c>
      <c r="G694" s="8">
        <f>Daily_Data[[#This Row],[Rooms_Occupied]]/F694</f>
        <v>0.8571428571428571</v>
      </c>
      <c r="H694" s="7">
        <v>1944</v>
      </c>
      <c r="I694" s="7">
        <f>Daily_Data[[#This Row],[Room_rate]]*Daily_Data[[#This Row],[Rooms_Occupied]]</f>
        <v>23328</v>
      </c>
      <c r="J694" s="10">
        <f>Daily_Data[[#This Row],[Total_Sales]] * 0.22</f>
        <v>5132.16</v>
      </c>
      <c r="K694" s="10">
        <f>INDEX(Expense_master[Monthly_Rent],MATCH(Daily_Data[[#This Row],[Month_key]],Expense_master[Month_Key],0)) / INDEX(Expense_master[Days_in_Month],MATCH(Daily_Data[[#This Row],[Month_key]],Expense_master[Month_Key],0))</f>
        <v>8333.3333333333339</v>
      </c>
      <c r="L694" s="10">
        <f>SUMIFS(Expense_master[Staff_Salary],Expense_master[Month_Key],Daily_Data[[#This Row],[Month_key]]) / SUMIFS(Expense_master[Days_in_Month],Expense_master[Month_Key],Daily_Data[[#This Row],[Month_key]])</f>
        <v>2333.3333333333335</v>
      </c>
      <c r="M694" s="10">
        <f>Daily_Data[[#This Row],[Rooms_Occupied]] * (SUMIFS(Expense_master[Housekeeping_Laundy],Expense_master[Month_Key],Daily_Data[[#This Row],[Month_key]]) / SUMIFS(Occupancy_table[Monthly_rooms_Occupied],Occupancy_table[Month_Key],Daily_Data[[#This Row],[Month_key]]))</f>
        <v>356.08308605341244</v>
      </c>
      <c r="N69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1738.1775667655786</v>
      </c>
      <c r="O694" s="10">
        <f>SUMIFS(Expense_master[Monthly_Maintenance],Expense_master[Month_Key],Daily_Data[[#This Row],[Month_key]]) / SUMIFS(Expense_master[Days_in_Month],Expense_master[Month_Key], Daily_Data[[#This Row],[Month_key]])</f>
        <v>666.66666666666663</v>
      </c>
      <c r="P694" s="10">
        <f xml:space="preserve"> Daily_Data[[#This Row],[OTA Commision]] + Daily_Data[[#This Row],[Daily_Rent]]+Daily_Data[[#This Row],[Daily_Staff]]+Daily_Data[[#This Row],[Daily_HK]]+Daily_Data[[#This Row],[Daily_Electricity]] + Daily_Data[[#This Row],[Daily Maintenance]]</f>
        <v>18559.753986152326</v>
      </c>
      <c r="Q694" s="10">
        <f>Daily_Data[[#This Row],[Total_Sales]]-Daily_Data[[#This Row],[Total_Daily_Expense]]</f>
        <v>4768.2460138476745</v>
      </c>
      <c r="R694" s="10">
        <f>Daily_Data[[#This Row],[Total_Sales]]/Daily_Data[[#This Row],[Rooms_Occupied]]</f>
        <v>1944</v>
      </c>
      <c r="S694" s="10">
        <f>Daily_Data[[#This Row],[Total_Sales]] / Daily_Data[[#This Row],[Max_rooms]]</f>
        <v>1666.2857142857142</v>
      </c>
    </row>
    <row r="695" spans="1:19" x14ac:dyDescent="0.25">
      <c r="A695" s="6">
        <v>45620</v>
      </c>
      <c r="B695" s="20">
        <f>DATE(YEAR(Daily_Data[[#This Row],[Date]]), MONTH(Daily_Data[[#This Row],[Date]]), 1)</f>
        <v>45597</v>
      </c>
      <c r="C695" s="20" t="str">
        <f>TEXT(Daily_Data[[#This Row],[Month_key]],"mmmm")</f>
        <v>November</v>
      </c>
      <c r="D695" s="20" t="str">
        <f>TEXT(Daily_Data[[#This Row],[Month_key]],"yyyy")</f>
        <v>2024</v>
      </c>
      <c r="E695" s="7">
        <v>13</v>
      </c>
      <c r="F695" s="7">
        <v>14</v>
      </c>
      <c r="G695" s="8">
        <f>Daily_Data[[#This Row],[Rooms_Occupied]]/F695</f>
        <v>0.9285714285714286</v>
      </c>
      <c r="H695" s="7">
        <v>1360</v>
      </c>
      <c r="I695" s="7">
        <f>Daily_Data[[#This Row],[Room_rate]]*Daily_Data[[#This Row],[Rooms_Occupied]]</f>
        <v>17680</v>
      </c>
      <c r="J695" s="10">
        <f>Daily_Data[[#This Row],[Total_Sales]] * 0.22</f>
        <v>3889.6</v>
      </c>
      <c r="K695" s="10">
        <f>INDEX(Expense_master[Monthly_Rent],MATCH(Daily_Data[[#This Row],[Month_key]],Expense_master[Month_Key],0)) / INDEX(Expense_master[Days_in_Month],MATCH(Daily_Data[[#This Row],[Month_key]],Expense_master[Month_Key],0))</f>
        <v>8333.3333333333339</v>
      </c>
      <c r="L695" s="10">
        <f>SUMIFS(Expense_master[Staff_Salary],Expense_master[Month_Key],Daily_Data[[#This Row],[Month_key]]) / SUMIFS(Expense_master[Days_in_Month],Expense_master[Month_Key],Daily_Data[[#This Row],[Month_key]])</f>
        <v>2333.3333333333335</v>
      </c>
      <c r="M695" s="10">
        <f>Daily_Data[[#This Row],[Rooms_Occupied]] * (SUMIFS(Expense_master[Housekeeping_Laundy],Expense_master[Month_Key],Daily_Data[[#This Row],[Month_key]]) / SUMIFS(Occupancy_table[Monthly_rooms_Occupied],Occupancy_table[Month_Key],Daily_Data[[#This Row],[Month_key]]))</f>
        <v>385.7566765578635</v>
      </c>
      <c r="N69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1827.3656973293769</v>
      </c>
      <c r="O695" s="10">
        <f>SUMIFS(Expense_master[Monthly_Maintenance],Expense_master[Month_Key],Daily_Data[[#This Row],[Month_key]]) / SUMIFS(Expense_master[Days_in_Month],Expense_master[Month_Key], Daily_Data[[#This Row],[Month_key]])</f>
        <v>666.66666666666663</v>
      </c>
      <c r="P695" s="10">
        <f xml:space="preserve"> Daily_Data[[#This Row],[OTA Commision]] + Daily_Data[[#This Row],[Daily_Rent]]+Daily_Data[[#This Row],[Daily_Staff]]+Daily_Data[[#This Row],[Daily_HK]]+Daily_Data[[#This Row],[Daily_Electricity]] + Daily_Data[[#This Row],[Daily Maintenance]]</f>
        <v>17436.055707220577</v>
      </c>
      <c r="Q695" s="10">
        <f>Daily_Data[[#This Row],[Total_Sales]]-Daily_Data[[#This Row],[Total_Daily_Expense]]</f>
        <v>243.94429277942254</v>
      </c>
      <c r="R695" s="10">
        <f>Daily_Data[[#This Row],[Total_Sales]]/Daily_Data[[#This Row],[Rooms_Occupied]]</f>
        <v>1360</v>
      </c>
      <c r="S695" s="10">
        <f>Daily_Data[[#This Row],[Total_Sales]] / Daily_Data[[#This Row],[Max_rooms]]</f>
        <v>1262.8571428571429</v>
      </c>
    </row>
    <row r="696" spans="1:19" x14ac:dyDescent="0.25">
      <c r="A696" s="6">
        <v>45621</v>
      </c>
      <c r="B696" s="20">
        <f>DATE(YEAR(Daily_Data[[#This Row],[Date]]), MONTH(Daily_Data[[#This Row],[Date]]), 1)</f>
        <v>45597</v>
      </c>
      <c r="C696" s="20" t="str">
        <f>TEXT(Daily_Data[[#This Row],[Month_key]],"mmmm")</f>
        <v>November</v>
      </c>
      <c r="D696" s="20" t="str">
        <f>TEXT(Daily_Data[[#This Row],[Month_key]],"yyyy")</f>
        <v>2024</v>
      </c>
      <c r="E696" s="7">
        <v>9</v>
      </c>
      <c r="F696" s="7">
        <v>14</v>
      </c>
      <c r="G696" s="8">
        <f>Daily_Data[[#This Row],[Rooms_Occupied]]/F696</f>
        <v>0.6428571428571429</v>
      </c>
      <c r="H696" s="7">
        <v>1737</v>
      </c>
      <c r="I696" s="7">
        <f>Daily_Data[[#This Row],[Room_rate]]*Daily_Data[[#This Row],[Rooms_Occupied]]</f>
        <v>15633</v>
      </c>
      <c r="J696" s="10">
        <f>Daily_Data[[#This Row],[Total_Sales]] * 0.22</f>
        <v>3439.26</v>
      </c>
      <c r="K696" s="10">
        <f>INDEX(Expense_master[Monthly_Rent],MATCH(Daily_Data[[#This Row],[Month_key]],Expense_master[Month_Key],0)) / INDEX(Expense_master[Days_in_Month],MATCH(Daily_Data[[#This Row],[Month_key]],Expense_master[Month_Key],0))</f>
        <v>8333.3333333333339</v>
      </c>
      <c r="L696" s="10">
        <f>SUMIFS(Expense_master[Staff_Salary],Expense_master[Month_Key],Daily_Data[[#This Row],[Month_key]]) / SUMIFS(Expense_master[Days_in_Month],Expense_master[Month_Key],Daily_Data[[#This Row],[Month_key]])</f>
        <v>2333.3333333333335</v>
      </c>
      <c r="M696" s="10">
        <f>Daily_Data[[#This Row],[Rooms_Occupied]] * (SUMIFS(Expense_master[Housekeeping_Laundy],Expense_master[Month_Key],Daily_Data[[#This Row],[Month_key]]) / SUMIFS(Occupancy_table[Monthly_rooms_Occupied],Occupancy_table[Month_Key],Daily_Data[[#This Row],[Month_key]]))</f>
        <v>267.06231454005933</v>
      </c>
      <c r="N69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1470.613175074184</v>
      </c>
      <c r="O696" s="10">
        <f>SUMIFS(Expense_master[Monthly_Maintenance],Expense_master[Month_Key],Daily_Data[[#This Row],[Month_key]]) / SUMIFS(Expense_master[Days_in_Month],Expense_master[Month_Key], Daily_Data[[#This Row],[Month_key]])</f>
        <v>666.66666666666663</v>
      </c>
      <c r="P696" s="10">
        <f xml:space="preserve"> Daily_Data[[#This Row],[OTA Commision]] + Daily_Data[[#This Row],[Daily_Rent]]+Daily_Data[[#This Row],[Daily_Staff]]+Daily_Data[[#This Row],[Daily_HK]]+Daily_Data[[#This Row],[Daily_Electricity]] + Daily_Data[[#This Row],[Daily Maintenance]]</f>
        <v>16510.268822947579</v>
      </c>
      <c r="Q696" s="10">
        <f>Daily_Data[[#This Row],[Total_Sales]]-Daily_Data[[#This Row],[Total_Daily_Expense]]</f>
        <v>-877.26882294757888</v>
      </c>
      <c r="R696" s="10">
        <f>Daily_Data[[#This Row],[Total_Sales]]/Daily_Data[[#This Row],[Rooms_Occupied]]</f>
        <v>1737</v>
      </c>
      <c r="S696" s="10">
        <f>Daily_Data[[#This Row],[Total_Sales]] / Daily_Data[[#This Row],[Max_rooms]]</f>
        <v>1116.6428571428571</v>
      </c>
    </row>
    <row r="697" spans="1:19" x14ac:dyDescent="0.25">
      <c r="A697" s="6">
        <v>45622</v>
      </c>
      <c r="B697" s="20">
        <f>DATE(YEAR(Daily_Data[[#This Row],[Date]]), MONTH(Daily_Data[[#This Row],[Date]]), 1)</f>
        <v>45597</v>
      </c>
      <c r="C697" s="20" t="str">
        <f>TEXT(Daily_Data[[#This Row],[Month_key]],"mmmm")</f>
        <v>November</v>
      </c>
      <c r="D697" s="20" t="str">
        <f>TEXT(Daily_Data[[#This Row],[Month_key]],"yyyy")</f>
        <v>2024</v>
      </c>
      <c r="E697" s="7">
        <v>13</v>
      </c>
      <c r="F697" s="7">
        <v>14</v>
      </c>
      <c r="G697" s="8">
        <f>Daily_Data[[#This Row],[Rooms_Occupied]]/F697</f>
        <v>0.9285714285714286</v>
      </c>
      <c r="H697" s="7">
        <v>1342</v>
      </c>
      <c r="I697" s="7">
        <f>Daily_Data[[#This Row],[Room_rate]]*Daily_Data[[#This Row],[Rooms_Occupied]]</f>
        <v>17446</v>
      </c>
      <c r="J697" s="10">
        <f>Daily_Data[[#This Row],[Total_Sales]] * 0.22</f>
        <v>3838.12</v>
      </c>
      <c r="K697" s="10">
        <f>INDEX(Expense_master[Monthly_Rent],MATCH(Daily_Data[[#This Row],[Month_key]],Expense_master[Month_Key],0)) / INDEX(Expense_master[Days_in_Month],MATCH(Daily_Data[[#This Row],[Month_key]],Expense_master[Month_Key],0))</f>
        <v>8333.3333333333339</v>
      </c>
      <c r="L697" s="10">
        <f>SUMIFS(Expense_master[Staff_Salary],Expense_master[Month_Key],Daily_Data[[#This Row],[Month_key]]) / SUMIFS(Expense_master[Days_in_Month],Expense_master[Month_Key],Daily_Data[[#This Row],[Month_key]])</f>
        <v>2333.3333333333335</v>
      </c>
      <c r="M697" s="10">
        <f>Daily_Data[[#This Row],[Rooms_Occupied]] * (SUMIFS(Expense_master[Housekeeping_Laundy],Expense_master[Month_Key],Daily_Data[[#This Row],[Month_key]]) / SUMIFS(Occupancy_table[Monthly_rooms_Occupied],Occupancy_table[Month_Key],Daily_Data[[#This Row],[Month_key]]))</f>
        <v>385.7566765578635</v>
      </c>
      <c r="N69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1827.3656973293769</v>
      </c>
      <c r="O697" s="10">
        <f>SUMIFS(Expense_master[Monthly_Maintenance],Expense_master[Month_Key],Daily_Data[[#This Row],[Month_key]]) / SUMIFS(Expense_master[Days_in_Month],Expense_master[Month_Key], Daily_Data[[#This Row],[Month_key]])</f>
        <v>666.66666666666663</v>
      </c>
      <c r="P697" s="10">
        <f xml:space="preserve"> Daily_Data[[#This Row],[OTA Commision]] + Daily_Data[[#This Row],[Daily_Rent]]+Daily_Data[[#This Row],[Daily_Staff]]+Daily_Data[[#This Row],[Daily_HK]]+Daily_Data[[#This Row],[Daily_Electricity]] + Daily_Data[[#This Row],[Daily Maintenance]]</f>
        <v>17384.575707220578</v>
      </c>
      <c r="Q697" s="10">
        <f>Daily_Data[[#This Row],[Total_Sales]]-Daily_Data[[#This Row],[Total_Daily_Expense]]</f>
        <v>61.424292779422103</v>
      </c>
      <c r="R697" s="10">
        <f>Daily_Data[[#This Row],[Total_Sales]]/Daily_Data[[#This Row],[Rooms_Occupied]]</f>
        <v>1342</v>
      </c>
      <c r="S697" s="10">
        <f>Daily_Data[[#This Row],[Total_Sales]] / Daily_Data[[#This Row],[Max_rooms]]</f>
        <v>1246.1428571428571</v>
      </c>
    </row>
    <row r="698" spans="1:19" x14ac:dyDescent="0.25">
      <c r="A698" s="6">
        <v>45623</v>
      </c>
      <c r="B698" s="20">
        <f>DATE(YEAR(Daily_Data[[#This Row],[Date]]), MONTH(Daily_Data[[#This Row],[Date]]), 1)</f>
        <v>45597</v>
      </c>
      <c r="C698" s="20" t="str">
        <f>TEXT(Daily_Data[[#This Row],[Month_key]],"mmmm")</f>
        <v>November</v>
      </c>
      <c r="D698" s="20" t="str">
        <f>TEXT(Daily_Data[[#This Row],[Month_key]],"yyyy")</f>
        <v>2024</v>
      </c>
      <c r="E698" s="7">
        <v>12</v>
      </c>
      <c r="F698" s="7">
        <v>14</v>
      </c>
      <c r="G698" s="8">
        <f>Daily_Data[[#This Row],[Rooms_Occupied]]/F698</f>
        <v>0.8571428571428571</v>
      </c>
      <c r="H698" s="7">
        <v>1498</v>
      </c>
      <c r="I698" s="7">
        <f>Daily_Data[[#This Row],[Room_rate]]*Daily_Data[[#This Row],[Rooms_Occupied]]</f>
        <v>17976</v>
      </c>
      <c r="J698" s="10">
        <f>Daily_Data[[#This Row],[Total_Sales]] * 0.22</f>
        <v>3954.72</v>
      </c>
      <c r="K698" s="10">
        <f>INDEX(Expense_master[Monthly_Rent],MATCH(Daily_Data[[#This Row],[Month_key]],Expense_master[Month_Key],0)) / INDEX(Expense_master[Days_in_Month],MATCH(Daily_Data[[#This Row],[Month_key]],Expense_master[Month_Key],0))</f>
        <v>8333.3333333333339</v>
      </c>
      <c r="L698" s="10">
        <f>SUMIFS(Expense_master[Staff_Salary],Expense_master[Month_Key],Daily_Data[[#This Row],[Month_key]]) / SUMIFS(Expense_master[Days_in_Month],Expense_master[Month_Key],Daily_Data[[#This Row],[Month_key]])</f>
        <v>2333.3333333333335</v>
      </c>
      <c r="M698" s="10">
        <f>Daily_Data[[#This Row],[Rooms_Occupied]] * (SUMIFS(Expense_master[Housekeeping_Laundy],Expense_master[Month_Key],Daily_Data[[#This Row],[Month_key]]) / SUMIFS(Occupancy_table[Monthly_rooms_Occupied],Occupancy_table[Month_Key],Daily_Data[[#This Row],[Month_key]]))</f>
        <v>356.08308605341244</v>
      </c>
      <c r="N69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1738.1775667655786</v>
      </c>
      <c r="O698" s="10">
        <f>SUMIFS(Expense_master[Monthly_Maintenance],Expense_master[Month_Key],Daily_Data[[#This Row],[Month_key]]) / SUMIFS(Expense_master[Days_in_Month],Expense_master[Month_Key], Daily_Data[[#This Row],[Month_key]])</f>
        <v>666.66666666666663</v>
      </c>
      <c r="P698" s="10">
        <f xml:space="preserve"> Daily_Data[[#This Row],[OTA Commision]] + Daily_Data[[#This Row],[Daily_Rent]]+Daily_Data[[#This Row],[Daily_Staff]]+Daily_Data[[#This Row],[Daily_HK]]+Daily_Data[[#This Row],[Daily_Electricity]] + Daily_Data[[#This Row],[Daily Maintenance]]</f>
        <v>17382.313986152327</v>
      </c>
      <c r="Q698" s="10">
        <f>Daily_Data[[#This Row],[Total_Sales]]-Daily_Data[[#This Row],[Total_Daily_Expense]]</f>
        <v>593.68601384767317</v>
      </c>
      <c r="R698" s="10">
        <f>Daily_Data[[#This Row],[Total_Sales]]/Daily_Data[[#This Row],[Rooms_Occupied]]</f>
        <v>1498</v>
      </c>
      <c r="S698" s="10">
        <f>Daily_Data[[#This Row],[Total_Sales]] / Daily_Data[[#This Row],[Max_rooms]]</f>
        <v>1284</v>
      </c>
    </row>
    <row r="699" spans="1:19" x14ac:dyDescent="0.25">
      <c r="A699" s="6">
        <v>45624</v>
      </c>
      <c r="B699" s="20">
        <f>DATE(YEAR(Daily_Data[[#This Row],[Date]]), MONTH(Daily_Data[[#This Row],[Date]]), 1)</f>
        <v>45597</v>
      </c>
      <c r="C699" s="20" t="str">
        <f>TEXT(Daily_Data[[#This Row],[Month_key]],"mmmm")</f>
        <v>November</v>
      </c>
      <c r="D699" s="20" t="str">
        <f>TEXT(Daily_Data[[#This Row],[Month_key]],"yyyy")</f>
        <v>2024</v>
      </c>
      <c r="E699" s="7">
        <v>10</v>
      </c>
      <c r="F699" s="7">
        <v>14</v>
      </c>
      <c r="G699" s="8">
        <f>Daily_Data[[#This Row],[Rooms_Occupied]]/F699</f>
        <v>0.7142857142857143</v>
      </c>
      <c r="H699" s="7">
        <v>1304</v>
      </c>
      <c r="I699" s="7">
        <f>Daily_Data[[#This Row],[Room_rate]]*Daily_Data[[#This Row],[Rooms_Occupied]]</f>
        <v>13040</v>
      </c>
      <c r="J699" s="10">
        <f>Daily_Data[[#This Row],[Total_Sales]] * 0.22</f>
        <v>2868.8</v>
      </c>
      <c r="K699" s="10">
        <f>INDEX(Expense_master[Monthly_Rent],MATCH(Daily_Data[[#This Row],[Month_key]],Expense_master[Month_Key],0)) / INDEX(Expense_master[Days_in_Month],MATCH(Daily_Data[[#This Row],[Month_key]],Expense_master[Month_Key],0))</f>
        <v>8333.3333333333339</v>
      </c>
      <c r="L699" s="10">
        <f>SUMIFS(Expense_master[Staff_Salary],Expense_master[Month_Key],Daily_Data[[#This Row],[Month_key]]) / SUMIFS(Expense_master[Days_in_Month],Expense_master[Month_Key],Daily_Data[[#This Row],[Month_key]])</f>
        <v>2333.3333333333335</v>
      </c>
      <c r="M699" s="10">
        <f>Daily_Data[[#This Row],[Rooms_Occupied]] * (SUMIFS(Expense_master[Housekeeping_Laundy],Expense_master[Month_Key],Daily_Data[[#This Row],[Month_key]]) / SUMIFS(Occupancy_table[Monthly_rooms_Occupied],Occupancy_table[Month_Key],Daily_Data[[#This Row],[Month_key]]))</f>
        <v>296.73590504451039</v>
      </c>
      <c r="N69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1559.8013056379823</v>
      </c>
      <c r="O699" s="10">
        <f>SUMIFS(Expense_master[Monthly_Maintenance],Expense_master[Month_Key],Daily_Data[[#This Row],[Month_key]]) / SUMIFS(Expense_master[Days_in_Month],Expense_master[Month_Key], Daily_Data[[#This Row],[Month_key]])</f>
        <v>666.66666666666663</v>
      </c>
      <c r="P699" s="10">
        <f xml:space="preserve"> Daily_Data[[#This Row],[OTA Commision]] + Daily_Data[[#This Row],[Daily_Rent]]+Daily_Data[[#This Row],[Daily_Staff]]+Daily_Data[[#This Row],[Daily_HK]]+Daily_Data[[#This Row],[Daily_Electricity]] + Daily_Data[[#This Row],[Daily Maintenance]]</f>
        <v>16058.670544015828</v>
      </c>
      <c r="Q699" s="10">
        <f>Daily_Data[[#This Row],[Total_Sales]]-Daily_Data[[#This Row],[Total_Daily_Expense]]</f>
        <v>-3018.6705440158275</v>
      </c>
      <c r="R699" s="10">
        <f>Daily_Data[[#This Row],[Total_Sales]]/Daily_Data[[#This Row],[Rooms_Occupied]]</f>
        <v>1304</v>
      </c>
      <c r="S699" s="10">
        <f>Daily_Data[[#This Row],[Total_Sales]] / Daily_Data[[#This Row],[Max_rooms]]</f>
        <v>931.42857142857144</v>
      </c>
    </row>
    <row r="700" spans="1:19" x14ac:dyDescent="0.25">
      <c r="A700" s="6">
        <v>45625</v>
      </c>
      <c r="B700" s="20">
        <f>DATE(YEAR(Daily_Data[[#This Row],[Date]]), MONTH(Daily_Data[[#This Row],[Date]]), 1)</f>
        <v>45597</v>
      </c>
      <c r="C700" s="20" t="str">
        <f>TEXT(Daily_Data[[#This Row],[Month_key]],"mmmm")</f>
        <v>November</v>
      </c>
      <c r="D700" s="20" t="str">
        <f>TEXT(Daily_Data[[#This Row],[Month_key]],"yyyy")</f>
        <v>2024</v>
      </c>
      <c r="E700" s="7">
        <v>10</v>
      </c>
      <c r="F700" s="7">
        <v>14</v>
      </c>
      <c r="G700" s="8">
        <f>Daily_Data[[#This Row],[Rooms_Occupied]]/F700</f>
        <v>0.7142857142857143</v>
      </c>
      <c r="H700" s="7">
        <v>1335</v>
      </c>
      <c r="I700" s="7">
        <f>Daily_Data[[#This Row],[Room_rate]]*Daily_Data[[#This Row],[Rooms_Occupied]]</f>
        <v>13350</v>
      </c>
      <c r="J700" s="10">
        <f>Daily_Data[[#This Row],[Total_Sales]] * 0.22</f>
        <v>2937</v>
      </c>
      <c r="K700" s="10">
        <f>INDEX(Expense_master[Monthly_Rent],MATCH(Daily_Data[[#This Row],[Month_key]],Expense_master[Month_Key],0)) / INDEX(Expense_master[Days_in_Month],MATCH(Daily_Data[[#This Row],[Month_key]],Expense_master[Month_Key],0))</f>
        <v>8333.3333333333339</v>
      </c>
      <c r="L700" s="10">
        <f>SUMIFS(Expense_master[Staff_Salary],Expense_master[Month_Key],Daily_Data[[#This Row],[Month_key]]) / SUMIFS(Expense_master[Days_in_Month],Expense_master[Month_Key],Daily_Data[[#This Row],[Month_key]])</f>
        <v>2333.3333333333335</v>
      </c>
      <c r="M700" s="10">
        <f>Daily_Data[[#This Row],[Rooms_Occupied]] * (SUMIFS(Expense_master[Housekeeping_Laundy],Expense_master[Month_Key],Daily_Data[[#This Row],[Month_key]]) / SUMIFS(Occupancy_table[Monthly_rooms_Occupied],Occupancy_table[Month_Key],Daily_Data[[#This Row],[Month_key]]))</f>
        <v>296.73590504451039</v>
      </c>
      <c r="N70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1559.8013056379823</v>
      </c>
      <c r="O700" s="10">
        <f>SUMIFS(Expense_master[Monthly_Maintenance],Expense_master[Month_Key],Daily_Data[[#This Row],[Month_key]]) / SUMIFS(Expense_master[Days_in_Month],Expense_master[Month_Key], Daily_Data[[#This Row],[Month_key]])</f>
        <v>666.66666666666663</v>
      </c>
      <c r="P700" s="10">
        <f xml:space="preserve"> Daily_Data[[#This Row],[OTA Commision]] + Daily_Data[[#This Row],[Daily_Rent]]+Daily_Data[[#This Row],[Daily_Staff]]+Daily_Data[[#This Row],[Daily_HK]]+Daily_Data[[#This Row],[Daily_Electricity]] + Daily_Data[[#This Row],[Daily Maintenance]]</f>
        <v>16126.870544015826</v>
      </c>
      <c r="Q700" s="10">
        <f>Daily_Data[[#This Row],[Total_Sales]]-Daily_Data[[#This Row],[Total_Daily_Expense]]</f>
        <v>-2776.8705440158265</v>
      </c>
      <c r="R700" s="10">
        <f>Daily_Data[[#This Row],[Total_Sales]]/Daily_Data[[#This Row],[Rooms_Occupied]]</f>
        <v>1335</v>
      </c>
      <c r="S700" s="10">
        <f>Daily_Data[[#This Row],[Total_Sales]] / Daily_Data[[#This Row],[Max_rooms]]</f>
        <v>953.57142857142856</v>
      </c>
    </row>
    <row r="701" spans="1:19" x14ac:dyDescent="0.25">
      <c r="A701" s="6">
        <v>45626</v>
      </c>
      <c r="B701" s="20">
        <f>DATE(YEAR(Daily_Data[[#This Row],[Date]]), MONTH(Daily_Data[[#This Row],[Date]]), 1)</f>
        <v>45597</v>
      </c>
      <c r="C701" s="20" t="str">
        <f>TEXT(Daily_Data[[#This Row],[Month_key]],"mmmm")</f>
        <v>November</v>
      </c>
      <c r="D701" s="20" t="str">
        <f>TEXT(Daily_Data[[#This Row],[Month_key]],"yyyy")</f>
        <v>2024</v>
      </c>
      <c r="E701" s="7">
        <v>10</v>
      </c>
      <c r="F701" s="7">
        <v>14</v>
      </c>
      <c r="G701" s="8">
        <f>Daily_Data[[#This Row],[Rooms_Occupied]]/F701</f>
        <v>0.7142857142857143</v>
      </c>
      <c r="H701" s="7">
        <v>1775</v>
      </c>
      <c r="I701" s="7">
        <f>Daily_Data[[#This Row],[Room_rate]]*Daily_Data[[#This Row],[Rooms_Occupied]]</f>
        <v>17750</v>
      </c>
      <c r="J701" s="10">
        <f>Daily_Data[[#This Row],[Total_Sales]] * 0.22</f>
        <v>3905</v>
      </c>
      <c r="K701" s="10">
        <f>INDEX(Expense_master[Monthly_Rent],MATCH(Daily_Data[[#This Row],[Month_key]],Expense_master[Month_Key],0)) / INDEX(Expense_master[Days_in_Month],MATCH(Daily_Data[[#This Row],[Month_key]],Expense_master[Month_Key],0))</f>
        <v>8333.3333333333339</v>
      </c>
      <c r="L701" s="10">
        <f>SUMIFS(Expense_master[Staff_Salary],Expense_master[Month_Key],Daily_Data[[#This Row],[Month_key]]) / SUMIFS(Expense_master[Days_in_Month],Expense_master[Month_Key],Daily_Data[[#This Row],[Month_key]])</f>
        <v>2333.3333333333335</v>
      </c>
      <c r="M701" s="10">
        <f>Daily_Data[[#This Row],[Rooms_Occupied]] * (SUMIFS(Expense_master[Housekeeping_Laundy],Expense_master[Month_Key],Daily_Data[[#This Row],[Month_key]]) / SUMIFS(Occupancy_table[Monthly_rooms_Occupied],Occupancy_table[Month_Key],Daily_Data[[#This Row],[Month_key]]))</f>
        <v>296.73590504451039</v>
      </c>
      <c r="N70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1559.8013056379823</v>
      </c>
      <c r="O701" s="10">
        <f>SUMIFS(Expense_master[Monthly_Maintenance],Expense_master[Month_Key],Daily_Data[[#This Row],[Month_key]]) / SUMIFS(Expense_master[Days_in_Month],Expense_master[Month_Key], Daily_Data[[#This Row],[Month_key]])</f>
        <v>666.66666666666663</v>
      </c>
      <c r="P701" s="10">
        <f xml:space="preserve"> Daily_Data[[#This Row],[OTA Commision]] + Daily_Data[[#This Row],[Daily_Rent]]+Daily_Data[[#This Row],[Daily_Staff]]+Daily_Data[[#This Row],[Daily_HK]]+Daily_Data[[#This Row],[Daily_Electricity]] + Daily_Data[[#This Row],[Daily Maintenance]]</f>
        <v>17094.870544015826</v>
      </c>
      <c r="Q701" s="10">
        <f>Daily_Data[[#This Row],[Total_Sales]]-Daily_Data[[#This Row],[Total_Daily_Expense]]</f>
        <v>655.12945598417355</v>
      </c>
      <c r="R701" s="10">
        <f>Daily_Data[[#This Row],[Total_Sales]]/Daily_Data[[#This Row],[Rooms_Occupied]]</f>
        <v>1775</v>
      </c>
      <c r="S701" s="10">
        <f>Daily_Data[[#This Row],[Total_Sales]] / Daily_Data[[#This Row],[Max_rooms]]</f>
        <v>1267.8571428571429</v>
      </c>
    </row>
    <row r="702" spans="1:19" x14ac:dyDescent="0.25">
      <c r="A702" s="6">
        <v>45627</v>
      </c>
      <c r="B702" s="20">
        <f>DATE(YEAR(Daily_Data[[#This Row],[Date]]), MONTH(Daily_Data[[#This Row],[Date]]), 1)</f>
        <v>45627</v>
      </c>
      <c r="C702" s="20" t="str">
        <f>TEXT(Daily_Data[[#This Row],[Month_key]],"mmmm")</f>
        <v>December</v>
      </c>
      <c r="D702" s="20" t="str">
        <f>TEXT(Daily_Data[[#This Row],[Month_key]],"yyyy")</f>
        <v>2024</v>
      </c>
      <c r="E702" s="7">
        <v>13</v>
      </c>
      <c r="F702" s="7">
        <v>14</v>
      </c>
      <c r="G702" s="8">
        <f>Daily_Data[[#This Row],[Rooms_Occupied]]/F702</f>
        <v>0.9285714285714286</v>
      </c>
      <c r="H702" s="7">
        <v>1379</v>
      </c>
      <c r="I702" s="7">
        <f>Daily_Data[[#This Row],[Room_rate]]*Daily_Data[[#This Row],[Rooms_Occupied]]</f>
        <v>17927</v>
      </c>
      <c r="J702" s="10">
        <f>Daily_Data[[#This Row],[Total_Sales]] * 0.22</f>
        <v>3943.94</v>
      </c>
      <c r="K702" s="10">
        <f>INDEX(Expense_master[Monthly_Rent],MATCH(Daily_Data[[#This Row],[Month_key]],Expense_master[Month_Key],0)) / INDEX(Expense_master[Days_in_Month],MATCH(Daily_Data[[#This Row],[Month_key]],Expense_master[Month_Key],0))</f>
        <v>8064.5161290322585</v>
      </c>
      <c r="L702" s="10">
        <f>SUMIFS(Expense_master[Staff_Salary],Expense_master[Month_Key],Daily_Data[[#This Row],[Month_key]]) / SUMIFS(Expense_master[Days_in_Month],Expense_master[Month_Key],Daily_Data[[#This Row],[Month_key]])</f>
        <v>2258.0645161290322</v>
      </c>
      <c r="M702" s="10">
        <f>Daily_Data[[#This Row],[Rooms_Occupied]] * (SUMIFS(Expense_master[Housekeeping_Laundy],Expense_master[Month_Key],Daily_Data[[#This Row],[Month_key]]) / SUMIFS(Occupancy_table[Monthly_rooms_Occupied],Occupancy_table[Month_Key],Daily_Data[[#This Row],[Month_key]]))</f>
        <v>391.56626506024099</v>
      </c>
      <c r="N70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1844.8649630781188</v>
      </c>
      <c r="O702" s="10">
        <f>SUMIFS(Expense_master[Monthly_Maintenance],Expense_master[Month_Key],Daily_Data[[#This Row],[Month_key]]) / SUMIFS(Expense_master[Days_in_Month],Expense_master[Month_Key], Daily_Data[[#This Row],[Month_key]])</f>
        <v>645.16129032258061</v>
      </c>
      <c r="P702" s="10">
        <f xml:space="preserve"> Daily_Data[[#This Row],[OTA Commision]] + Daily_Data[[#This Row],[Daily_Rent]]+Daily_Data[[#This Row],[Daily_Staff]]+Daily_Data[[#This Row],[Daily_HK]]+Daily_Data[[#This Row],[Daily_Electricity]] + Daily_Data[[#This Row],[Daily Maintenance]]</f>
        <v>17148.113163622231</v>
      </c>
      <c r="Q702" s="10">
        <f>Daily_Data[[#This Row],[Total_Sales]]-Daily_Data[[#This Row],[Total_Daily_Expense]]</f>
        <v>778.88683637776921</v>
      </c>
      <c r="R702" s="10">
        <f>Daily_Data[[#This Row],[Total_Sales]]/Daily_Data[[#This Row],[Rooms_Occupied]]</f>
        <v>1379</v>
      </c>
      <c r="S702" s="10">
        <f>Daily_Data[[#This Row],[Total_Sales]] / Daily_Data[[#This Row],[Max_rooms]]</f>
        <v>1280.5</v>
      </c>
    </row>
    <row r="703" spans="1:19" x14ac:dyDescent="0.25">
      <c r="A703" s="6">
        <v>45628</v>
      </c>
      <c r="B703" s="20">
        <f>DATE(YEAR(Daily_Data[[#This Row],[Date]]), MONTH(Daily_Data[[#This Row],[Date]]), 1)</f>
        <v>45627</v>
      </c>
      <c r="C703" s="20" t="str">
        <f>TEXT(Daily_Data[[#This Row],[Month_key]],"mmmm")</f>
        <v>December</v>
      </c>
      <c r="D703" s="20" t="str">
        <f>TEXT(Daily_Data[[#This Row],[Month_key]],"yyyy")</f>
        <v>2024</v>
      </c>
      <c r="E703" s="7">
        <v>14</v>
      </c>
      <c r="F703" s="7">
        <v>14</v>
      </c>
      <c r="G703" s="8">
        <f>Daily_Data[[#This Row],[Rooms_Occupied]]/F703</f>
        <v>1</v>
      </c>
      <c r="H703" s="7">
        <v>1258</v>
      </c>
      <c r="I703" s="7">
        <f>Daily_Data[[#This Row],[Room_rate]]*Daily_Data[[#This Row],[Rooms_Occupied]]</f>
        <v>17612</v>
      </c>
      <c r="J703" s="10">
        <f>Daily_Data[[#This Row],[Total_Sales]] * 0.22</f>
        <v>3874.64</v>
      </c>
      <c r="K703" s="10">
        <f>INDEX(Expense_master[Monthly_Rent],MATCH(Daily_Data[[#This Row],[Month_key]],Expense_master[Month_Key],0)) / INDEX(Expense_master[Days_in_Month],MATCH(Daily_Data[[#This Row],[Month_key]],Expense_master[Month_Key],0))</f>
        <v>8064.5161290322585</v>
      </c>
      <c r="L703" s="10">
        <f>SUMIFS(Expense_master[Staff_Salary],Expense_master[Month_Key],Daily_Data[[#This Row],[Month_key]]) / SUMIFS(Expense_master[Days_in_Month],Expense_master[Month_Key],Daily_Data[[#This Row],[Month_key]])</f>
        <v>2258.0645161290322</v>
      </c>
      <c r="M703" s="10">
        <f>Daily_Data[[#This Row],[Rooms_Occupied]] * (SUMIFS(Expense_master[Housekeeping_Laundy],Expense_master[Month_Key],Daily_Data[[#This Row],[Month_key]]) / SUMIFS(Occupancy_table[Monthly_rooms_Occupied],Occupancy_table[Month_Key],Daily_Data[[#This Row],[Month_key]]))</f>
        <v>421.68674698795184</v>
      </c>
      <c r="N70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1936.4679751263116</v>
      </c>
      <c r="O703" s="10">
        <f>SUMIFS(Expense_master[Monthly_Maintenance],Expense_master[Month_Key],Daily_Data[[#This Row],[Month_key]]) / SUMIFS(Expense_master[Days_in_Month],Expense_master[Month_Key], Daily_Data[[#This Row],[Month_key]])</f>
        <v>645.16129032258061</v>
      </c>
      <c r="P703" s="10">
        <f xml:space="preserve"> Daily_Data[[#This Row],[OTA Commision]] + Daily_Data[[#This Row],[Daily_Rent]]+Daily_Data[[#This Row],[Daily_Staff]]+Daily_Data[[#This Row],[Daily_HK]]+Daily_Data[[#This Row],[Daily_Electricity]] + Daily_Data[[#This Row],[Daily Maintenance]]</f>
        <v>17200.536657598135</v>
      </c>
      <c r="Q703" s="10">
        <f>Daily_Data[[#This Row],[Total_Sales]]-Daily_Data[[#This Row],[Total_Daily_Expense]]</f>
        <v>411.46334240186479</v>
      </c>
      <c r="R703" s="10">
        <f>Daily_Data[[#This Row],[Total_Sales]]/Daily_Data[[#This Row],[Rooms_Occupied]]</f>
        <v>1258</v>
      </c>
      <c r="S703" s="10">
        <f>Daily_Data[[#This Row],[Total_Sales]] / Daily_Data[[#This Row],[Max_rooms]]</f>
        <v>1258</v>
      </c>
    </row>
    <row r="704" spans="1:19" x14ac:dyDescent="0.25">
      <c r="A704" s="6">
        <v>45629</v>
      </c>
      <c r="B704" s="20">
        <f>DATE(YEAR(Daily_Data[[#This Row],[Date]]), MONTH(Daily_Data[[#This Row],[Date]]), 1)</f>
        <v>45627</v>
      </c>
      <c r="C704" s="20" t="str">
        <f>TEXT(Daily_Data[[#This Row],[Month_key]],"mmmm")</f>
        <v>December</v>
      </c>
      <c r="D704" s="20" t="str">
        <f>TEXT(Daily_Data[[#This Row],[Month_key]],"yyyy")</f>
        <v>2024</v>
      </c>
      <c r="E704" s="7">
        <v>11</v>
      </c>
      <c r="F704" s="7">
        <v>14</v>
      </c>
      <c r="G704" s="8">
        <f>Daily_Data[[#This Row],[Rooms_Occupied]]/F704</f>
        <v>0.7857142857142857</v>
      </c>
      <c r="H704" s="7">
        <v>1225</v>
      </c>
      <c r="I704" s="7">
        <f>Daily_Data[[#This Row],[Room_rate]]*Daily_Data[[#This Row],[Rooms_Occupied]]</f>
        <v>13475</v>
      </c>
      <c r="J704" s="10">
        <f>Daily_Data[[#This Row],[Total_Sales]] * 0.22</f>
        <v>2964.5</v>
      </c>
      <c r="K704" s="10">
        <f>INDEX(Expense_master[Monthly_Rent],MATCH(Daily_Data[[#This Row],[Month_key]],Expense_master[Month_Key],0)) / INDEX(Expense_master[Days_in_Month],MATCH(Daily_Data[[#This Row],[Month_key]],Expense_master[Month_Key],0))</f>
        <v>8064.5161290322585</v>
      </c>
      <c r="L704" s="10">
        <f>SUMIFS(Expense_master[Staff_Salary],Expense_master[Month_Key],Daily_Data[[#This Row],[Month_key]]) / SUMIFS(Expense_master[Days_in_Month],Expense_master[Month_Key],Daily_Data[[#This Row],[Month_key]])</f>
        <v>2258.0645161290322</v>
      </c>
      <c r="M704" s="10">
        <f>Daily_Data[[#This Row],[Rooms_Occupied]] * (SUMIFS(Expense_master[Housekeeping_Laundy],Expense_master[Month_Key],Daily_Data[[#This Row],[Month_key]]) / SUMIFS(Occupancy_table[Monthly_rooms_Occupied],Occupancy_table[Month_Key],Daily_Data[[#This Row],[Month_key]]))</f>
        <v>331.32530120481931</v>
      </c>
      <c r="N70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1661.6589389817332</v>
      </c>
      <c r="O704" s="10">
        <f>SUMIFS(Expense_master[Monthly_Maintenance],Expense_master[Month_Key],Daily_Data[[#This Row],[Month_key]]) / SUMIFS(Expense_master[Days_in_Month],Expense_master[Month_Key], Daily_Data[[#This Row],[Month_key]])</f>
        <v>645.16129032258061</v>
      </c>
      <c r="P704" s="10">
        <f xml:space="preserve"> Daily_Data[[#This Row],[OTA Commision]] + Daily_Data[[#This Row],[Daily_Rent]]+Daily_Data[[#This Row],[Daily_Staff]]+Daily_Data[[#This Row],[Daily_HK]]+Daily_Data[[#This Row],[Daily_Electricity]] + Daily_Data[[#This Row],[Daily Maintenance]]</f>
        <v>15925.226175670423</v>
      </c>
      <c r="Q704" s="10">
        <f>Daily_Data[[#This Row],[Total_Sales]]-Daily_Data[[#This Row],[Total_Daily_Expense]]</f>
        <v>-2450.2261756704229</v>
      </c>
      <c r="R704" s="10">
        <f>Daily_Data[[#This Row],[Total_Sales]]/Daily_Data[[#This Row],[Rooms_Occupied]]</f>
        <v>1225</v>
      </c>
      <c r="S704" s="10">
        <f>Daily_Data[[#This Row],[Total_Sales]] / Daily_Data[[#This Row],[Max_rooms]]</f>
        <v>962.5</v>
      </c>
    </row>
    <row r="705" spans="1:19" x14ac:dyDescent="0.25">
      <c r="A705" s="6">
        <v>45630</v>
      </c>
      <c r="B705" s="20">
        <f>DATE(YEAR(Daily_Data[[#This Row],[Date]]), MONTH(Daily_Data[[#This Row],[Date]]), 1)</f>
        <v>45627</v>
      </c>
      <c r="C705" s="20" t="str">
        <f>TEXT(Daily_Data[[#This Row],[Month_key]],"mmmm")</f>
        <v>December</v>
      </c>
      <c r="D705" s="20" t="str">
        <f>TEXT(Daily_Data[[#This Row],[Month_key]],"yyyy")</f>
        <v>2024</v>
      </c>
      <c r="E705" s="7">
        <v>14</v>
      </c>
      <c r="F705" s="7">
        <v>14</v>
      </c>
      <c r="G705" s="8">
        <f>Daily_Data[[#This Row],[Rooms_Occupied]]/F705</f>
        <v>1</v>
      </c>
      <c r="H705" s="7">
        <v>1403</v>
      </c>
      <c r="I705" s="7">
        <f>Daily_Data[[#This Row],[Room_rate]]*Daily_Data[[#This Row],[Rooms_Occupied]]</f>
        <v>19642</v>
      </c>
      <c r="J705" s="10">
        <f>Daily_Data[[#This Row],[Total_Sales]] * 0.22</f>
        <v>4321.24</v>
      </c>
      <c r="K705" s="10">
        <f>INDEX(Expense_master[Monthly_Rent],MATCH(Daily_Data[[#This Row],[Month_key]],Expense_master[Month_Key],0)) / INDEX(Expense_master[Days_in_Month],MATCH(Daily_Data[[#This Row],[Month_key]],Expense_master[Month_Key],0))</f>
        <v>8064.5161290322585</v>
      </c>
      <c r="L705" s="10">
        <f>SUMIFS(Expense_master[Staff_Salary],Expense_master[Month_Key],Daily_Data[[#This Row],[Month_key]]) / SUMIFS(Expense_master[Days_in_Month],Expense_master[Month_Key],Daily_Data[[#This Row],[Month_key]])</f>
        <v>2258.0645161290322</v>
      </c>
      <c r="M705" s="10">
        <f>Daily_Data[[#This Row],[Rooms_Occupied]] * (SUMIFS(Expense_master[Housekeeping_Laundy],Expense_master[Month_Key],Daily_Data[[#This Row],[Month_key]]) / SUMIFS(Occupancy_table[Monthly_rooms_Occupied],Occupancy_table[Month_Key],Daily_Data[[#This Row],[Month_key]]))</f>
        <v>421.68674698795184</v>
      </c>
      <c r="N70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1936.4679751263116</v>
      </c>
      <c r="O705" s="10">
        <f>SUMIFS(Expense_master[Monthly_Maintenance],Expense_master[Month_Key],Daily_Data[[#This Row],[Month_key]]) / SUMIFS(Expense_master[Days_in_Month],Expense_master[Month_Key], Daily_Data[[#This Row],[Month_key]])</f>
        <v>645.16129032258061</v>
      </c>
      <c r="P705" s="10">
        <f xml:space="preserve"> Daily_Data[[#This Row],[OTA Commision]] + Daily_Data[[#This Row],[Daily_Rent]]+Daily_Data[[#This Row],[Daily_Staff]]+Daily_Data[[#This Row],[Daily_HK]]+Daily_Data[[#This Row],[Daily_Electricity]] + Daily_Data[[#This Row],[Daily Maintenance]]</f>
        <v>17647.136657598134</v>
      </c>
      <c r="Q705" s="10">
        <f>Daily_Data[[#This Row],[Total_Sales]]-Daily_Data[[#This Row],[Total_Daily_Expense]]</f>
        <v>1994.8633424018662</v>
      </c>
      <c r="R705" s="10">
        <f>Daily_Data[[#This Row],[Total_Sales]]/Daily_Data[[#This Row],[Rooms_Occupied]]</f>
        <v>1403</v>
      </c>
      <c r="S705" s="10">
        <f>Daily_Data[[#This Row],[Total_Sales]] / Daily_Data[[#This Row],[Max_rooms]]</f>
        <v>1403</v>
      </c>
    </row>
    <row r="706" spans="1:19" x14ac:dyDescent="0.25">
      <c r="A706" s="6">
        <v>45631</v>
      </c>
      <c r="B706" s="20">
        <f>DATE(YEAR(Daily_Data[[#This Row],[Date]]), MONTH(Daily_Data[[#This Row],[Date]]), 1)</f>
        <v>45627</v>
      </c>
      <c r="C706" s="20" t="str">
        <f>TEXT(Daily_Data[[#This Row],[Month_key]],"mmmm")</f>
        <v>December</v>
      </c>
      <c r="D706" s="20" t="str">
        <f>TEXT(Daily_Data[[#This Row],[Month_key]],"yyyy")</f>
        <v>2024</v>
      </c>
      <c r="E706" s="7">
        <v>9</v>
      </c>
      <c r="F706" s="7">
        <v>14</v>
      </c>
      <c r="G706" s="8">
        <f>Daily_Data[[#This Row],[Rooms_Occupied]]/F706</f>
        <v>0.6428571428571429</v>
      </c>
      <c r="H706" s="7">
        <v>1166</v>
      </c>
      <c r="I706" s="7">
        <f>Daily_Data[[#This Row],[Room_rate]]*Daily_Data[[#This Row],[Rooms_Occupied]]</f>
        <v>10494</v>
      </c>
      <c r="J706" s="10">
        <f>Daily_Data[[#This Row],[Total_Sales]] * 0.22</f>
        <v>2308.6799999999998</v>
      </c>
      <c r="K706" s="10">
        <f>INDEX(Expense_master[Monthly_Rent],MATCH(Daily_Data[[#This Row],[Month_key]],Expense_master[Month_Key],0)) / INDEX(Expense_master[Days_in_Month],MATCH(Daily_Data[[#This Row],[Month_key]],Expense_master[Month_Key],0))</f>
        <v>8064.5161290322585</v>
      </c>
      <c r="L706" s="10">
        <f>SUMIFS(Expense_master[Staff_Salary],Expense_master[Month_Key],Daily_Data[[#This Row],[Month_key]]) / SUMIFS(Expense_master[Days_in_Month],Expense_master[Month_Key],Daily_Data[[#This Row],[Month_key]])</f>
        <v>2258.0645161290322</v>
      </c>
      <c r="M706" s="10">
        <f>Daily_Data[[#This Row],[Rooms_Occupied]] * (SUMIFS(Expense_master[Housekeeping_Laundy],Expense_master[Month_Key],Daily_Data[[#This Row],[Month_key]]) / SUMIFS(Occupancy_table[Monthly_rooms_Occupied],Occupancy_table[Month_Key],Daily_Data[[#This Row],[Month_key]]))</f>
        <v>271.08433734939763</v>
      </c>
      <c r="N70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1478.4529148853478</v>
      </c>
      <c r="O706" s="10">
        <f>SUMIFS(Expense_master[Monthly_Maintenance],Expense_master[Month_Key],Daily_Data[[#This Row],[Month_key]]) / SUMIFS(Expense_master[Days_in_Month],Expense_master[Month_Key], Daily_Data[[#This Row],[Month_key]])</f>
        <v>645.16129032258061</v>
      </c>
      <c r="P706" s="10">
        <f xml:space="preserve"> Daily_Data[[#This Row],[OTA Commision]] + Daily_Data[[#This Row],[Daily_Rent]]+Daily_Data[[#This Row],[Daily_Staff]]+Daily_Data[[#This Row],[Daily_HK]]+Daily_Data[[#This Row],[Daily_Electricity]] + Daily_Data[[#This Row],[Daily Maintenance]]</f>
        <v>15025.959187718616</v>
      </c>
      <c r="Q706" s="10">
        <f>Daily_Data[[#This Row],[Total_Sales]]-Daily_Data[[#This Row],[Total_Daily_Expense]]</f>
        <v>-4531.9591877186158</v>
      </c>
      <c r="R706" s="10">
        <f>Daily_Data[[#This Row],[Total_Sales]]/Daily_Data[[#This Row],[Rooms_Occupied]]</f>
        <v>1166</v>
      </c>
      <c r="S706" s="10">
        <f>Daily_Data[[#This Row],[Total_Sales]] / Daily_Data[[#This Row],[Max_rooms]]</f>
        <v>749.57142857142856</v>
      </c>
    </row>
    <row r="707" spans="1:19" x14ac:dyDescent="0.25">
      <c r="A707" s="6">
        <v>45632</v>
      </c>
      <c r="B707" s="20">
        <f>DATE(YEAR(Daily_Data[[#This Row],[Date]]), MONTH(Daily_Data[[#This Row],[Date]]), 1)</f>
        <v>45627</v>
      </c>
      <c r="C707" s="20" t="str">
        <f>TEXT(Daily_Data[[#This Row],[Month_key]],"mmmm")</f>
        <v>December</v>
      </c>
      <c r="D707" s="20" t="str">
        <f>TEXT(Daily_Data[[#This Row],[Month_key]],"yyyy")</f>
        <v>2024</v>
      </c>
      <c r="E707" s="7">
        <v>8</v>
      </c>
      <c r="F707" s="7">
        <v>14</v>
      </c>
      <c r="G707" s="8">
        <f>Daily_Data[[#This Row],[Rooms_Occupied]]/F707</f>
        <v>0.5714285714285714</v>
      </c>
      <c r="H707" s="7">
        <v>1207</v>
      </c>
      <c r="I707" s="7">
        <f>Daily_Data[[#This Row],[Room_rate]]*Daily_Data[[#This Row],[Rooms_Occupied]]</f>
        <v>9656</v>
      </c>
      <c r="J707" s="10">
        <f>Daily_Data[[#This Row],[Total_Sales]] * 0.22</f>
        <v>2124.3200000000002</v>
      </c>
      <c r="K707" s="10">
        <f>INDEX(Expense_master[Monthly_Rent],MATCH(Daily_Data[[#This Row],[Month_key]],Expense_master[Month_Key],0)) / INDEX(Expense_master[Days_in_Month],MATCH(Daily_Data[[#This Row],[Month_key]],Expense_master[Month_Key],0))</f>
        <v>8064.5161290322585</v>
      </c>
      <c r="L707" s="10">
        <f>SUMIFS(Expense_master[Staff_Salary],Expense_master[Month_Key],Daily_Data[[#This Row],[Month_key]]) / SUMIFS(Expense_master[Days_in_Month],Expense_master[Month_Key],Daily_Data[[#This Row],[Month_key]])</f>
        <v>2258.0645161290322</v>
      </c>
      <c r="M707" s="10">
        <f>Daily_Data[[#This Row],[Rooms_Occupied]] * (SUMIFS(Expense_master[Housekeeping_Laundy],Expense_master[Month_Key],Daily_Data[[#This Row],[Month_key]]) / SUMIFS(Occupancy_table[Monthly_rooms_Occupied],Occupancy_table[Month_Key],Daily_Data[[#This Row],[Month_key]]))</f>
        <v>240.96385542168676</v>
      </c>
      <c r="N70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1386.849902837155</v>
      </c>
      <c r="O707" s="10">
        <f>SUMIFS(Expense_master[Monthly_Maintenance],Expense_master[Month_Key],Daily_Data[[#This Row],[Month_key]]) / SUMIFS(Expense_master[Days_in_Month],Expense_master[Month_Key], Daily_Data[[#This Row],[Month_key]])</f>
        <v>645.16129032258061</v>
      </c>
      <c r="P707" s="10">
        <f xml:space="preserve"> Daily_Data[[#This Row],[OTA Commision]] + Daily_Data[[#This Row],[Daily_Rent]]+Daily_Data[[#This Row],[Daily_Staff]]+Daily_Data[[#This Row],[Daily_HK]]+Daily_Data[[#This Row],[Daily_Electricity]] + Daily_Data[[#This Row],[Daily Maintenance]]</f>
        <v>14719.875693742715</v>
      </c>
      <c r="Q707" s="10">
        <f>Daily_Data[[#This Row],[Total_Sales]]-Daily_Data[[#This Row],[Total_Daily_Expense]]</f>
        <v>-5063.8756937427152</v>
      </c>
      <c r="R707" s="10">
        <f>Daily_Data[[#This Row],[Total_Sales]]/Daily_Data[[#This Row],[Rooms_Occupied]]</f>
        <v>1207</v>
      </c>
      <c r="S707" s="10">
        <f>Daily_Data[[#This Row],[Total_Sales]] / Daily_Data[[#This Row],[Max_rooms]]</f>
        <v>689.71428571428567</v>
      </c>
    </row>
    <row r="708" spans="1:19" x14ac:dyDescent="0.25">
      <c r="A708" s="6">
        <v>45633</v>
      </c>
      <c r="B708" s="20">
        <f>DATE(YEAR(Daily_Data[[#This Row],[Date]]), MONTH(Daily_Data[[#This Row],[Date]]), 1)</f>
        <v>45627</v>
      </c>
      <c r="C708" s="20" t="str">
        <f>TEXT(Daily_Data[[#This Row],[Month_key]],"mmmm")</f>
        <v>December</v>
      </c>
      <c r="D708" s="20" t="str">
        <f>TEXT(Daily_Data[[#This Row],[Month_key]],"yyyy")</f>
        <v>2024</v>
      </c>
      <c r="E708" s="7">
        <v>8</v>
      </c>
      <c r="F708" s="7">
        <v>14</v>
      </c>
      <c r="G708" s="8">
        <f>Daily_Data[[#This Row],[Rooms_Occupied]]/F708</f>
        <v>0.5714285714285714</v>
      </c>
      <c r="H708" s="7">
        <v>1329</v>
      </c>
      <c r="I708" s="7">
        <f>Daily_Data[[#This Row],[Room_rate]]*Daily_Data[[#This Row],[Rooms_Occupied]]</f>
        <v>10632</v>
      </c>
      <c r="J708" s="10">
        <f>Daily_Data[[#This Row],[Total_Sales]] * 0.22</f>
        <v>2339.04</v>
      </c>
      <c r="K708" s="10">
        <f>INDEX(Expense_master[Monthly_Rent],MATCH(Daily_Data[[#This Row],[Month_key]],Expense_master[Month_Key],0)) / INDEX(Expense_master[Days_in_Month],MATCH(Daily_Data[[#This Row],[Month_key]],Expense_master[Month_Key],0))</f>
        <v>8064.5161290322585</v>
      </c>
      <c r="L708" s="10">
        <f>SUMIFS(Expense_master[Staff_Salary],Expense_master[Month_Key],Daily_Data[[#This Row],[Month_key]]) / SUMIFS(Expense_master[Days_in_Month],Expense_master[Month_Key],Daily_Data[[#This Row],[Month_key]])</f>
        <v>2258.0645161290322</v>
      </c>
      <c r="M708" s="10">
        <f>Daily_Data[[#This Row],[Rooms_Occupied]] * (SUMIFS(Expense_master[Housekeeping_Laundy],Expense_master[Month_Key],Daily_Data[[#This Row],[Month_key]]) / SUMIFS(Occupancy_table[Monthly_rooms_Occupied],Occupancy_table[Month_Key],Daily_Data[[#This Row],[Month_key]]))</f>
        <v>240.96385542168676</v>
      </c>
      <c r="N70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1386.849902837155</v>
      </c>
      <c r="O708" s="10">
        <f>SUMIFS(Expense_master[Monthly_Maintenance],Expense_master[Month_Key],Daily_Data[[#This Row],[Month_key]]) / SUMIFS(Expense_master[Days_in_Month],Expense_master[Month_Key], Daily_Data[[#This Row],[Month_key]])</f>
        <v>645.16129032258061</v>
      </c>
      <c r="P708" s="10">
        <f xml:space="preserve"> Daily_Data[[#This Row],[OTA Commision]] + Daily_Data[[#This Row],[Daily_Rent]]+Daily_Data[[#This Row],[Daily_Staff]]+Daily_Data[[#This Row],[Daily_HK]]+Daily_Data[[#This Row],[Daily_Electricity]] + Daily_Data[[#This Row],[Daily Maintenance]]</f>
        <v>14934.595693742715</v>
      </c>
      <c r="Q708" s="10">
        <f>Daily_Data[[#This Row],[Total_Sales]]-Daily_Data[[#This Row],[Total_Daily_Expense]]</f>
        <v>-4302.5956937427145</v>
      </c>
      <c r="R708" s="10">
        <f>Daily_Data[[#This Row],[Total_Sales]]/Daily_Data[[#This Row],[Rooms_Occupied]]</f>
        <v>1329</v>
      </c>
      <c r="S708" s="10">
        <f>Daily_Data[[#This Row],[Total_Sales]] / Daily_Data[[#This Row],[Max_rooms]]</f>
        <v>759.42857142857144</v>
      </c>
    </row>
    <row r="709" spans="1:19" x14ac:dyDescent="0.25">
      <c r="A709" s="6">
        <v>45634</v>
      </c>
      <c r="B709" s="20">
        <f>DATE(YEAR(Daily_Data[[#This Row],[Date]]), MONTH(Daily_Data[[#This Row],[Date]]), 1)</f>
        <v>45627</v>
      </c>
      <c r="C709" s="20" t="str">
        <f>TEXT(Daily_Data[[#This Row],[Month_key]],"mmmm")</f>
        <v>December</v>
      </c>
      <c r="D709" s="20" t="str">
        <f>TEXT(Daily_Data[[#This Row],[Month_key]],"yyyy")</f>
        <v>2024</v>
      </c>
      <c r="E709" s="7">
        <v>8</v>
      </c>
      <c r="F709" s="7">
        <v>14</v>
      </c>
      <c r="G709" s="8">
        <f>Daily_Data[[#This Row],[Rooms_Occupied]]/F709</f>
        <v>0.5714285714285714</v>
      </c>
      <c r="H709" s="7">
        <v>1301</v>
      </c>
      <c r="I709" s="7">
        <f>Daily_Data[[#This Row],[Room_rate]]*Daily_Data[[#This Row],[Rooms_Occupied]]</f>
        <v>10408</v>
      </c>
      <c r="J709" s="10">
        <f>Daily_Data[[#This Row],[Total_Sales]] * 0.22</f>
        <v>2289.7600000000002</v>
      </c>
      <c r="K709" s="10">
        <f>INDEX(Expense_master[Monthly_Rent],MATCH(Daily_Data[[#This Row],[Month_key]],Expense_master[Month_Key],0)) / INDEX(Expense_master[Days_in_Month],MATCH(Daily_Data[[#This Row],[Month_key]],Expense_master[Month_Key],0))</f>
        <v>8064.5161290322585</v>
      </c>
      <c r="L709" s="10">
        <f>SUMIFS(Expense_master[Staff_Salary],Expense_master[Month_Key],Daily_Data[[#This Row],[Month_key]]) / SUMIFS(Expense_master[Days_in_Month],Expense_master[Month_Key],Daily_Data[[#This Row],[Month_key]])</f>
        <v>2258.0645161290322</v>
      </c>
      <c r="M709" s="10">
        <f>Daily_Data[[#This Row],[Rooms_Occupied]] * (SUMIFS(Expense_master[Housekeeping_Laundy],Expense_master[Month_Key],Daily_Data[[#This Row],[Month_key]]) / SUMIFS(Occupancy_table[Monthly_rooms_Occupied],Occupancy_table[Month_Key],Daily_Data[[#This Row],[Month_key]]))</f>
        <v>240.96385542168676</v>
      </c>
      <c r="N70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1386.849902837155</v>
      </c>
      <c r="O709" s="10">
        <f>SUMIFS(Expense_master[Monthly_Maintenance],Expense_master[Month_Key],Daily_Data[[#This Row],[Month_key]]) / SUMIFS(Expense_master[Days_in_Month],Expense_master[Month_Key], Daily_Data[[#This Row],[Month_key]])</f>
        <v>645.16129032258061</v>
      </c>
      <c r="P709" s="10">
        <f xml:space="preserve"> Daily_Data[[#This Row],[OTA Commision]] + Daily_Data[[#This Row],[Daily_Rent]]+Daily_Data[[#This Row],[Daily_Staff]]+Daily_Data[[#This Row],[Daily_HK]]+Daily_Data[[#This Row],[Daily_Electricity]] + Daily_Data[[#This Row],[Daily Maintenance]]</f>
        <v>14885.315693742716</v>
      </c>
      <c r="Q709" s="10">
        <f>Daily_Data[[#This Row],[Total_Sales]]-Daily_Data[[#This Row],[Total_Daily_Expense]]</f>
        <v>-4477.3156937427157</v>
      </c>
      <c r="R709" s="10">
        <f>Daily_Data[[#This Row],[Total_Sales]]/Daily_Data[[#This Row],[Rooms_Occupied]]</f>
        <v>1301</v>
      </c>
      <c r="S709" s="10">
        <f>Daily_Data[[#This Row],[Total_Sales]] / Daily_Data[[#This Row],[Max_rooms]]</f>
        <v>743.42857142857144</v>
      </c>
    </row>
    <row r="710" spans="1:19" x14ac:dyDescent="0.25">
      <c r="A710" s="6">
        <v>45635</v>
      </c>
      <c r="B710" s="20">
        <f>DATE(YEAR(Daily_Data[[#This Row],[Date]]), MONTH(Daily_Data[[#This Row],[Date]]), 1)</f>
        <v>45627</v>
      </c>
      <c r="C710" s="20" t="str">
        <f>TEXT(Daily_Data[[#This Row],[Month_key]],"mmmm")</f>
        <v>December</v>
      </c>
      <c r="D710" s="20" t="str">
        <f>TEXT(Daily_Data[[#This Row],[Month_key]],"yyyy")</f>
        <v>2024</v>
      </c>
      <c r="E710" s="7">
        <v>9</v>
      </c>
      <c r="F710" s="7">
        <v>14</v>
      </c>
      <c r="G710" s="8">
        <f>Daily_Data[[#This Row],[Rooms_Occupied]]/F710</f>
        <v>0.6428571428571429</v>
      </c>
      <c r="H710" s="7">
        <v>1700</v>
      </c>
      <c r="I710" s="7">
        <f>Daily_Data[[#This Row],[Room_rate]]*Daily_Data[[#This Row],[Rooms_Occupied]]</f>
        <v>15300</v>
      </c>
      <c r="J710" s="10">
        <f>Daily_Data[[#This Row],[Total_Sales]] * 0.22</f>
        <v>3366</v>
      </c>
      <c r="K710" s="10">
        <f>INDEX(Expense_master[Monthly_Rent],MATCH(Daily_Data[[#This Row],[Month_key]],Expense_master[Month_Key],0)) / INDEX(Expense_master[Days_in_Month],MATCH(Daily_Data[[#This Row],[Month_key]],Expense_master[Month_Key],0))</f>
        <v>8064.5161290322585</v>
      </c>
      <c r="L710" s="10">
        <f>SUMIFS(Expense_master[Staff_Salary],Expense_master[Month_Key],Daily_Data[[#This Row],[Month_key]]) / SUMIFS(Expense_master[Days_in_Month],Expense_master[Month_Key],Daily_Data[[#This Row],[Month_key]])</f>
        <v>2258.0645161290322</v>
      </c>
      <c r="M710" s="10">
        <f>Daily_Data[[#This Row],[Rooms_Occupied]] * (SUMIFS(Expense_master[Housekeeping_Laundy],Expense_master[Month_Key],Daily_Data[[#This Row],[Month_key]]) / SUMIFS(Occupancy_table[Monthly_rooms_Occupied],Occupancy_table[Month_Key],Daily_Data[[#This Row],[Month_key]]))</f>
        <v>271.08433734939763</v>
      </c>
      <c r="N71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1478.4529148853478</v>
      </c>
      <c r="O710" s="10">
        <f>SUMIFS(Expense_master[Monthly_Maintenance],Expense_master[Month_Key],Daily_Data[[#This Row],[Month_key]]) / SUMIFS(Expense_master[Days_in_Month],Expense_master[Month_Key], Daily_Data[[#This Row],[Month_key]])</f>
        <v>645.16129032258061</v>
      </c>
      <c r="P710" s="10">
        <f xml:space="preserve"> Daily_Data[[#This Row],[OTA Commision]] + Daily_Data[[#This Row],[Daily_Rent]]+Daily_Data[[#This Row],[Daily_Staff]]+Daily_Data[[#This Row],[Daily_HK]]+Daily_Data[[#This Row],[Daily_Electricity]] + Daily_Data[[#This Row],[Daily Maintenance]]</f>
        <v>16083.279187718616</v>
      </c>
      <c r="Q710" s="10">
        <f>Daily_Data[[#This Row],[Total_Sales]]-Daily_Data[[#This Row],[Total_Daily_Expense]]</f>
        <v>-783.2791877186155</v>
      </c>
      <c r="R710" s="10">
        <f>Daily_Data[[#This Row],[Total_Sales]]/Daily_Data[[#This Row],[Rooms_Occupied]]</f>
        <v>1700</v>
      </c>
      <c r="S710" s="10">
        <f>Daily_Data[[#This Row],[Total_Sales]] / Daily_Data[[#This Row],[Max_rooms]]</f>
        <v>1092.8571428571429</v>
      </c>
    </row>
    <row r="711" spans="1:19" x14ac:dyDescent="0.25">
      <c r="A711" s="6">
        <v>45636</v>
      </c>
      <c r="B711" s="20">
        <f>DATE(YEAR(Daily_Data[[#This Row],[Date]]), MONTH(Daily_Data[[#This Row],[Date]]), 1)</f>
        <v>45627</v>
      </c>
      <c r="C711" s="20" t="str">
        <f>TEXT(Daily_Data[[#This Row],[Month_key]],"mmmm")</f>
        <v>December</v>
      </c>
      <c r="D711" s="20" t="str">
        <f>TEXT(Daily_Data[[#This Row],[Month_key]],"yyyy")</f>
        <v>2024</v>
      </c>
      <c r="E711" s="7">
        <v>11</v>
      </c>
      <c r="F711" s="7">
        <v>14</v>
      </c>
      <c r="G711" s="8">
        <f>Daily_Data[[#This Row],[Rooms_Occupied]]/F711</f>
        <v>0.7857142857142857</v>
      </c>
      <c r="H711" s="7">
        <v>1093</v>
      </c>
      <c r="I711" s="7">
        <f>Daily_Data[[#This Row],[Room_rate]]*Daily_Data[[#This Row],[Rooms_Occupied]]</f>
        <v>12023</v>
      </c>
      <c r="J711" s="10">
        <f>Daily_Data[[#This Row],[Total_Sales]] * 0.22</f>
        <v>2645.06</v>
      </c>
      <c r="K711" s="10">
        <f>INDEX(Expense_master[Monthly_Rent],MATCH(Daily_Data[[#This Row],[Month_key]],Expense_master[Month_Key],0)) / INDEX(Expense_master[Days_in_Month],MATCH(Daily_Data[[#This Row],[Month_key]],Expense_master[Month_Key],0))</f>
        <v>8064.5161290322585</v>
      </c>
      <c r="L711" s="10">
        <f>SUMIFS(Expense_master[Staff_Salary],Expense_master[Month_Key],Daily_Data[[#This Row],[Month_key]]) / SUMIFS(Expense_master[Days_in_Month],Expense_master[Month_Key],Daily_Data[[#This Row],[Month_key]])</f>
        <v>2258.0645161290322</v>
      </c>
      <c r="M711" s="10">
        <f>Daily_Data[[#This Row],[Rooms_Occupied]] * (SUMIFS(Expense_master[Housekeeping_Laundy],Expense_master[Month_Key],Daily_Data[[#This Row],[Month_key]]) / SUMIFS(Occupancy_table[Monthly_rooms_Occupied],Occupancy_table[Month_Key],Daily_Data[[#This Row],[Month_key]]))</f>
        <v>331.32530120481931</v>
      </c>
      <c r="N71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1661.6589389817332</v>
      </c>
      <c r="O711" s="10">
        <f>SUMIFS(Expense_master[Monthly_Maintenance],Expense_master[Month_Key],Daily_Data[[#This Row],[Month_key]]) / SUMIFS(Expense_master[Days_in_Month],Expense_master[Month_Key], Daily_Data[[#This Row],[Month_key]])</f>
        <v>645.16129032258061</v>
      </c>
      <c r="P711" s="10">
        <f xml:space="preserve"> Daily_Data[[#This Row],[OTA Commision]] + Daily_Data[[#This Row],[Daily_Rent]]+Daily_Data[[#This Row],[Daily_Staff]]+Daily_Data[[#This Row],[Daily_HK]]+Daily_Data[[#This Row],[Daily_Electricity]] + Daily_Data[[#This Row],[Daily Maintenance]]</f>
        <v>15605.786175670424</v>
      </c>
      <c r="Q711" s="10">
        <f>Daily_Data[[#This Row],[Total_Sales]]-Daily_Data[[#This Row],[Total_Daily_Expense]]</f>
        <v>-3582.7861756704242</v>
      </c>
      <c r="R711" s="10">
        <f>Daily_Data[[#This Row],[Total_Sales]]/Daily_Data[[#This Row],[Rooms_Occupied]]</f>
        <v>1093</v>
      </c>
      <c r="S711" s="10">
        <f>Daily_Data[[#This Row],[Total_Sales]] / Daily_Data[[#This Row],[Max_rooms]]</f>
        <v>858.78571428571433</v>
      </c>
    </row>
    <row r="712" spans="1:19" x14ac:dyDescent="0.25">
      <c r="A712" s="6">
        <v>45637</v>
      </c>
      <c r="B712" s="20">
        <f>DATE(YEAR(Daily_Data[[#This Row],[Date]]), MONTH(Daily_Data[[#This Row],[Date]]), 1)</f>
        <v>45627</v>
      </c>
      <c r="C712" s="20" t="str">
        <f>TEXT(Daily_Data[[#This Row],[Month_key]],"mmmm")</f>
        <v>December</v>
      </c>
      <c r="D712" s="20" t="str">
        <f>TEXT(Daily_Data[[#This Row],[Month_key]],"yyyy")</f>
        <v>2024</v>
      </c>
      <c r="E712" s="7">
        <v>9</v>
      </c>
      <c r="F712" s="7">
        <v>14</v>
      </c>
      <c r="G712" s="8">
        <f>Daily_Data[[#This Row],[Rooms_Occupied]]/F712</f>
        <v>0.6428571428571429</v>
      </c>
      <c r="H712" s="7">
        <v>1451</v>
      </c>
      <c r="I712" s="7">
        <f>Daily_Data[[#This Row],[Room_rate]]*Daily_Data[[#This Row],[Rooms_Occupied]]</f>
        <v>13059</v>
      </c>
      <c r="J712" s="10">
        <f>Daily_Data[[#This Row],[Total_Sales]] * 0.22</f>
        <v>2872.98</v>
      </c>
      <c r="K712" s="10">
        <f>INDEX(Expense_master[Monthly_Rent],MATCH(Daily_Data[[#This Row],[Month_key]],Expense_master[Month_Key],0)) / INDEX(Expense_master[Days_in_Month],MATCH(Daily_Data[[#This Row],[Month_key]],Expense_master[Month_Key],0))</f>
        <v>8064.5161290322585</v>
      </c>
      <c r="L712" s="10">
        <f>SUMIFS(Expense_master[Staff_Salary],Expense_master[Month_Key],Daily_Data[[#This Row],[Month_key]]) / SUMIFS(Expense_master[Days_in_Month],Expense_master[Month_Key],Daily_Data[[#This Row],[Month_key]])</f>
        <v>2258.0645161290322</v>
      </c>
      <c r="M712" s="10">
        <f>Daily_Data[[#This Row],[Rooms_Occupied]] * (SUMIFS(Expense_master[Housekeeping_Laundy],Expense_master[Month_Key],Daily_Data[[#This Row],[Month_key]]) / SUMIFS(Occupancy_table[Monthly_rooms_Occupied],Occupancy_table[Month_Key],Daily_Data[[#This Row],[Month_key]]))</f>
        <v>271.08433734939763</v>
      </c>
      <c r="N71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1478.4529148853478</v>
      </c>
      <c r="O712" s="10">
        <f>SUMIFS(Expense_master[Monthly_Maintenance],Expense_master[Month_Key],Daily_Data[[#This Row],[Month_key]]) / SUMIFS(Expense_master[Days_in_Month],Expense_master[Month_Key], Daily_Data[[#This Row],[Month_key]])</f>
        <v>645.16129032258061</v>
      </c>
      <c r="P712" s="10">
        <f xml:space="preserve"> Daily_Data[[#This Row],[OTA Commision]] + Daily_Data[[#This Row],[Daily_Rent]]+Daily_Data[[#This Row],[Daily_Staff]]+Daily_Data[[#This Row],[Daily_HK]]+Daily_Data[[#This Row],[Daily_Electricity]] + Daily_Data[[#This Row],[Daily Maintenance]]</f>
        <v>15590.259187718617</v>
      </c>
      <c r="Q712" s="10">
        <f>Daily_Data[[#This Row],[Total_Sales]]-Daily_Data[[#This Row],[Total_Daily_Expense]]</f>
        <v>-2531.2591877186169</v>
      </c>
      <c r="R712" s="10">
        <f>Daily_Data[[#This Row],[Total_Sales]]/Daily_Data[[#This Row],[Rooms_Occupied]]</f>
        <v>1451</v>
      </c>
      <c r="S712" s="10">
        <f>Daily_Data[[#This Row],[Total_Sales]] / Daily_Data[[#This Row],[Max_rooms]]</f>
        <v>932.78571428571433</v>
      </c>
    </row>
    <row r="713" spans="1:19" x14ac:dyDescent="0.25">
      <c r="A713" s="6">
        <v>45638</v>
      </c>
      <c r="B713" s="20">
        <f>DATE(YEAR(Daily_Data[[#This Row],[Date]]), MONTH(Daily_Data[[#This Row],[Date]]), 1)</f>
        <v>45627</v>
      </c>
      <c r="C713" s="20" t="str">
        <f>TEXT(Daily_Data[[#This Row],[Month_key]],"mmmm")</f>
        <v>December</v>
      </c>
      <c r="D713" s="20" t="str">
        <f>TEXT(Daily_Data[[#This Row],[Month_key]],"yyyy")</f>
        <v>2024</v>
      </c>
      <c r="E713" s="7">
        <v>10</v>
      </c>
      <c r="F713" s="7">
        <v>14</v>
      </c>
      <c r="G713" s="8">
        <f>Daily_Data[[#This Row],[Rooms_Occupied]]/F713</f>
        <v>0.7142857142857143</v>
      </c>
      <c r="H713" s="7">
        <v>1581</v>
      </c>
      <c r="I713" s="7">
        <f>Daily_Data[[#This Row],[Room_rate]]*Daily_Data[[#This Row],[Rooms_Occupied]]</f>
        <v>15810</v>
      </c>
      <c r="J713" s="10">
        <f>Daily_Data[[#This Row],[Total_Sales]] * 0.22</f>
        <v>3478.2</v>
      </c>
      <c r="K713" s="10">
        <f>INDEX(Expense_master[Monthly_Rent],MATCH(Daily_Data[[#This Row],[Month_key]],Expense_master[Month_Key],0)) / INDEX(Expense_master[Days_in_Month],MATCH(Daily_Data[[#This Row],[Month_key]],Expense_master[Month_Key],0))</f>
        <v>8064.5161290322585</v>
      </c>
      <c r="L713" s="10">
        <f>SUMIFS(Expense_master[Staff_Salary],Expense_master[Month_Key],Daily_Data[[#This Row],[Month_key]]) / SUMIFS(Expense_master[Days_in_Month],Expense_master[Month_Key],Daily_Data[[#This Row],[Month_key]])</f>
        <v>2258.0645161290322</v>
      </c>
      <c r="M713" s="10">
        <f>Daily_Data[[#This Row],[Rooms_Occupied]] * (SUMIFS(Expense_master[Housekeeping_Laundy],Expense_master[Month_Key],Daily_Data[[#This Row],[Month_key]]) / SUMIFS(Occupancy_table[Monthly_rooms_Occupied],Occupancy_table[Month_Key],Daily_Data[[#This Row],[Month_key]]))</f>
        <v>301.20481927710847</v>
      </c>
      <c r="N71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13" s="10">
        <f>SUMIFS(Expense_master[Monthly_Maintenance],Expense_master[Month_Key],Daily_Data[[#This Row],[Month_key]]) / SUMIFS(Expense_master[Days_in_Month],Expense_master[Month_Key], Daily_Data[[#This Row],[Month_key]])</f>
        <v>645.16129032258061</v>
      </c>
      <c r="P713" s="10">
        <f xml:space="preserve"> Daily_Data[[#This Row],[OTA Commision]] + Daily_Data[[#This Row],[Daily_Rent]]+Daily_Data[[#This Row],[Daily_Staff]]+Daily_Data[[#This Row],[Daily_HK]]+Daily_Data[[#This Row],[Daily_Electricity]] + Daily_Data[[#This Row],[Daily Maintenance]]</f>
        <v>16317.202681694522</v>
      </c>
      <c r="Q713" s="10">
        <f>Daily_Data[[#This Row],[Total_Sales]]-Daily_Data[[#This Row],[Total_Daily_Expense]]</f>
        <v>-507.20268169452174</v>
      </c>
      <c r="R713" s="10">
        <f>Daily_Data[[#This Row],[Total_Sales]]/Daily_Data[[#This Row],[Rooms_Occupied]]</f>
        <v>1581</v>
      </c>
      <c r="S713" s="10">
        <f>Daily_Data[[#This Row],[Total_Sales]] / Daily_Data[[#This Row],[Max_rooms]]</f>
        <v>1129.2857142857142</v>
      </c>
    </row>
    <row r="714" spans="1:19" x14ac:dyDescent="0.25">
      <c r="A714" s="6">
        <v>45639</v>
      </c>
      <c r="B714" s="20">
        <f>DATE(YEAR(Daily_Data[[#This Row],[Date]]), MONTH(Daily_Data[[#This Row],[Date]]), 1)</f>
        <v>45627</v>
      </c>
      <c r="C714" s="20" t="str">
        <f>TEXT(Daily_Data[[#This Row],[Month_key]],"mmmm")</f>
        <v>December</v>
      </c>
      <c r="D714" s="20" t="str">
        <f>TEXT(Daily_Data[[#This Row],[Month_key]],"yyyy")</f>
        <v>2024</v>
      </c>
      <c r="E714" s="7">
        <v>10</v>
      </c>
      <c r="F714" s="7">
        <v>14</v>
      </c>
      <c r="G714" s="8">
        <f>Daily_Data[[#This Row],[Rooms_Occupied]]/F714</f>
        <v>0.7142857142857143</v>
      </c>
      <c r="H714" s="7">
        <v>1635</v>
      </c>
      <c r="I714" s="7">
        <f>Daily_Data[[#This Row],[Room_rate]]*Daily_Data[[#This Row],[Rooms_Occupied]]</f>
        <v>16350</v>
      </c>
      <c r="J714" s="10">
        <f>Daily_Data[[#This Row],[Total_Sales]] * 0.22</f>
        <v>3597</v>
      </c>
      <c r="K714" s="10">
        <f>INDEX(Expense_master[Monthly_Rent],MATCH(Daily_Data[[#This Row],[Month_key]],Expense_master[Month_Key],0)) / INDEX(Expense_master[Days_in_Month],MATCH(Daily_Data[[#This Row],[Month_key]],Expense_master[Month_Key],0))</f>
        <v>8064.5161290322585</v>
      </c>
      <c r="L714" s="10">
        <f>SUMIFS(Expense_master[Staff_Salary],Expense_master[Month_Key],Daily_Data[[#This Row],[Month_key]]) / SUMIFS(Expense_master[Days_in_Month],Expense_master[Month_Key],Daily_Data[[#This Row],[Month_key]])</f>
        <v>2258.0645161290322</v>
      </c>
      <c r="M714" s="10">
        <f>Daily_Data[[#This Row],[Rooms_Occupied]] * (SUMIFS(Expense_master[Housekeeping_Laundy],Expense_master[Month_Key],Daily_Data[[#This Row],[Month_key]]) / SUMIFS(Occupancy_table[Monthly_rooms_Occupied],Occupancy_table[Month_Key],Daily_Data[[#This Row],[Month_key]]))</f>
        <v>301.20481927710847</v>
      </c>
      <c r="N71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14" s="10">
        <f>SUMIFS(Expense_master[Monthly_Maintenance],Expense_master[Month_Key],Daily_Data[[#This Row],[Month_key]]) / SUMIFS(Expense_master[Days_in_Month],Expense_master[Month_Key], Daily_Data[[#This Row],[Month_key]])</f>
        <v>645.16129032258061</v>
      </c>
      <c r="P714" s="10">
        <f xml:space="preserve"> Daily_Data[[#This Row],[OTA Commision]] + Daily_Data[[#This Row],[Daily_Rent]]+Daily_Data[[#This Row],[Daily_Staff]]+Daily_Data[[#This Row],[Daily_HK]]+Daily_Data[[#This Row],[Daily_Electricity]] + Daily_Data[[#This Row],[Daily Maintenance]]</f>
        <v>16436.002681694521</v>
      </c>
      <c r="Q714" s="10">
        <f>Daily_Data[[#This Row],[Total_Sales]]-Daily_Data[[#This Row],[Total_Daily_Expense]]</f>
        <v>-86.002681694521016</v>
      </c>
      <c r="R714" s="10">
        <f>Daily_Data[[#This Row],[Total_Sales]]/Daily_Data[[#This Row],[Rooms_Occupied]]</f>
        <v>1635</v>
      </c>
      <c r="S714" s="10">
        <f>Daily_Data[[#This Row],[Total_Sales]] / Daily_Data[[#This Row],[Max_rooms]]</f>
        <v>1167.8571428571429</v>
      </c>
    </row>
    <row r="715" spans="1:19" x14ac:dyDescent="0.25">
      <c r="A715" s="6">
        <v>45640</v>
      </c>
      <c r="B715" s="20">
        <f>DATE(YEAR(Daily_Data[[#This Row],[Date]]), MONTH(Daily_Data[[#This Row],[Date]]), 1)</f>
        <v>45627</v>
      </c>
      <c r="C715" s="20" t="str">
        <f>TEXT(Daily_Data[[#This Row],[Month_key]],"mmmm")</f>
        <v>December</v>
      </c>
      <c r="D715" s="20" t="str">
        <f>TEXT(Daily_Data[[#This Row],[Month_key]],"yyyy")</f>
        <v>2024</v>
      </c>
      <c r="E715" s="7">
        <v>10</v>
      </c>
      <c r="F715" s="7">
        <v>14</v>
      </c>
      <c r="G715" s="8">
        <f>Daily_Data[[#This Row],[Rooms_Occupied]]/F715</f>
        <v>0.7142857142857143</v>
      </c>
      <c r="H715" s="7">
        <v>1765</v>
      </c>
      <c r="I715" s="7">
        <f>Daily_Data[[#This Row],[Room_rate]]*Daily_Data[[#This Row],[Rooms_Occupied]]</f>
        <v>17650</v>
      </c>
      <c r="J715" s="10">
        <f>Daily_Data[[#This Row],[Total_Sales]] * 0.22</f>
        <v>3883</v>
      </c>
      <c r="K715" s="10">
        <f>INDEX(Expense_master[Monthly_Rent],MATCH(Daily_Data[[#This Row],[Month_key]],Expense_master[Month_Key],0)) / INDEX(Expense_master[Days_in_Month],MATCH(Daily_Data[[#This Row],[Month_key]],Expense_master[Month_Key],0))</f>
        <v>8064.5161290322585</v>
      </c>
      <c r="L715" s="10">
        <f>SUMIFS(Expense_master[Staff_Salary],Expense_master[Month_Key],Daily_Data[[#This Row],[Month_key]]) / SUMIFS(Expense_master[Days_in_Month],Expense_master[Month_Key],Daily_Data[[#This Row],[Month_key]])</f>
        <v>2258.0645161290322</v>
      </c>
      <c r="M715" s="10">
        <f>Daily_Data[[#This Row],[Rooms_Occupied]] * (SUMIFS(Expense_master[Housekeeping_Laundy],Expense_master[Month_Key],Daily_Data[[#This Row],[Month_key]]) / SUMIFS(Occupancy_table[Monthly_rooms_Occupied],Occupancy_table[Month_Key],Daily_Data[[#This Row],[Month_key]]))</f>
        <v>301.20481927710847</v>
      </c>
      <c r="N71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15" s="10">
        <f>SUMIFS(Expense_master[Monthly_Maintenance],Expense_master[Month_Key],Daily_Data[[#This Row],[Month_key]]) / SUMIFS(Expense_master[Days_in_Month],Expense_master[Month_Key], Daily_Data[[#This Row],[Month_key]])</f>
        <v>645.16129032258061</v>
      </c>
      <c r="P715" s="10">
        <f xml:space="preserve"> Daily_Data[[#This Row],[OTA Commision]] + Daily_Data[[#This Row],[Daily_Rent]]+Daily_Data[[#This Row],[Daily_Staff]]+Daily_Data[[#This Row],[Daily_HK]]+Daily_Data[[#This Row],[Daily_Electricity]] + Daily_Data[[#This Row],[Daily Maintenance]]</f>
        <v>16722.002681694521</v>
      </c>
      <c r="Q715" s="10">
        <f>Daily_Data[[#This Row],[Total_Sales]]-Daily_Data[[#This Row],[Total_Daily_Expense]]</f>
        <v>927.99731830547898</v>
      </c>
      <c r="R715" s="10">
        <f>Daily_Data[[#This Row],[Total_Sales]]/Daily_Data[[#This Row],[Rooms_Occupied]]</f>
        <v>1765</v>
      </c>
      <c r="S715" s="10">
        <f>Daily_Data[[#This Row],[Total_Sales]] / Daily_Data[[#This Row],[Max_rooms]]</f>
        <v>1260.7142857142858</v>
      </c>
    </row>
    <row r="716" spans="1:19" x14ac:dyDescent="0.25">
      <c r="A716" s="6">
        <v>45641</v>
      </c>
      <c r="B716" s="20">
        <f>DATE(YEAR(Daily_Data[[#This Row],[Date]]), MONTH(Daily_Data[[#This Row],[Date]]), 1)</f>
        <v>45627</v>
      </c>
      <c r="C716" s="20" t="str">
        <f>TEXT(Daily_Data[[#This Row],[Month_key]],"mmmm")</f>
        <v>December</v>
      </c>
      <c r="D716" s="20" t="str">
        <f>TEXT(Daily_Data[[#This Row],[Month_key]],"yyyy")</f>
        <v>2024</v>
      </c>
      <c r="E716" s="7">
        <v>13</v>
      </c>
      <c r="F716" s="7">
        <v>14</v>
      </c>
      <c r="G716" s="8">
        <f>Daily_Data[[#This Row],[Rooms_Occupied]]/F716</f>
        <v>0.9285714285714286</v>
      </c>
      <c r="H716" s="7">
        <v>1912</v>
      </c>
      <c r="I716" s="7">
        <f>Daily_Data[[#This Row],[Room_rate]]*Daily_Data[[#This Row],[Rooms_Occupied]]</f>
        <v>24856</v>
      </c>
      <c r="J716" s="10">
        <f>Daily_Data[[#This Row],[Total_Sales]] * 0.22</f>
        <v>5468.32</v>
      </c>
      <c r="K716" s="10">
        <f>INDEX(Expense_master[Monthly_Rent],MATCH(Daily_Data[[#This Row],[Month_key]],Expense_master[Month_Key],0)) / INDEX(Expense_master[Days_in_Month],MATCH(Daily_Data[[#This Row],[Month_key]],Expense_master[Month_Key],0))</f>
        <v>8064.5161290322585</v>
      </c>
      <c r="L716" s="10">
        <f>SUMIFS(Expense_master[Staff_Salary],Expense_master[Month_Key],Daily_Data[[#This Row],[Month_key]]) / SUMIFS(Expense_master[Days_in_Month],Expense_master[Month_Key],Daily_Data[[#This Row],[Month_key]])</f>
        <v>2258.0645161290322</v>
      </c>
      <c r="M716" s="10">
        <f>Daily_Data[[#This Row],[Rooms_Occupied]] * (SUMIFS(Expense_master[Housekeeping_Laundy],Expense_master[Month_Key],Daily_Data[[#This Row],[Month_key]]) / SUMIFS(Occupancy_table[Monthly_rooms_Occupied],Occupancy_table[Month_Key],Daily_Data[[#This Row],[Month_key]]))</f>
        <v>391.56626506024099</v>
      </c>
      <c r="N71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1844.8649630781188</v>
      </c>
      <c r="O716" s="10">
        <f>SUMIFS(Expense_master[Monthly_Maintenance],Expense_master[Month_Key],Daily_Data[[#This Row],[Month_key]]) / SUMIFS(Expense_master[Days_in_Month],Expense_master[Month_Key], Daily_Data[[#This Row],[Month_key]])</f>
        <v>645.16129032258061</v>
      </c>
      <c r="P716" s="10">
        <f xml:space="preserve"> Daily_Data[[#This Row],[OTA Commision]] + Daily_Data[[#This Row],[Daily_Rent]]+Daily_Data[[#This Row],[Daily_Staff]]+Daily_Data[[#This Row],[Daily_HK]]+Daily_Data[[#This Row],[Daily_Electricity]] + Daily_Data[[#This Row],[Daily Maintenance]]</f>
        <v>18672.493163622228</v>
      </c>
      <c r="Q716" s="10">
        <f>Daily_Data[[#This Row],[Total_Sales]]-Daily_Data[[#This Row],[Total_Daily_Expense]]</f>
        <v>6183.5068363777718</v>
      </c>
      <c r="R716" s="10">
        <f>Daily_Data[[#This Row],[Total_Sales]]/Daily_Data[[#This Row],[Rooms_Occupied]]</f>
        <v>1912</v>
      </c>
      <c r="S716" s="10">
        <f>Daily_Data[[#This Row],[Total_Sales]] / Daily_Data[[#This Row],[Max_rooms]]</f>
        <v>1775.4285714285713</v>
      </c>
    </row>
    <row r="717" spans="1:19" x14ac:dyDescent="0.25">
      <c r="A717" s="6">
        <v>45642</v>
      </c>
      <c r="B717" s="20">
        <f>DATE(YEAR(Daily_Data[[#This Row],[Date]]), MONTH(Daily_Data[[#This Row],[Date]]), 1)</f>
        <v>45627</v>
      </c>
      <c r="C717" s="20" t="str">
        <f>TEXT(Daily_Data[[#This Row],[Month_key]],"mmmm")</f>
        <v>December</v>
      </c>
      <c r="D717" s="20" t="str">
        <f>TEXT(Daily_Data[[#This Row],[Month_key]],"yyyy")</f>
        <v>2024</v>
      </c>
      <c r="E717" s="7">
        <v>13</v>
      </c>
      <c r="F717" s="7">
        <v>14</v>
      </c>
      <c r="G717" s="8">
        <f>Daily_Data[[#This Row],[Rooms_Occupied]]/F717</f>
        <v>0.9285714285714286</v>
      </c>
      <c r="H717" s="7">
        <v>1780</v>
      </c>
      <c r="I717" s="7">
        <f>Daily_Data[[#This Row],[Room_rate]]*Daily_Data[[#This Row],[Rooms_Occupied]]</f>
        <v>23140</v>
      </c>
      <c r="J717" s="10">
        <f>Daily_Data[[#This Row],[Total_Sales]] * 0.22</f>
        <v>5090.8</v>
      </c>
      <c r="K717" s="10">
        <f>INDEX(Expense_master[Monthly_Rent],MATCH(Daily_Data[[#This Row],[Month_key]],Expense_master[Month_Key],0)) / INDEX(Expense_master[Days_in_Month],MATCH(Daily_Data[[#This Row],[Month_key]],Expense_master[Month_Key],0))</f>
        <v>8064.5161290322585</v>
      </c>
      <c r="L717" s="10">
        <f>SUMIFS(Expense_master[Staff_Salary],Expense_master[Month_Key],Daily_Data[[#This Row],[Month_key]]) / SUMIFS(Expense_master[Days_in_Month],Expense_master[Month_Key],Daily_Data[[#This Row],[Month_key]])</f>
        <v>2258.0645161290322</v>
      </c>
      <c r="M717" s="10">
        <f>Daily_Data[[#This Row],[Rooms_Occupied]] * (SUMIFS(Expense_master[Housekeeping_Laundy],Expense_master[Month_Key],Daily_Data[[#This Row],[Month_key]]) / SUMIFS(Occupancy_table[Monthly_rooms_Occupied],Occupancy_table[Month_Key],Daily_Data[[#This Row],[Month_key]]))</f>
        <v>391.56626506024099</v>
      </c>
      <c r="N71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1844.8649630781188</v>
      </c>
      <c r="O717" s="10">
        <f>SUMIFS(Expense_master[Monthly_Maintenance],Expense_master[Month_Key],Daily_Data[[#This Row],[Month_key]]) / SUMIFS(Expense_master[Days_in_Month],Expense_master[Month_Key], Daily_Data[[#This Row],[Month_key]])</f>
        <v>645.16129032258061</v>
      </c>
      <c r="P717" s="10">
        <f xml:space="preserve"> Daily_Data[[#This Row],[OTA Commision]] + Daily_Data[[#This Row],[Daily_Rent]]+Daily_Data[[#This Row],[Daily_Staff]]+Daily_Data[[#This Row],[Daily_HK]]+Daily_Data[[#This Row],[Daily_Electricity]] + Daily_Data[[#This Row],[Daily Maintenance]]</f>
        <v>18294.973163622231</v>
      </c>
      <c r="Q717" s="10">
        <f>Daily_Data[[#This Row],[Total_Sales]]-Daily_Data[[#This Row],[Total_Daily_Expense]]</f>
        <v>4845.0268363777686</v>
      </c>
      <c r="R717" s="10">
        <f>Daily_Data[[#This Row],[Total_Sales]]/Daily_Data[[#This Row],[Rooms_Occupied]]</f>
        <v>1780</v>
      </c>
      <c r="S717" s="10">
        <f>Daily_Data[[#This Row],[Total_Sales]] / Daily_Data[[#This Row],[Max_rooms]]</f>
        <v>1652.8571428571429</v>
      </c>
    </row>
    <row r="718" spans="1:19" x14ac:dyDescent="0.25">
      <c r="A718" s="6">
        <v>45643</v>
      </c>
      <c r="B718" s="20">
        <f>DATE(YEAR(Daily_Data[[#This Row],[Date]]), MONTH(Daily_Data[[#This Row],[Date]]), 1)</f>
        <v>45627</v>
      </c>
      <c r="C718" s="20" t="str">
        <f>TEXT(Daily_Data[[#This Row],[Month_key]],"mmmm")</f>
        <v>December</v>
      </c>
      <c r="D718" s="20" t="str">
        <f>TEXT(Daily_Data[[#This Row],[Month_key]],"yyyy")</f>
        <v>2024</v>
      </c>
      <c r="E718" s="7">
        <v>12</v>
      </c>
      <c r="F718" s="7">
        <v>14</v>
      </c>
      <c r="G718" s="8">
        <f>Daily_Data[[#This Row],[Rooms_Occupied]]/F718</f>
        <v>0.8571428571428571</v>
      </c>
      <c r="H718" s="7">
        <v>1321</v>
      </c>
      <c r="I718" s="7">
        <f>Daily_Data[[#This Row],[Room_rate]]*Daily_Data[[#This Row],[Rooms_Occupied]]</f>
        <v>15852</v>
      </c>
      <c r="J718" s="10">
        <f>Daily_Data[[#This Row],[Total_Sales]] * 0.22</f>
        <v>3487.44</v>
      </c>
      <c r="K718" s="10">
        <f>INDEX(Expense_master[Monthly_Rent],MATCH(Daily_Data[[#This Row],[Month_key]],Expense_master[Month_Key],0)) / INDEX(Expense_master[Days_in_Month],MATCH(Daily_Data[[#This Row],[Month_key]],Expense_master[Month_Key],0))</f>
        <v>8064.5161290322585</v>
      </c>
      <c r="L718" s="10">
        <f>SUMIFS(Expense_master[Staff_Salary],Expense_master[Month_Key],Daily_Data[[#This Row],[Month_key]]) / SUMIFS(Expense_master[Days_in_Month],Expense_master[Month_Key],Daily_Data[[#This Row],[Month_key]])</f>
        <v>2258.0645161290322</v>
      </c>
      <c r="M718" s="10">
        <f>Daily_Data[[#This Row],[Rooms_Occupied]] * (SUMIFS(Expense_master[Housekeeping_Laundy],Expense_master[Month_Key],Daily_Data[[#This Row],[Month_key]]) / SUMIFS(Occupancy_table[Monthly_rooms_Occupied],Occupancy_table[Month_Key],Daily_Data[[#This Row],[Month_key]]))</f>
        <v>361.44578313253015</v>
      </c>
      <c r="N71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1753.261951029926</v>
      </c>
      <c r="O718" s="10">
        <f>SUMIFS(Expense_master[Monthly_Maintenance],Expense_master[Month_Key],Daily_Data[[#This Row],[Month_key]]) / SUMIFS(Expense_master[Days_in_Month],Expense_master[Month_Key], Daily_Data[[#This Row],[Month_key]])</f>
        <v>645.16129032258061</v>
      </c>
      <c r="P718" s="10">
        <f xml:space="preserve"> Daily_Data[[#This Row],[OTA Commision]] + Daily_Data[[#This Row],[Daily_Rent]]+Daily_Data[[#This Row],[Daily_Staff]]+Daily_Data[[#This Row],[Daily_HK]]+Daily_Data[[#This Row],[Daily_Electricity]] + Daily_Data[[#This Row],[Daily Maintenance]]</f>
        <v>16569.889669646327</v>
      </c>
      <c r="Q718" s="10">
        <f>Daily_Data[[#This Row],[Total_Sales]]-Daily_Data[[#This Row],[Total_Daily_Expense]]</f>
        <v>-717.88966964632709</v>
      </c>
      <c r="R718" s="10">
        <f>Daily_Data[[#This Row],[Total_Sales]]/Daily_Data[[#This Row],[Rooms_Occupied]]</f>
        <v>1321</v>
      </c>
      <c r="S718" s="10">
        <f>Daily_Data[[#This Row],[Total_Sales]] / Daily_Data[[#This Row],[Max_rooms]]</f>
        <v>1132.2857142857142</v>
      </c>
    </row>
    <row r="719" spans="1:19" x14ac:dyDescent="0.25">
      <c r="A719" s="6">
        <v>45644</v>
      </c>
      <c r="B719" s="20">
        <f>DATE(YEAR(Daily_Data[[#This Row],[Date]]), MONTH(Daily_Data[[#This Row],[Date]]), 1)</f>
        <v>45627</v>
      </c>
      <c r="C719" s="20" t="str">
        <f>TEXT(Daily_Data[[#This Row],[Month_key]],"mmmm")</f>
        <v>December</v>
      </c>
      <c r="D719" s="20" t="str">
        <f>TEXT(Daily_Data[[#This Row],[Month_key]],"yyyy")</f>
        <v>2024</v>
      </c>
      <c r="E719" s="7">
        <v>11</v>
      </c>
      <c r="F719" s="7">
        <v>14</v>
      </c>
      <c r="G719" s="8">
        <f>Daily_Data[[#This Row],[Rooms_Occupied]]/F719</f>
        <v>0.7857142857142857</v>
      </c>
      <c r="H719" s="7">
        <v>1827</v>
      </c>
      <c r="I719" s="7">
        <f>Daily_Data[[#This Row],[Room_rate]]*Daily_Data[[#This Row],[Rooms_Occupied]]</f>
        <v>20097</v>
      </c>
      <c r="J719" s="10">
        <f>Daily_Data[[#This Row],[Total_Sales]] * 0.22</f>
        <v>4421.34</v>
      </c>
      <c r="K719" s="10">
        <f>INDEX(Expense_master[Monthly_Rent],MATCH(Daily_Data[[#This Row],[Month_key]],Expense_master[Month_Key],0)) / INDEX(Expense_master[Days_in_Month],MATCH(Daily_Data[[#This Row],[Month_key]],Expense_master[Month_Key],0))</f>
        <v>8064.5161290322585</v>
      </c>
      <c r="L719" s="10">
        <f>SUMIFS(Expense_master[Staff_Salary],Expense_master[Month_Key],Daily_Data[[#This Row],[Month_key]]) / SUMIFS(Expense_master[Days_in_Month],Expense_master[Month_Key],Daily_Data[[#This Row],[Month_key]])</f>
        <v>2258.0645161290322</v>
      </c>
      <c r="M719" s="10">
        <f>Daily_Data[[#This Row],[Rooms_Occupied]] * (SUMIFS(Expense_master[Housekeeping_Laundy],Expense_master[Month_Key],Daily_Data[[#This Row],[Month_key]]) / SUMIFS(Occupancy_table[Monthly_rooms_Occupied],Occupancy_table[Month_Key],Daily_Data[[#This Row],[Month_key]]))</f>
        <v>331.32530120481931</v>
      </c>
      <c r="N71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1661.6589389817332</v>
      </c>
      <c r="O719" s="10">
        <f>SUMIFS(Expense_master[Monthly_Maintenance],Expense_master[Month_Key],Daily_Data[[#This Row],[Month_key]]) / SUMIFS(Expense_master[Days_in_Month],Expense_master[Month_Key], Daily_Data[[#This Row],[Month_key]])</f>
        <v>645.16129032258061</v>
      </c>
      <c r="P719" s="10">
        <f xml:space="preserve"> Daily_Data[[#This Row],[OTA Commision]] + Daily_Data[[#This Row],[Daily_Rent]]+Daily_Data[[#This Row],[Daily_Staff]]+Daily_Data[[#This Row],[Daily_HK]]+Daily_Data[[#This Row],[Daily_Electricity]] + Daily_Data[[#This Row],[Daily Maintenance]]</f>
        <v>17382.066175670421</v>
      </c>
      <c r="Q719" s="10">
        <f>Daily_Data[[#This Row],[Total_Sales]]-Daily_Data[[#This Row],[Total_Daily_Expense]]</f>
        <v>2714.9338243295788</v>
      </c>
      <c r="R719" s="10">
        <f>Daily_Data[[#This Row],[Total_Sales]]/Daily_Data[[#This Row],[Rooms_Occupied]]</f>
        <v>1827</v>
      </c>
      <c r="S719" s="10">
        <f>Daily_Data[[#This Row],[Total_Sales]] / Daily_Data[[#This Row],[Max_rooms]]</f>
        <v>1435.5</v>
      </c>
    </row>
    <row r="720" spans="1:19" x14ac:dyDescent="0.25">
      <c r="A720" s="6">
        <v>45645</v>
      </c>
      <c r="B720" s="20">
        <f>DATE(YEAR(Daily_Data[[#This Row],[Date]]), MONTH(Daily_Data[[#This Row],[Date]]), 1)</f>
        <v>45627</v>
      </c>
      <c r="C720" s="20" t="str">
        <f>TEXT(Daily_Data[[#This Row],[Month_key]],"mmmm")</f>
        <v>December</v>
      </c>
      <c r="D720" s="20" t="str">
        <f>TEXT(Daily_Data[[#This Row],[Month_key]],"yyyy")</f>
        <v>2024</v>
      </c>
      <c r="E720" s="7">
        <v>14</v>
      </c>
      <c r="F720" s="7">
        <v>14</v>
      </c>
      <c r="G720" s="8">
        <f>Daily_Data[[#This Row],[Rooms_Occupied]]/F720</f>
        <v>1</v>
      </c>
      <c r="H720" s="7">
        <v>1303</v>
      </c>
      <c r="I720" s="7">
        <f>Daily_Data[[#This Row],[Room_rate]]*Daily_Data[[#This Row],[Rooms_Occupied]]</f>
        <v>18242</v>
      </c>
      <c r="J720" s="10">
        <f>Daily_Data[[#This Row],[Total_Sales]] * 0.22</f>
        <v>4013.2400000000002</v>
      </c>
      <c r="K720" s="10">
        <f>INDEX(Expense_master[Monthly_Rent],MATCH(Daily_Data[[#This Row],[Month_key]],Expense_master[Month_Key],0)) / INDEX(Expense_master[Days_in_Month],MATCH(Daily_Data[[#This Row],[Month_key]],Expense_master[Month_Key],0))</f>
        <v>8064.5161290322585</v>
      </c>
      <c r="L720" s="10">
        <f>SUMIFS(Expense_master[Staff_Salary],Expense_master[Month_Key],Daily_Data[[#This Row],[Month_key]]) / SUMIFS(Expense_master[Days_in_Month],Expense_master[Month_Key],Daily_Data[[#This Row],[Month_key]])</f>
        <v>2258.0645161290322</v>
      </c>
      <c r="M720" s="10">
        <f>Daily_Data[[#This Row],[Rooms_Occupied]] * (SUMIFS(Expense_master[Housekeeping_Laundy],Expense_master[Month_Key],Daily_Data[[#This Row],[Month_key]]) / SUMIFS(Occupancy_table[Monthly_rooms_Occupied],Occupancy_table[Month_Key],Daily_Data[[#This Row],[Month_key]]))</f>
        <v>421.68674698795184</v>
      </c>
      <c r="N72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1936.4679751263116</v>
      </c>
      <c r="O720" s="10">
        <f>SUMIFS(Expense_master[Monthly_Maintenance],Expense_master[Month_Key],Daily_Data[[#This Row],[Month_key]]) / SUMIFS(Expense_master[Days_in_Month],Expense_master[Month_Key], Daily_Data[[#This Row],[Month_key]])</f>
        <v>645.16129032258061</v>
      </c>
      <c r="P720" s="10">
        <f xml:space="preserve"> Daily_Data[[#This Row],[OTA Commision]] + Daily_Data[[#This Row],[Daily_Rent]]+Daily_Data[[#This Row],[Daily_Staff]]+Daily_Data[[#This Row],[Daily_HK]]+Daily_Data[[#This Row],[Daily_Electricity]] + Daily_Data[[#This Row],[Daily Maintenance]]</f>
        <v>17339.136657598134</v>
      </c>
      <c r="Q720" s="10">
        <f>Daily_Data[[#This Row],[Total_Sales]]-Daily_Data[[#This Row],[Total_Daily_Expense]]</f>
        <v>902.86334240186625</v>
      </c>
      <c r="R720" s="10">
        <f>Daily_Data[[#This Row],[Total_Sales]]/Daily_Data[[#This Row],[Rooms_Occupied]]</f>
        <v>1303</v>
      </c>
      <c r="S720" s="10">
        <f>Daily_Data[[#This Row],[Total_Sales]] / Daily_Data[[#This Row],[Max_rooms]]</f>
        <v>1303</v>
      </c>
    </row>
    <row r="721" spans="1:19" x14ac:dyDescent="0.25">
      <c r="A721" s="6">
        <v>45646</v>
      </c>
      <c r="B721" s="20">
        <f>DATE(YEAR(Daily_Data[[#This Row],[Date]]), MONTH(Daily_Data[[#This Row],[Date]]), 1)</f>
        <v>45627</v>
      </c>
      <c r="C721" s="20" t="str">
        <f>TEXT(Daily_Data[[#This Row],[Month_key]],"mmmm")</f>
        <v>December</v>
      </c>
      <c r="D721" s="20" t="str">
        <f>TEXT(Daily_Data[[#This Row],[Month_key]],"yyyy")</f>
        <v>2024</v>
      </c>
      <c r="E721" s="7">
        <v>14</v>
      </c>
      <c r="F721" s="7">
        <v>14</v>
      </c>
      <c r="G721" s="8">
        <f>Daily_Data[[#This Row],[Rooms_Occupied]]/F721</f>
        <v>1</v>
      </c>
      <c r="H721" s="7">
        <v>1756</v>
      </c>
      <c r="I721" s="7">
        <f>Daily_Data[[#This Row],[Room_rate]]*Daily_Data[[#This Row],[Rooms_Occupied]]</f>
        <v>24584</v>
      </c>
      <c r="J721" s="10">
        <f>Daily_Data[[#This Row],[Total_Sales]] * 0.22</f>
        <v>5408.4800000000005</v>
      </c>
      <c r="K721" s="10">
        <f>INDEX(Expense_master[Monthly_Rent],MATCH(Daily_Data[[#This Row],[Month_key]],Expense_master[Month_Key],0)) / INDEX(Expense_master[Days_in_Month],MATCH(Daily_Data[[#This Row],[Month_key]],Expense_master[Month_Key],0))</f>
        <v>8064.5161290322585</v>
      </c>
      <c r="L721" s="10">
        <f>SUMIFS(Expense_master[Staff_Salary],Expense_master[Month_Key],Daily_Data[[#This Row],[Month_key]]) / SUMIFS(Expense_master[Days_in_Month],Expense_master[Month_Key],Daily_Data[[#This Row],[Month_key]])</f>
        <v>2258.0645161290322</v>
      </c>
      <c r="M721" s="10">
        <f>Daily_Data[[#This Row],[Rooms_Occupied]] * (SUMIFS(Expense_master[Housekeeping_Laundy],Expense_master[Month_Key],Daily_Data[[#This Row],[Month_key]]) / SUMIFS(Occupancy_table[Monthly_rooms_Occupied],Occupancy_table[Month_Key],Daily_Data[[#This Row],[Month_key]]))</f>
        <v>421.68674698795184</v>
      </c>
      <c r="N72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1936.4679751263116</v>
      </c>
      <c r="O721" s="10">
        <f>SUMIFS(Expense_master[Monthly_Maintenance],Expense_master[Month_Key],Daily_Data[[#This Row],[Month_key]]) / SUMIFS(Expense_master[Days_in_Month],Expense_master[Month_Key], Daily_Data[[#This Row],[Month_key]])</f>
        <v>645.16129032258061</v>
      </c>
      <c r="P721" s="10">
        <f xml:space="preserve"> Daily_Data[[#This Row],[OTA Commision]] + Daily_Data[[#This Row],[Daily_Rent]]+Daily_Data[[#This Row],[Daily_Staff]]+Daily_Data[[#This Row],[Daily_HK]]+Daily_Data[[#This Row],[Daily_Electricity]] + Daily_Data[[#This Row],[Daily Maintenance]]</f>
        <v>18734.376657598135</v>
      </c>
      <c r="Q721" s="10">
        <f>Daily_Data[[#This Row],[Total_Sales]]-Daily_Data[[#This Row],[Total_Daily_Expense]]</f>
        <v>5849.6233424018646</v>
      </c>
      <c r="R721" s="10">
        <f>Daily_Data[[#This Row],[Total_Sales]]/Daily_Data[[#This Row],[Rooms_Occupied]]</f>
        <v>1756</v>
      </c>
      <c r="S721" s="10">
        <f>Daily_Data[[#This Row],[Total_Sales]] / Daily_Data[[#This Row],[Max_rooms]]</f>
        <v>1756</v>
      </c>
    </row>
    <row r="722" spans="1:19" x14ac:dyDescent="0.25">
      <c r="A722" s="6">
        <v>45647</v>
      </c>
      <c r="B722" s="20">
        <f>DATE(YEAR(Daily_Data[[#This Row],[Date]]), MONTH(Daily_Data[[#This Row],[Date]]), 1)</f>
        <v>45627</v>
      </c>
      <c r="C722" s="20" t="str">
        <f>TEXT(Daily_Data[[#This Row],[Month_key]],"mmmm")</f>
        <v>December</v>
      </c>
      <c r="D722" s="20" t="str">
        <f>TEXT(Daily_Data[[#This Row],[Month_key]],"yyyy")</f>
        <v>2024</v>
      </c>
      <c r="E722" s="7">
        <v>8</v>
      </c>
      <c r="F722" s="7">
        <v>14</v>
      </c>
      <c r="G722" s="8">
        <f>Daily_Data[[#This Row],[Rooms_Occupied]]/F722</f>
        <v>0.5714285714285714</v>
      </c>
      <c r="H722" s="7">
        <v>1692</v>
      </c>
      <c r="I722" s="7">
        <f>Daily_Data[[#This Row],[Room_rate]]*Daily_Data[[#This Row],[Rooms_Occupied]]</f>
        <v>13536</v>
      </c>
      <c r="J722" s="10">
        <f>Daily_Data[[#This Row],[Total_Sales]] * 0.22</f>
        <v>2977.92</v>
      </c>
      <c r="K722" s="10">
        <f>INDEX(Expense_master[Monthly_Rent],MATCH(Daily_Data[[#This Row],[Month_key]],Expense_master[Month_Key],0)) / INDEX(Expense_master[Days_in_Month],MATCH(Daily_Data[[#This Row],[Month_key]],Expense_master[Month_Key],0))</f>
        <v>8064.5161290322585</v>
      </c>
      <c r="L722" s="10">
        <f>SUMIFS(Expense_master[Staff_Salary],Expense_master[Month_Key],Daily_Data[[#This Row],[Month_key]]) / SUMIFS(Expense_master[Days_in_Month],Expense_master[Month_Key],Daily_Data[[#This Row],[Month_key]])</f>
        <v>2258.0645161290322</v>
      </c>
      <c r="M722" s="10">
        <f>Daily_Data[[#This Row],[Rooms_Occupied]] * (SUMIFS(Expense_master[Housekeeping_Laundy],Expense_master[Month_Key],Daily_Data[[#This Row],[Month_key]]) / SUMIFS(Occupancy_table[Monthly_rooms_Occupied],Occupancy_table[Month_Key],Daily_Data[[#This Row],[Month_key]]))</f>
        <v>240.96385542168676</v>
      </c>
      <c r="N72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1386.849902837155</v>
      </c>
      <c r="O722" s="10">
        <f>SUMIFS(Expense_master[Monthly_Maintenance],Expense_master[Month_Key],Daily_Data[[#This Row],[Month_key]]) / SUMIFS(Expense_master[Days_in_Month],Expense_master[Month_Key], Daily_Data[[#This Row],[Month_key]])</f>
        <v>645.16129032258061</v>
      </c>
      <c r="P722" s="10">
        <f xml:space="preserve"> Daily_Data[[#This Row],[OTA Commision]] + Daily_Data[[#This Row],[Daily_Rent]]+Daily_Data[[#This Row],[Daily_Staff]]+Daily_Data[[#This Row],[Daily_HK]]+Daily_Data[[#This Row],[Daily_Electricity]] + Daily_Data[[#This Row],[Daily Maintenance]]</f>
        <v>15573.475693742716</v>
      </c>
      <c r="Q722" s="10">
        <f>Daily_Data[[#This Row],[Total_Sales]]-Daily_Data[[#This Row],[Total_Daily_Expense]]</f>
        <v>-2037.4756937427155</v>
      </c>
      <c r="R722" s="10">
        <f>Daily_Data[[#This Row],[Total_Sales]]/Daily_Data[[#This Row],[Rooms_Occupied]]</f>
        <v>1692</v>
      </c>
      <c r="S722" s="10">
        <f>Daily_Data[[#This Row],[Total_Sales]] / Daily_Data[[#This Row],[Max_rooms]]</f>
        <v>966.85714285714289</v>
      </c>
    </row>
    <row r="723" spans="1:19" x14ac:dyDescent="0.25">
      <c r="A723" s="6">
        <v>45648</v>
      </c>
      <c r="B723" s="20">
        <f>DATE(YEAR(Daily_Data[[#This Row],[Date]]), MONTH(Daily_Data[[#This Row],[Date]]), 1)</f>
        <v>45627</v>
      </c>
      <c r="C723" s="20" t="str">
        <f>TEXT(Daily_Data[[#This Row],[Month_key]],"mmmm")</f>
        <v>December</v>
      </c>
      <c r="D723" s="20" t="str">
        <f>TEXT(Daily_Data[[#This Row],[Month_key]],"yyyy")</f>
        <v>2024</v>
      </c>
      <c r="E723" s="7">
        <v>10</v>
      </c>
      <c r="F723" s="7">
        <v>14</v>
      </c>
      <c r="G723" s="8">
        <f>Daily_Data[[#This Row],[Rooms_Occupied]]/F723</f>
        <v>0.7142857142857143</v>
      </c>
      <c r="H723" s="7">
        <v>1652</v>
      </c>
      <c r="I723" s="7">
        <f>Daily_Data[[#This Row],[Room_rate]]*Daily_Data[[#This Row],[Rooms_Occupied]]</f>
        <v>16520</v>
      </c>
      <c r="J723" s="10">
        <f>Daily_Data[[#This Row],[Total_Sales]] * 0.22</f>
        <v>3634.4</v>
      </c>
      <c r="K723" s="10">
        <f>INDEX(Expense_master[Monthly_Rent],MATCH(Daily_Data[[#This Row],[Month_key]],Expense_master[Month_Key],0)) / INDEX(Expense_master[Days_in_Month],MATCH(Daily_Data[[#This Row],[Month_key]],Expense_master[Month_Key],0))</f>
        <v>8064.5161290322585</v>
      </c>
      <c r="L723" s="10">
        <f>SUMIFS(Expense_master[Staff_Salary],Expense_master[Month_Key],Daily_Data[[#This Row],[Month_key]]) / SUMIFS(Expense_master[Days_in_Month],Expense_master[Month_Key],Daily_Data[[#This Row],[Month_key]])</f>
        <v>2258.0645161290322</v>
      </c>
      <c r="M723" s="10">
        <f>Daily_Data[[#This Row],[Rooms_Occupied]] * (SUMIFS(Expense_master[Housekeeping_Laundy],Expense_master[Month_Key],Daily_Data[[#This Row],[Month_key]]) / SUMIFS(Occupancy_table[Monthly_rooms_Occupied],Occupancy_table[Month_Key],Daily_Data[[#This Row],[Month_key]]))</f>
        <v>301.20481927710847</v>
      </c>
      <c r="N723"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23" s="10">
        <f>SUMIFS(Expense_master[Monthly_Maintenance],Expense_master[Month_Key],Daily_Data[[#This Row],[Month_key]]) / SUMIFS(Expense_master[Days_in_Month],Expense_master[Month_Key], Daily_Data[[#This Row],[Month_key]])</f>
        <v>645.16129032258061</v>
      </c>
      <c r="P723" s="10">
        <f xml:space="preserve"> Daily_Data[[#This Row],[OTA Commision]] + Daily_Data[[#This Row],[Daily_Rent]]+Daily_Data[[#This Row],[Daily_Staff]]+Daily_Data[[#This Row],[Daily_HK]]+Daily_Data[[#This Row],[Daily_Electricity]] + Daily_Data[[#This Row],[Daily Maintenance]]</f>
        <v>16473.402681694522</v>
      </c>
      <c r="Q723" s="10">
        <f>Daily_Data[[#This Row],[Total_Sales]]-Daily_Data[[#This Row],[Total_Daily_Expense]]</f>
        <v>46.597318305477529</v>
      </c>
      <c r="R723" s="10">
        <f>Daily_Data[[#This Row],[Total_Sales]]/Daily_Data[[#This Row],[Rooms_Occupied]]</f>
        <v>1652</v>
      </c>
      <c r="S723" s="10">
        <f>Daily_Data[[#This Row],[Total_Sales]] / Daily_Data[[#This Row],[Max_rooms]]</f>
        <v>1180</v>
      </c>
    </row>
    <row r="724" spans="1:19" x14ac:dyDescent="0.25">
      <c r="A724" s="6">
        <v>45649</v>
      </c>
      <c r="B724" s="20">
        <f>DATE(YEAR(Daily_Data[[#This Row],[Date]]), MONTH(Daily_Data[[#This Row],[Date]]), 1)</f>
        <v>45627</v>
      </c>
      <c r="C724" s="20" t="str">
        <f>TEXT(Daily_Data[[#This Row],[Month_key]],"mmmm")</f>
        <v>December</v>
      </c>
      <c r="D724" s="20" t="str">
        <f>TEXT(Daily_Data[[#This Row],[Month_key]],"yyyy")</f>
        <v>2024</v>
      </c>
      <c r="E724" s="7">
        <v>9</v>
      </c>
      <c r="F724" s="7">
        <v>14</v>
      </c>
      <c r="G724" s="8">
        <f>Daily_Data[[#This Row],[Rooms_Occupied]]/F724</f>
        <v>0.6428571428571429</v>
      </c>
      <c r="H724" s="7">
        <v>1098</v>
      </c>
      <c r="I724" s="7">
        <f>Daily_Data[[#This Row],[Room_rate]]*Daily_Data[[#This Row],[Rooms_Occupied]]</f>
        <v>9882</v>
      </c>
      <c r="J724" s="10">
        <f>Daily_Data[[#This Row],[Total_Sales]] * 0.22</f>
        <v>2174.04</v>
      </c>
      <c r="K724" s="10">
        <f>INDEX(Expense_master[Monthly_Rent],MATCH(Daily_Data[[#This Row],[Month_key]],Expense_master[Month_Key],0)) / INDEX(Expense_master[Days_in_Month],MATCH(Daily_Data[[#This Row],[Month_key]],Expense_master[Month_Key],0))</f>
        <v>8064.5161290322585</v>
      </c>
      <c r="L724" s="10">
        <f>SUMIFS(Expense_master[Staff_Salary],Expense_master[Month_Key],Daily_Data[[#This Row],[Month_key]]) / SUMIFS(Expense_master[Days_in_Month],Expense_master[Month_Key],Daily_Data[[#This Row],[Month_key]])</f>
        <v>2258.0645161290322</v>
      </c>
      <c r="M724" s="10">
        <f>Daily_Data[[#This Row],[Rooms_Occupied]] * (SUMIFS(Expense_master[Housekeeping_Laundy],Expense_master[Month_Key],Daily_Data[[#This Row],[Month_key]]) / SUMIFS(Occupancy_table[Monthly_rooms_Occupied],Occupancy_table[Month_Key],Daily_Data[[#This Row],[Month_key]]))</f>
        <v>271.08433734939763</v>
      </c>
      <c r="N724"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1478.4529148853478</v>
      </c>
      <c r="O724" s="10">
        <f>SUMIFS(Expense_master[Monthly_Maintenance],Expense_master[Month_Key],Daily_Data[[#This Row],[Month_key]]) / SUMIFS(Expense_master[Days_in_Month],Expense_master[Month_Key], Daily_Data[[#This Row],[Month_key]])</f>
        <v>645.16129032258061</v>
      </c>
      <c r="P724" s="10">
        <f xml:space="preserve"> Daily_Data[[#This Row],[OTA Commision]] + Daily_Data[[#This Row],[Daily_Rent]]+Daily_Data[[#This Row],[Daily_Staff]]+Daily_Data[[#This Row],[Daily_HK]]+Daily_Data[[#This Row],[Daily_Electricity]] + Daily_Data[[#This Row],[Daily Maintenance]]</f>
        <v>14891.319187718616</v>
      </c>
      <c r="Q724" s="10">
        <f>Daily_Data[[#This Row],[Total_Sales]]-Daily_Data[[#This Row],[Total_Daily_Expense]]</f>
        <v>-5009.3191877186164</v>
      </c>
      <c r="R724" s="10">
        <f>Daily_Data[[#This Row],[Total_Sales]]/Daily_Data[[#This Row],[Rooms_Occupied]]</f>
        <v>1098</v>
      </c>
      <c r="S724" s="10">
        <f>Daily_Data[[#This Row],[Total_Sales]] / Daily_Data[[#This Row],[Max_rooms]]</f>
        <v>705.85714285714289</v>
      </c>
    </row>
    <row r="725" spans="1:19" x14ac:dyDescent="0.25">
      <c r="A725" s="6">
        <v>45650</v>
      </c>
      <c r="B725" s="20">
        <f>DATE(YEAR(Daily_Data[[#This Row],[Date]]), MONTH(Daily_Data[[#This Row],[Date]]), 1)</f>
        <v>45627</v>
      </c>
      <c r="C725" s="20" t="str">
        <f>TEXT(Daily_Data[[#This Row],[Month_key]],"mmmm")</f>
        <v>December</v>
      </c>
      <c r="D725" s="20" t="str">
        <f>TEXT(Daily_Data[[#This Row],[Month_key]],"yyyy")</f>
        <v>2024</v>
      </c>
      <c r="E725" s="7">
        <v>10</v>
      </c>
      <c r="F725" s="7">
        <v>14</v>
      </c>
      <c r="G725" s="8">
        <f>Daily_Data[[#This Row],[Rooms_Occupied]]/F725</f>
        <v>0.7142857142857143</v>
      </c>
      <c r="H725" s="7">
        <v>1965</v>
      </c>
      <c r="I725" s="7">
        <f>Daily_Data[[#This Row],[Room_rate]]*Daily_Data[[#This Row],[Rooms_Occupied]]</f>
        <v>19650</v>
      </c>
      <c r="J725" s="10">
        <f>Daily_Data[[#This Row],[Total_Sales]] * 0.22</f>
        <v>4323</v>
      </c>
      <c r="K725" s="10">
        <f>INDEX(Expense_master[Monthly_Rent],MATCH(Daily_Data[[#This Row],[Month_key]],Expense_master[Month_Key],0)) / INDEX(Expense_master[Days_in_Month],MATCH(Daily_Data[[#This Row],[Month_key]],Expense_master[Month_Key],0))</f>
        <v>8064.5161290322585</v>
      </c>
      <c r="L725" s="10">
        <f>SUMIFS(Expense_master[Staff_Salary],Expense_master[Month_Key],Daily_Data[[#This Row],[Month_key]]) / SUMIFS(Expense_master[Days_in_Month],Expense_master[Month_Key],Daily_Data[[#This Row],[Month_key]])</f>
        <v>2258.0645161290322</v>
      </c>
      <c r="M725" s="10">
        <f>Daily_Data[[#This Row],[Rooms_Occupied]] * (SUMIFS(Expense_master[Housekeeping_Laundy],Expense_master[Month_Key],Daily_Data[[#This Row],[Month_key]]) / SUMIFS(Occupancy_table[Monthly_rooms_Occupied],Occupancy_table[Month_Key],Daily_Data[[#This Row],[Month_key]]))</f>
        <v>301.20481927710847</v>
      </c>
      <c r="N725"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25" s="10">
        <f>SUMIFS(Expense_master[Monthly_Maintenance],Expense_master[Month_Key],Daily_Data[[#This Row],[Month_key]]) / SUMIFS(Expense_master[Days_in_Month],Expense_master[Month_Key], Daily_Data[[#This Row],[Month_key]])</f>
        <v>645.16129032258061</v>
      </c>
      <c r="P725" s="10">
        <f xml:space="preserve"> Daily_Data[[#This Row],[OTA Commision]] + Daily_Data[[#This Row],[Daily_Rent]]+Daily_Data[[#This Row],[Daily_Staff]]+Daily_Data[[#This Row],[Daily_HK]]+Daily_Data[[#This Row],[Daily_Electricity]] + Daily_Data[[#This Row],[Daily Maintenance]]</f>
        <v>17162.002681694517</v>
      </c>
      <c r="Q725" s="10">
        <f>Daily_Data[[#This Row],[Total_Sales]]-Daily_Data[[#This Row],[Total_Daily_Expense]]</f>
        <v>2487.9973183054826</v>
      </c>
      <c r="R725" s="10">
        <f>Daily_Data[[#This Row],[Total_Sales]]/Daily_Data[[#This Row],[Rooms_Occupied]]</f>
        <v>1965</v>
      </c>
      <c r="S725" s="10">
        <f>Daily_Data[[#This Row],[Total_Sales]] / Daily_Data[[#This Row],[Max_rooms]]</f>
        <v>1403.5714285714287</v>
      </c>
    </row>
    <row r="726" spans="1:19" x14ac:dyDescent="0.25">
      <c r="A726" s="6">
        <v>45651</v>
      </c>
      <c r="B726" s="20">
        <f>DATE(YEAR(Daily_Data[[#This Row],[Date]]), MONTH(Daily_Data[[#This Row],[Date]]), 1)</f>
        <v>45627</v>
      </c>
      <c r="C726" s="20" t="str">
        <f>TEXT(Daily_Data[[#This Row],[Month_key]],"mmmm")</f>
        <v>December</v>
      </c>
      <c r="D726" s="20" t="str">
        <f>TEXT(Daily_Data[[#This Row],[Month_key]],"yyyy")</f>
        <v>2024</v>
      </c>
      <c r="E726" s="7">
        <v>10</v>
      </c>
      <c r="F726" s="7">
        <v>14</v>
      </c>
      <c r="G726" s="8">
        <f>Daily_Data[[#This Row],[Rooms_Occupied]]/F726</f>
        <v>0.7142857142857143</v>
      </c>
      <c r="H726" s="7">
        <v>1146</v>
      </c>
      <c r="I726" s="7">
        <f>Daily_Data[[#This Row],[Room_rate]]*Daily_Data[[#This Row],[Rooms_Occupied]]</f>
        <v>11460</v>
      </c>
      <c r="J726" s="10">
        <f>Daily_Data[[#This Row],[Total_Sales]] * 0.22</f>
        <v>2521.1999999999998</v>
      </c>
      <c r="K726" s="10">
        <f>INDEX(Expense_master[Monthly_Rent],MATCH(Daily_Data[[#This Row],[Month_key]],Expense_master[Month_Key],0)) / INDEX(Expense_master[Days_in_Month],MATCH(Daily_Data[[#This Row],[Month_key]],Expense_master[Month_Key],0))</f>
        <v>8064.5161290322585</v>
      </c>
      <c r="L726" s="10">
        <f>SUMIFS(Expense_master[Staff_Salary],Expense_master[Month_Key],Daily_Data[[#This Row],[Month_key]]) / SUMIFS(Expense_master[Days_in_Month],Expense_master[Month_Key],Daily_Data[[#This Row],[Month_key]])</f>
        <v>2258.0645161290322</v>
      </c>
      <c r="M726" s="10">
        <f>Daily_Data[[#This Row],[Rooms_Occupied]] * (SUMIFS(Expense_master[Housekeeping_Laundy],Expense_master[Month_Key],Daily_Data[[#This Row],[Month_key]]) / SUMIFS(Occupancy_table[Monthly_rooms_Occupied],Occupancy_table[Month_Key],Daily_Data[[#This Row],[Month_key]]))</f>
        <v>301.20481927710847</v>
      </c>
      <c r="N726"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26" s="10">
        <f>SUMIFS(Expense_master[Monthly_Maintenance],Expense_master[Month_Key],Daily_Data[[#This Row],[Month_key]]) / SUMIFS(Expense_master[Days_in_Month],Expense_master[Month_Key], Daily_Data[[#This Row],[Month_key]])</f>
        <v>645.16129032258061</v>
      </c>
      <c r="P726" s="10">
        <f xml:space="preserve"> Daily_Data[[#This Row],[OTA Commision]] + Daily_Data[[#This Row],[Daily_Rent]]+Daily_Data[[#This Row],[Daily_Staff]]+Daily_Data[[#This Row],[Daily_HK]]+Daily_Data[[#This Row],[Daily_Electricity]] + Daily_Data[[#This Row],[Daily Maintenance]]</f>
        <v>15360.202681694522</v>
      </c>
      <c r="Q726" s="10">
        <f>Daily_Data[[#This Row],[Total_Sales]]-Daily_Data[[#This Row],[Total_Daily_Expense]]</f>
        <v>-3900.2026816945217</v>
      </c>
      <c r="R726" s="10">
        <f>Daily_Data[[#This Row],[Total_Sales]]/Daily_Data[[#This Row],[Rooms_Occupied]]</f>
        <v>1146</v>
      </c>
      <c r="S726" s="10">
        <f>Daily_Data[[#This Row],[Total_Sales]] / Daily_Data[[#This Row],[Max_rooms]]</f>
        <v>818.57142857142856</v>
      </c>
    </row>
    <row r="727" spans="1:19" x14ac:dyDescent="0.25">
      <c r="A727" s="6">
        <v>45652</v>
      </c>
      <c r="B727" s="20">
        <f>DATE(YEAR(Daily_Data[[#This Row],[Date]]), MONTH(Daily_Data[[#This Row],[Date]]), 1)</f>
        <v>45627</v>
      </c>
      <c r="C727" s="20" t="str">
        <f>TEXT(Daily_Data[[#This Row],[Month_key]],"mmmm")</f>
        <v>December</v>
      </c>
      <c r="D727" s="20" t="str">
        <f>TEXT(Daily_Data[[#This Row],[Month_key]],"yyyy")</f>
        <v>2024</v>
      </c>
      <c r="E727" s="7">
        <v>10</v>
      </c>
      <c r="F727" s="7">
        <v>14</v>
      </c>
      <c r="G727" s="8">
        <f>Daily_Data[[#This Row],[Rooms_Occupied]]/F727</f>
        <v>0.7142857142857143</v>
      </c>
      <c r="H727" s="7">
        <v>1245</v>
      </c>
      <c r="I727" s="7">
        <f>Daily_Data[[#This Row],[Room_rate]]*Daily_Data[[#This Row],[Rooms_Occupied]]</f>
        <v>12450</v>
      </c>
      <c r="J727" s="10">
        <f>Daily_Data[[#This Row],[Total_Sales]] * 0.22</f>
        <v>2739</v>
      </c>
      <c r="K727" s="10">
        <f>INDEX(Expense_master[Monthly_Rent],MATCH(Daily_Data[[#This Row],[Month_key]],Expense_master[Month_Key],0)) / INDEX(Expense_master[Days_in_Month],MATCH(Daily_Data[[#This Row],[Month_key]],Expense_master[Month_Key],0))</f>
        <v>8064.5161290322585</v>
      </c>
      <c r="L727" s="10">
        <f>SUMIFS(Expense_master[Staff_Salary],Expense_master[Month_Key],Daily_Data[[#This Row],[Month_key]]) / SUMIFS(Expense_master[Days_in_Month],Expense_master[Month_Key],Daily_Data[[#This Row],[Month_key]])</f>
        <v>2258.0645161290322</v>
      </c>
      <c r="M727" s="10">
        <f>Daily_Data[[#This Row],[Rooms_Occupied]] * (SUMIFS(Expense_master[Housekeeping_Laundy],Expense_master[Month_Key],Daily_Data[[#This Row],[Month_key]]) / SUMIFS(Occupancy_table[Monthly_rooms_Occupied],Occupancy_table[Month_Key],Daily_Data[[#This Row],[Month_key]]))</f>
        <v>301.20481927710847</v>
      </c>
      <c r="N727"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27" s="10">
        <f>SUMIFS(Expense_master[Monthly_Maintenance],Expense_master[Month_Key],Daily_Data[[#This Row],[Month_key]]) / SUMIFS(Expense_master[Days_in_Month],Expense_master[Month_Key], Daily_Data[[#This Row],[Month_key]])</f>
        <v>645.16129032258061</v>
      </c>
      <c r="P727" s="10">
        <f xml:space="preserve"> Daily_Data[[#This Row],[OTA Commision]] + Daily_Data[[#This Row],[Daily_Rent]]+Daily_Data[[#This Row],[Daily_Staff]]+Daily_Data[[#This Row],[Daily_HK]]+Daily_Data[[#This Row],[Daily_Electricity]] + Daily_Data[[#This Row],[Daily Maintenance]]</f>
        <v>15578.002681694521</v>
      </c>
      <c r="Q727" s="10">
        <f>Daily_Data[[#This Row],[Total_Sales]]-Daily_Data[[#This Row],[Total_Daily_Expense]]</f>
        <v>-3128.002681694521</v>
      </c>
      <c r="R727" s="10">
        <f>Daily_Data[[#This Row],[Total_Sales]]/Daily_Data[[#This Row],[Rooms_Occupied]]</f>
        <v>1245</v>
      </c>
      <c r="S727" s="10">
        <f>Daily_Data[[#This Row],[Total_Sales]] / Daily_Data[[#This Row],[Max_rooms]]</f>
        <v>889.28571428571433</v>
      </c>
    </row>
    <row r="728" spans="1:19" x14ac:dyDescent="0.25">
      <c r="A728" s="6">
        <v>45653</v>
      </c>
      <c r="B728" s="20">
        <f>DATE(YEAR(Daily_Data[[#This Row],[Date]]), MONTH(Daily_Data[[#This Row],[Date]]), 1)</f>
        <v>45627</v>
      </c>
      <c r="C728" s="20" t="str">
        <f>TEXT(Daily_Data[[#This Row],[Month_key]],"mmmm")</f>
        <v>December</v>
      </c>
      <c r="D728" s="20" t="str">
        <f>TEXT(Daily_Data[[#This Row],[Month_key]],"yyyy")</f>
        <v>2024</v>
      </c>
      <c r="E728" s="7">
        <v>9</v>
      </c>
      <c r="F728" s="7">
        <v>14</v>
      </c>
      <c r="G728" s="8">
        <f>Daily_Data[[#This Row],[Rooms_Occupied]]/F728</f>
        <v>0.6428571428571429</v>
      </c>
      <c r="H728" s="7">
        <v>1664</v>
      </c>
      <c r="I728" s="7">
        <f>Daily_Data[[#This Row],[Room_rate]]*Daily_Data[[#This Row],[Rooms_Occupied]]</f>
        <v>14976</v>
      </c>
      <c r="J728" s="10">
        <f>Daily_Data[[#This Row],[Total_Sales]] * 0.22</f>
        <v>3294.72</v>
      </c>
      <c r="K728" s="10">
        <f>INDEX(Expense_master[Monthly_Rent],MATCH(Daily_Data[[#This Row],[Month_key]],Expense_master[Month_Key],0)) / INDEX(Expense_master[Days_in_Month],MATCH(Daily_Data[[#This Row],[Month_key]],Expense_master[Month_Key],0))</f>
        <v>8064.5161290322585</v>
      </c>
      <c r="L728" s="10">
        <f>SUMIFS(Expense_master[Staff_Salary],Expense_master[Month_Key],Daily_Data[[#This Row],[Month_key]]) / SUMIFS(Expense_master[Days_in_Month],Expense_master[Month_Key],Daily_Data[[#This Row],[Month_key]])</f>
        <v>2258.0645161290322</v>
      </c>
      <c r="M728" s="10">
        <f>Daily_Data[[#This Row],[Rooms_Occupied]] * (SUMIFS(Expense_master[Housekeeping_Laundy],Expense_master[Month_Key],Daily_Data[[#This Row],[Month_key]]) / SUMIFS(Occupancy_table[Monthly_rooms_Occupied],Occupancy_table[Month_Key],Daily_Data[[#This Row],[Month_key]]))</f>
        <v>271.08433734939763</v>
      </c>
      <c r="N728"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1478.4529148853478</v>
      </c>
      <c r="O728" s="10">
        <f>SUMIFS(Expense_master[Monthly_Maintenance],Expense_master[Month_Key],Daily_Data[[#This Row],[Month_key]]) / SUMIFS(Expense_master[Days_in_Month],Expense_master[Month_Key], Daily_Data[[#This Row],[Month_key]])</f>
        <v>645.16129032258061</v>
      </c>
      <c r="P728" s="10">
        <f xml:space="preserve"> Daily_Data[[#This Row],[OTA Commision]] + Daily_Data[[#This Row],[Daily_Rent]]+Daily_Data[[#This Row],[Daily_Staff]]+Daily_Data[[#This Row],[Daily_HK]]+Daily_Data[[#This Row],[Daily_Electricity]] + Daily_Data[[#This Row],[Daily Maintenance]]</f>
        <v>16011.999187718617</v>
      </c>
      <c r="Q728" s="10">
        <f>Daily_Data[[#This Row],[Total_Sales]]-Daily_Data[[#This Row],[Total_Daily_Expense]]</f>
        <v>-1035.9991877186167</v>
      </c>
      <c r="R728" s="10">
        <f>Daily_Data[[#This Row],[Total_Sales]]/Daily_Data[[#This Row],[Rooms_Occupied]]</f>
        <v>1664</v>
      </c>
      <c r="S728" s="10">
        <f>Daily_Data[[#This Row],[Total_Sales]] / Daily_Data[[#This Row],[Max_rooms]]</f>
        <v>1069.7142857142858</v>
      </c>
    </row>
    <row r="729" spans="1:19" x14ac:dyDescent="0.25">
      <c r="A729" s="6">
        <v>45654</v>
      </c>
      <c r="B729" s="20">
        <f>DATE(YEAR(Daily_Data[[#This Row],[Date]]), MONTH(Daily_Data[[#This Row],[Date]]), 1)</f>
        <v>45627</v>
      </c>
      <c r="C729" s="20" t="str">
        <f>TEXT(Daily_Data[[#This Row],[Month_key]],"mmmm")</f>
        <v>December</v>
      </c>
      <c r="D729" s="20" t="str">
        <f>TEXT(Daily_Data[[#This Row],[Month_key]],"yyyy")</f>
        <v>2024</v>
      </c>
      <c r="E729" s="7">
        <v>12</v>
      </c>
      <c r="F729" s="7">
        <v>14</v>
      </c>
      <c r="G729" s="8">
        <f>Daily_Data[[#This Row],[Rooms_Occupied]]/F729</f>
        <v>0.8571428571428571</v>
      </c>
      <c r="H729" s="7">
        <v>1711</v>
      </c>
      <c r="I729" s="7">
        <f>Daily_Data[[#This Row],[Room_rate]]*Daily_Data[[#This Row],[Rooms_Occupied]]</f>
        <v>20532</v>
      </c>
      <c r="J729" s="10">
        <f>Daily_Data[[#This Row],[Total_Sales]] * 0.22</f>
        <v>4517.04</v>
      </c>
      <c r="K729" s="10">
        <f>INDEX(Expense_master[Monthly_Rent],MATCH(Daily_Data[[#This Row],[Month_key]],Expense_master[Month_Key],0)) / INDEX(Expense_master[Days_in_Month],MATCH(Daily_Data[[#This Row],[Month_key]],Expense_master[Month_Key],0))</f>
        <v>8064.5161290322585</v>
      </c>
      <c r="L729" s="10">
        <f>SUMIFS(Expense_master[Staff_Salary],Expense_master[Month_Key],Daily_Data[[#This Row],[Month_key]]) / SUMIFS(Expense_master[Days_in_Month],Expense_master[Month_Key],Daily_Data[[#This Row],[Month_key]])</f>
        <v>2258.0645161290322</v>
      </c>
      <c r="M729" s="10">
        <f>Daily_Data[[#This Row],[Rooms_Occupied]] * (SUMIFS(Expense_master[Housekeeping_Laundy],Expense_master[Month_Key],Daily_Data[[#This Row],[Month_key]]) / SUMIFS(Occupancy_table[Monthly_rooms_Occupied],Occupancy_table[Month_Key],Daily_Data[[#This Row],[Month_key]]))</f>
        <v>361.44578313253015</v>
      </c>
      <c r="N729"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1753.261951029926</v>
      </c>
      <c r="O729" s="10">
        <f>SUMIFS(Expense_master[Monthly_Maintenance],Expense_master[Month_Key],Daily_Data[[#This Row],[Month_key]]) / SUMIFS(Expense_master[Days_in_Month],Expense_master[Month_Key], Daily_Data[[#This Row],[Month_key]])</f>
        <v>645.16129032258061</v>
      </c>
      <c r="P729" s="10">
        <f xml:space="preserve"> Daily_Data[[#This Row],[OTA Commision]] + Daily_Data[[#This Row],[Daily_Rent]]+Daily_Data[[#This Row],[Daily_Staff]]+Daily_Data[[#This Row],[Daily_HK]]+Daily_Data[[#This Row],[Daily_Electricity]] + Daily_Data[[#This Row],[Daily Maintenance]]</f>
        <v>17599.489669646326</v>
      </c>
      <c r="Q729" s="10">
        <f>Daily_Data[[#This Row],[Total_Sales]]-Daily_Data[[#This Row],[Total_Daily_Expense]]</f>
        <v>2932.5103303536744</v>
      </c>
      <c r="R729" s="10">
        <f>Daily_Data[[#This Row],[Total_Sales]]/Daily_Data[[#This Row],[Rooms_Occupied]]</f>
        <v>1711</v>
      </c>
      <c r="S729" s="10">
        <f>Daily_Data[[#This Row],[Total_Sales]] / Daily_Data[[#This Row],[Max_rooms]]</f>
        <v>1466.5714285714287</v>
      </c>
    </row>
    <row r="730" spans="1:19" x14ac:dyDescent="0.25">
      <c r="A730" s="6">
        <v>45655</v>
      </c>
      <c r="B730" s="20">
        <f>DATE(YEAR(Daily_Data[[#This Row],[Date]]), MONTH(Daily_Data[[#This Row],[Date]]), 1)</f>
        <v>45627</v>
      </c>
      <c r="C730" s="20" t="str">
        <f>TEXT(Daily_Data[[#This Row],[Month_key]],"mmmm")</f>
        <v>December</v>
      </c>
      <c r="D730" s="20" t="str">
        <f>TEXT(Daily_Data[[#This Row],[Month_key]],"yyyy")</f>
        <v>2024</v>
      </c>
      <c r="E730" s="7">
        <v>10</v>
      </c>
      <c r="F730" s="7">
        <v>14</v>
      </c>
      <c r="G730" s="8">
        <f>Daily_Data[[#This Row],[Rooms_Occupied]]/F730</f>
        <v>0.7142857142857143</v>
      </c>
      <c r="H730" s="7">
        <v>1047</v>
      </c>
      <c r="I730" s="7">
        <f>Daily_Data[[#This Row],[Room_rate]]*Daily_Data[[#This Row],[Rooms_Occupied]]</f>
        <v>10470</v>
      </c>
      <c r="J730" s="10">
        <f>Daily_Data[[#This Row],[Total_Sales]] * 0.22</f>
        <v>2303.4</v>
      </c>
      <c r="K730" s="10">
        <f>INDEX(Expense_master[Monthly_Rent],MATCH(Daily_Data[[#This Row],[Month_key]],Expense_master[Month_Key],0)) / INDEX(Expense_master[Days_in_Month],MATCH(Daily_Data[[#This Row],[Month_key]],Expense_master[Month_Key],0))</f>
        <v>8064.5161290322585</v>
      </c>
      <c r="L730" s="10">
        <f>SUMIFS(Expense_master[Staff_Salary],Expense_master[Month_Key],Daily_Data[[#This Row],[Month_key]]) / SUMIFS(Expense_master[Days_in_Month],Expense_master[Month_Key],Daily_Data[[#This Row],[Month_key]])</f>
        <v>2258.0645161290322</v>
      </c>
      <c r="M730" s="10">
        <f>Daily_Data[[#This Row],[Rooms_Occupied]] * (SUMIFS(Expense_master[Housekeeping_Laundy],Expense_master[Month_Key],Daily_Data[[#This Row],[Month_key]]) / SUMIFS(Occupancy_table[Monthly_rooms_Occupied],Occupancy_table[Month_Key],Daily_Data[[#This Row],[Month_key]]))</f>
        <v>301.20481927710847</v>
      </c>
      <c r="N730"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1570.0559269335406</v>
      </c>
      <c r="O730" s="10">
        <f>SUMIFS(Expense_master[Monthly_Maintenance],Expense_master[Month_Key],Daily_Data[[#This Row],[Month_key]]) / SUMIFS(Expense_master[Days_in_Month],Expense_master[Month_Key], Daily_Data[[#This Row],[Month_key]])</f>
        <v>645.16129032258061</v>
      </c>
      <c r="P730" s="10">
        <f xml:space="preserve"> Daily_Data[[#This Row],[OTA Commision]] + Daily_Data[[#This Row],[Daily_Rent]]+Daily_Data[[#This Row],[Daily_Staff]]+Daily_Data[[#This Row],[Daily_HK]]+Daily_Data[[#This Row],[Daily_Electricity]] + Daily_Data[[#This Row],[Daily Maintenance]]</f>
        <v>15142.402681694522</v>
      </c>
      <c r="Q730" s="10">
        <f>Daily_Data[[#This Row],[Total_Sales]]-Daily_Data[[#This Row],[Total_Daily_Expense]]</f>
        <v>-4672.4026816945225</v>
      </c>
      <c r="R730" s="10">
        <f>Daily_Data[[#This Row],[Total_Sales]]/Daily_Data[[#This Row],[Rooms_Occupied]]</f>
        <v>1047</v>
      </c>
      <c r="S730" s="10">
        <f>Daily_Data[[#This Row],[Total_Sales]] / Daily_Data[[#This Row],[Max_rooms]]</f>
        <v>747.85714285714289</v>
      </c>
    </row>
    <row r="731" spans="1:19" x14ac:dyDescent="0.25">
      <c r="A731" s="6">
        <v>45656</v>
      </c>
      <c r="B731" s="20">
        <f>DATE(YEAR(Daily_Data[[#This Row],[Date]]), MONTH(Daily_Data[[#This Row],[Date]]), 1)</f>
        <v>45627</v>
      </c>
      <c r="C731" s="20" t="str">
        <f>TEXT(Daily_Data[[#This Row],[Month_key]],"mmmm")</f>
        <v>December</v>
      </c>
      <c r="D731" s="20" t="str">
        <f>TEXT(Daily_Data[[#This Row],[Month_key]],"yyyy")</f>
        <v>2024</v>
      </c>
      <c r="E731" s="7">
        <v>9</v>
      </c>
      <c r="F731" s="7">
        <v>14</v>
      </c>
      <c r="G731" s="8">
        <f>Daily_Data[[#This Row],[Rooms_Occupied]]/F731</f>
        <v>0.6428571428571429</v>
      </c>
      <c r="H731" s="7">
        <v>1469</v>
      </c>
      <c r="I731" s="7">
        <f>Daily_Data[[#This Row],[Room_rate]]*Daily_Data[[#This Row],[Rooms_Occupied]]</f>
        <v>13221</v>
      </c>
      <c r="J731" s="10">
        <f>Daily_Data[[#This Row],[Total_Sales]] * 0.22</f>
        <v>2908.62</v>
      </c>
      <c r="K731" s="10">
        <f>INDEX(Expense_master[Monthly_Rent],MATCH(Daily_Data[[#This Row],[Month_key]],Expense_master[Month_Key],0)) / INDEX(Expense_master[Days_in_Month],MATCH(Daily_Data[[#This Row],[Month_key]],Expense_master[Month_Key],0))</f>
        <v>8064.5161290322585</v>
      </c>
      <c r="L731" s="10">
        <f>SUMIFS(Expense_master[Staff_Salary],Expense_master[Month_Key],Daily_Data[[#This Row],[Month_key]]) / SUMIFS(Expense_master[Days_in_Month],Expense_master[Month_Key],Daily_Data[[#This Row],[Month_key]])</f>
        <v>2258.0645161290322</v>
      </c>
      <c r="M731" s="10">
        <f>Daily_Data[[#This Row],[Rooms_Occupied]] * (SUMIFS(Expense_master[Housekeeping_Laundy],Expense_master[Month_Key],Daily_Data[[#This Row],[Month_key]]) / SUMIFS(Occupancy_table[Monthly_rooms_Occupied],Occupancy_table[Month_Key],Daily_Data[[#This Row],[Month_key]]))</f>
        <v>271.08433734939763</v>
      </c>
      <c r="N731"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1478.4529148853478</v>
      </c>
      <c r="O731" s="10">
        <f>SUMIFS(Expense_master[Monthly_Maintenance],Expense_master[Month_Key],Daily_Data[[#This Row],[Month_key]]) / SUMIFS(Expense_master[Days_in_Month],Expense_master[Month_Key], Daily_Data[[#This Row],[Month_key]])</f>
        <v>645.16129032258061</v>
      </c>
      <c r="P731" s="10">
        <f xml:space="preserve"> Daily_Data[[#This Row],[OTA Commision]] + Daily_Data[[#This Row],[Daily_Rent]]+Daily_Data[[#This Row],[Daily_Staff]]+Daily_Data[[#This Row],[Daily_HK]]+Daily_Data[[#This Row],[Daily_Electricity]] + Daily_Data[[#This Row],[Daily Maintenance]]</f>
        <v>15625.899187718616</v>
      </c>
      <c r="Q731" s="10">
        <f>Daily_Data[[#This Row],[Total_Sales]]-Daily_Data[[#This Row],[Total_Daily_Expense]]</f>
        <v>-2404.8991877186163</v>
      </c>
      <c r="R731" s="10">
        <f>Daily_Data[[#This Row],[Total_Sales]]/Daily_Data[[#This Row],[Rooms_Occupied]]</f>
        <v>1469</v>
      </c>
      <c r="S731" s="10">
        <f>Daily_Data[[#This Row],[Total_Sales]] / Daily_Data[[#This Row],[Max_rooms]]</f>
        <v>944.35714285714289</v>
      </c>
    </row>
    <row r="732" spans="1:19" x14ac:dyDescent="0.25">
      <c r="A732" s="6">
        <v>45657</v>
      </c>
      <c r="B732" s="20">
        <f>DATE(YEAR(Daily_Data[[#This Row],[Date]]), MONTH(Daily_Data[[#This Row],[Date]]), 1)</f>
        <v>45627</v>
      </c>
      <c r="C732" s="20" t="str">
        <f>TEXT(Daily_Data[[#This Row],[Month_key]],"mmmm")</f>
        <v>December</v>
      </c>
      <c r="D732" s="20" t="str">
        <f>TEXT(Daily_Data[[#This Row],[Month_key]],"yyyy")</f>
        <v>2024</v>
      </c>
      <c r="E732" s="7">
        <v>14</v>
      </c>
      <c r="F732" s="7">
        <v>14</v>
      </c>
      <c r="G732" s="8">
        <f>Daily_Data[[#This Row],[Rooms_Occupied]]/F732</f>
        <v>1</v>
      </c>
      <c r="H732" s="7">
        <v>1395</v>
      </c>
      <c r="I732" s="7">
        <f>Daily_Data[[#This Row],[Room_rate]]*Daily_Data[[#This Row],[Rooms_Occupied]]</f>
        <v>19530</v>
      </c>
      <c r="J732" s="10">
        <f>Daily_Data[[#This Row],[Total_Sales]] * 0.22</f>
        <v>4296.6000000000004</v>
      </c>
      <c r="K732" s="10">
        <f>INDEX(Expense_master[Monthly_Rent],MATCH(Daily_Data[[#This Row],[Month_key]],Expense_master[Month_Key],0)) / INDEX(Expense_master[Days_in_Month],MATCH(Daily_Data[[#This Row],[Month_key]],Expense_master[Month_Key],0))</f>
        <v>8064.5161290322585</v>
      </c>
      <c r="L732" s="10">
        <f>SUMIFS(Expense_master[Staff_Salary],Expense_master[Month_Key],Daily_Data[[#This Row],[Month_key]]) / SUMIFS(Expense_master[Days_in_Month],Expense_master[Month_Key],Daily_Data[[#This Row],[Month_key]])</f>
        <v>2258.0645161290322</v>
      </c>
      <c r="M732" s="10">
        <f>Daily_Data[[#This Row],[Rooms_Occupied]] * (SUMIFS(Expense_master[Housekeeping_Laundy],Expense_master[Month_Key],Daily_Data[[#This Row],[Month_key]]) / SUMIFS(Occupancy_table[Monthly_rooms_Occupied],Occupancy_table[Month_Key],Daily_Data[[#This Row],[Month_key]]))</f>
        <v>421.68674698795184</v>
      </c>
      <c r="N732" s="10">
        <f>0.4 * (SUMIFS(Expense_master[Electicity_Bill],Expense_master[Month_Key],Daily_Data[[#This Row],[Month_key]]) / SUMIFS(Expense_master[Days_in_Month],Expense_master[Month_Key],Daily_Data[[#This Row],[Month_key]])) + Daily_Data[[#This Row],[Rooms_Occupied]] * ( (0.6 * SUMIFS(Expense_master[Electicity_Bill],Expense_master[Month_Key], Daily_Data[[#This Row],[Month_key]])) / SUMIFS(Occupancy_table[Monthly_rooms_Occupied],Occupancy_table[Month_Key],Daily_Data[[#This Row],[Month_key]]))</f>
        <v>1936.4679751263116</v>
      </c>
      <c r="O732" s="10">
        <f>SUMIFS(Expense_master[Monthly_Maintenance],Expense_master[Month_Key],Daily_Data[[#This Row],[Month_key]]) / SUMIFS(Expense_master[Days_in_Month],Expense_master[Month_Key], Daily_Data[[#This Row],[Month_key]])</f>
        <v>645.16129032258061</v>
      </c>
      <c r="P732" s="10">
        <f xml:space="preserve"> Daily_Data[[#This Row],[OTA Commision]] + Daily_Data[[#This Row],[Daily_Rent]]+Daily_Data[[#This Row],[Daily_Staff]]+Daily_Data[[#This Row],[Daily_HK]]+Daily_Data[[#This Row],[Daily_Electricity]] + Daily_Data[[#This Row],[Daily Maintenance]]</f>
        <v>17622.496657598134</v>
      </c>
      <c r="Q732" s="10">
        <f>Daily_Data[[#This Row],[Total_Sales]]-Daily_Data[[#This Row],[Total_Daily_Expense]]</f>
        <v>1907.5033424018657</v>
      </c>
      <c r="R732" s="19">
        <f>Daily_Data[[#This Row],[Total_Sales]]/Daily_Data[[#This Row],[Rooms_Occupied]]</f>
        <v>1395</v>
      </c>
      <c r="S732" s="19">
        <f>Daily_Data[[#This Row],[Total_Sales]] / Daily_Data[[#This Row],[Max_rooms]]</f>
        <v>1395</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B6CC-9433-43D2-B30F-E04A3DC2E4F0}">
  <sheetPr codeName="Sheet2"/>
  <dimension ref="A1:N25"/>
  <sheetViews>
    <sheetView workbookViewId="0">
      <selection activeCell="I2" sqref="I2"/>
    </sheetView>
  </sheetViews>
  <sheetFormatPr defaultRowHeight="15" x14ac:dyDescent="0.25"/>
  <cols>
    <col min="3" max="3" width="14" style="1" customWidth="1"/>
    <col min="4" max="4" width="14.85546875" customWidth="1"/>
    <col min="5" max="5" width="12.7109375" customWidth="1"/>
    <col min="6" max="6" width="23.28515625" customWidth="1"/>
    <col min="7" max="7" width="14.7109375" customWidth="1"/>
    <col min="8" max="8" width="24" bestFit="1" customWidth="1"/>
    <col min="9" max="10" width="19.28515625" customWidth="1"/>
    <col min="11" max="11" width="16.42578125" bestFit="1" customWidth="1"/>
    <col min="12" max="12" width="20" bestFit="1" customWidth="1"/>
    <col min="13" max="13" width="14.140625" bestFit="1" customWidth="1"/>
  </cols>
  <sheetData>
    <row r="1" spans="1:14" x14ac:dyDescent="0.25">
      <c r="A1" t="s">
        <v>0</v>
      </c>
      <c r="B1" t="s">
        <v>1</v>
      </c>
      <c r="C1" s="1" t="s">
        <v>32</v>
      </c>
      <c r="D1" t="s">
        <v>27</v>
      </c>
      <c r="E1" t="s">
        <v>28</v>
      </c>
      <c r="F1" t="s">
        <v>29</v>
      </c>
      <c r="G1" t="s">
        <v>30</v>
      </c>
      <c r="H1" t="s">
        <v>34</v>
      </c>
      <c r="I1" t="s">
        <v>31</v>
      </c>
      <c r="J1" t="s">
        <v>44</v>
      </c>
      <c r="K1" t="s">
        <v>43</v>
      </c>
    </row>
    <row r="2" spans="1:14" x14ac:dyDescent="0.25">
      <c r="A2" s="7" t="s">
        <v>2</v>
      </c>
      <c r="B2" s="7">
        <v>2023</v>
      </c>
      <c r="C2" s="20">
        <f>DATE(Expense_master[[#This Row],[Year]],
      MATCH(Expense_master[[#This Row],[Month]],{"Jan","Feb","Mar","Apr","May","Jun","Jul","Aug","Sep","Oct","Nov","Dec"},0),
      1)</f>
        <v>44927</v>
      </c>
      <c r="D2" s="7">
        <v>190000</v>
      </c>
      <c r="E2" s="7">
        <v>70000</v>
      </c>
      <c r="F2" s="7">
        <v>10000</v>
      </c>
      <c r="G2" s="7">
        <v>52712</v>
      </c>
      <c r="H2" s="7">
        <v>20000</v>
      </c>
      <c r="I2" s="7">
        <v>31</v>
      </c>
      <c r="J2" s="18">
        <f>SUMIFS(Daily_Data[OTA Commision],Daily_Data[Month_key],Expense_master[[#This Row],[Month_Key]])</f>
        <v>126379</v>
      </c>
      <c r="K2" s="18">
        <f>Expense_master[[#This Row],[Monthly_Rent]]+Expense_master[[#This Row],[Staff_Salary]]+Expense_master[[#This Row],[Housekeeping_Laundy]]+Expense_master[[#This Row],[Electicity_Bill]]+Expense_master[[#This Row],[Monthly_Maintenance]]+Expense_master[[#This Row],[OTA_Commission]]</f>
        <v>469091</v>
      </c>
    </row>
    <row r="3" spans="1:14" x14ac:dyDescent="0.25">
      <c r="A3" s="7" t="s">
        <v>3</v>
      </c>
      <c r="B3" s="7">
        <v>2023</v>
      </c>
      <c r="C3" s="20">
        <f>DATE(Expense_master[[#This Row],[Year]],
      MATCH(Expense_master[[#This Row],[Month]],{"Jan","Feb","Mar","Apr","May","Jun","Jul","Aug","Sep","Oct","Nov","Dec"},0),
      1)</f>
        <v>44958</v>
      </c>
      <c r="D3" s="7">
        <v>190000</v>
      </c>
      <c r="E3" s="7">
        <v>70000</v>
      </c>
      <c r="F3" s="7">
        <v>10000</v>
      </c>
      <c r="G3" s="7">
        <v>50283</v>
      </c>
      <c r="H3" s="7">
        <v>20000</v>
      </c>
      <c r="I3" s="7">
        <v>28</v>
      </c>
      <c r="J3" s="10">
        <f>SUMIFS(Daily_Data[OTA Commision],Daily_Data[Month_key],Expense_master[[#This Row],[Month_Key]])</f>
        <v>104186.28000000003</v>
      </c>
      <c r="K3" s="10">
        <f>Expense_master[[#This Row],[Monthly_Rent]]+Expense_master[[#This Row],[Staff_Salary]]+Expense_master[[#This Row],[Housekeeping_Laundy]]+Expense_master[[#This Row],[Electicity_Bill]]+Expense_master[[#This Row],[Monthly_Maintenance]]+Expense_master[[#This Row],[OTA_Commission]]</f>
        <v>444469.28</v>
      </c>
      <c r="L3" s="11"/>
    </row>
    <row r="4" spans="1:14" x14ac:dyDescent="0.25">
      <c r="A4" s="7" t="s">
        <v>4</v>
      </c>
      <c r="B4" s="7">
        <v>2023</v>
      </c>
      <c r="C4" s="20">
        <f>DATE(Expense_master[[#This Row],[Year]],
      MATCH(Expense_master[[#This Row],[Month]],{"Jan","Feb","Mar","Apr","May","Jun","Jul","Aug","Sep","Oct","Nov","Dec"},0),
      1)</f>
        <v>44986</v>
      </c>
      <c r="D4" s="7">
        <v>190000</v>
      </c>
      <c r="E4" s="7">
        <v>70000</v>
      </c>
      <c r="F4" s="7">
        <v>10000</v>
      </c>
      <c r="G4" s="7">
        <v>48590</v>
      </c>
      <c r="H4" s="7">
        <v>20000</v>
      </c>
      <c r="I4" s="7">
        <v>31</v>
      </c>
      <c r="J4" s="10">
        <f>SUMIFS(Daily_Data[OTA Commision],Daily_Data[Month_key],Expense_master[[#This Row],[Month_Key]])</f>
        <v>111347.94</v>
      </c>
      <c r="K4" s="10">
        <f>Expense_master[[#This Row],[Monthly_Rent]]+Expense_master[[#This Row],[Staff_Salary]]+Expense_master[[#This Row],[Housekeeping_Laundy]]+Expense_master[[#This Row],[Electicity_Bill]]+Expense_master[[#This Row],[Monthly_Maintenance]]+Expense_master[[#This Row],[OTA_Commission]]</f>
        <v>449937.94</v>
      </c>
    </row>
    <row r="5" spans="1:14" x14ac:dyDescent="0.25">
      <c r="A5" s="7" t="s">
        <v>5</v>
      </c>
      <c r="B5" s="7">
        <v>2023</v>
      </c>
      <c r="C5" s="20">
        <f>DATE(Expense_master[[#This Row],[Year]],
      MATCH(Expense_master[[#This Row],[Month]],{"Jan","Feb","Mar","Apr","May","Jun","Jul","Aug","Sep","Oct","Nov","Dec"},0),
      1)</f>
        <v>45017</v>
      </c>
      <c r="D5" s="7">
        <v>210000</v>
      </c>
      <c r="E5" s="7">
        <v>70000</v>
      </c>
      <c r="F5" s="7">
        <v>10000</v>
      </c>
      <c r="G5" s="7">
        <v>48930</v>
      </c>
      <c r="H5" s="7">
        <v>20000</v>
      </c>
      <c r="I5" s="7">
        <v>30</v>
      </c>
      <c r="J5" s="10">
        <f>SUMIFS(Daily_Data[OTA Commision],Daily_Data[Month_key],Expense_master[[#This Row],[Month_Key]])</f>
        <v>107825.52</v>
      </c>
      <c r="K5" s="10">
        <f>Expense_master[[#This Row],[Monthly_Rent]]+Expense_master[[#This Row],[Staff_Salary]]+Expense_master[[#This Row],[Housekeeping_Laundy]]+Expense_master[[#This Row],[Electicity_Bill]]+Expense_master[[#This Row],[Monthly_Maintenance]]+Expense_master[[#This Row],[OTA_Commission]]</f>
        <v>466755.52</v>
      </c>
    </row>
    <row r="6" spans="1:14" x14ac:dyDescent="0.25">
      <c r="A6" s="7" t="s">
        <v>6</v>
      </c>
      <c r="B6" s="7">
        <v>2023</v>
      </c>
      <c r="C6" s="20">
        <f>DATE(Expense_master[[#This Row],[Year]],
      MATCH(Expense_master[[#This Row],[Month]],{"Jan","Feb","Mar","Apr","May","Jun","Jul","Aug","Sep","Oct","Nov","Dec"},0),
      1)</f>
        <v>45047</v>
      </c>
      <c r="D6" s="7">
        <v>210000</v>
      </c>
      <c r="E6" s="7">
        <v>70000</v>
      </c>
      <c r="F6" s="7">
        <v>10000</v>
      </c>
      <c r="G6" s="7">
        <v>51290</v>
      </c>
      <c r="H6" s="7">
        <v>20000</v>
      </c>
      <c r="I6" s="7">
        <v>31</v>
      </c>
      <c r="J6" s="10">
        <f>SUMIFS(Daily_Data[OTA Commision],Daily_Data[Month_key],Expense_master[[#This Row],[Month_Key]])</f>
        <v>120000.98</v>
      </c>
      <c r="K6" s="10">
        <f>Expense_master[[#This Row],[Monthly_Rent]]+Expense_master[[#This Row],[Staff_Salary]]+Expense_master[[#This Row],[Housekeeping_Laundy]]+Expense_master[[#This Row],[Electicity_Bill]]+Expense_master[[#This Row],[Monthly_Maintenance]]+Expense_master[[#This Row],[OTA_Commission]]</f>
        <v>481290.98</v>
      </c>
    </row>
    <row r="7" spans="1:14" x14ac:dyDescent="0.25">
      <c r="A7" s="7" t="s">
        <v>7</v>
      </c>
      <c r="B7" s="7">
        <v>2023</v>
      </c>
      <c r="C7" s="20">
        <f>DATE(Expense_master[[#This Row],[Year]],
      MATCH(Expense_master[[#This Row],[Month]],{"Jan","Feb","Mar","Apr","May","Jun","Jul","Aug","Sep","Oct","Nov","Dec"},0),
      1)</f>
        <v>45078</v>
      </c>
      <c r="D7" s="7">
        <v>210000</v>
      </c>
      <c r="E7" s="7">
        <v>70000</v>
      </c>
      <c r="F7" s="7">
        <v>10000</v>
      </c>
      <c r="G7" s="7">
        <v>48418</v>
      </c>
      <c r="H7" s="7">
        <v>20000</v>
      </c>
      <c r="I7" s="7">
        <v>30</v>
      </c>
      <c r="J7" s="10">
        <f>SUMIFS(Daily_Data[OTA Commision],Daily_Data[Month_key],Expense_master[[#This Row],[Month_Key]])</f>
        <v>108739.84</v>
      </c>
      <c r="K7" s="10">
        <f>Expense_master[[#This Row],[Monthly_Rent]]+Expense_master[[#This Row],[Staff_Salary]]+Expense_master[[#This Row],[Housekeeping_Laundy]]+Expense_master[[#This Row],[Electicity_Bill]]+Expense_master[[#This Row],[Monthly_Maintenance]]+Expense_master[[#This Row],[OTA_Commission]]</f>
        <v>467157.83999999997</v>
      </c>
    </row>
    <row r="8" spans="1:14" x14ac:dyDescent="0.25">
      <c r="A8" s="7" t="s">
        <v>8</v>
      </c>
      <c r="B8" s="7">
        <v>2023</v>
      </c>
      <c r="C8" s="20">
        <f>DATE(Expense_master[[#This Row],[Year]],
      MATCH(Expense_master[[#This Row],[Month]],{"Jan","Feb","Mar","Apr","May","Jun","Jul","Aug","Sep","Oct","Nov","Dec"},0),
      1)</f>
        <v>45108</v>
      </c>
      <c r="D8" s="7">
        <v>210000</v>
      </c>
      <c r="E8" s="7">
        <v>70000</v>
      </c>
      <c r="F8" s="7">
        <v>10000</v>
      </c>
      <c r="G8" s="7">
        <v>51567</v>
      </c>
      <c r="H8" s="7">
        <v>20000</v>
      </c>
      <c r="I8" s="7">
        <v>31</v>
      </c>
      <c r="J8" s="10">
        <f>SUMIFS(Daily_Data[OTA Commision],Daily_Data[Month_key],Expense_master[[#This Row],[Month_Key]])</f>
        <v>116433.90000000001</v>
      </c>
      <c r="K8" s="10">
        <f>Expense_master[[#This Row],[Monthly_Rent]]+Expense_master[[#This Row],[Staff_Salary]]+Expense_master[[#This Row],[Housekeeping_Laundy]]+Expense_master[[#This Row],[Electicity_Bill]]+Expense_master[[#This Row],[Monthly_Maintenance]]+Expense_master[[#This Row],[OTA_Commission]]</f>
        <v>478000.9</v>
      </c>
    </row>
    <row r="9" spans="1:14" x14ac:dyDescent="0.25">
      <c r="A9" s="7" t="s">
        <v>9</v>
      </c>
      <c r="B9" s="7">
        <v>2023</v>
      </c>
      <c r="C9" s="20">
        <f>DATE(Expense_master[[#This Row],[Year]],
      MATCH(Expense_master[[#This Row],[Month]],{"Jan","Feb","Mar","Apr","May","Jun","Jul","Aug","Sep","Oct","Nov","Dec"},0),
      1)</f>
        <v>45139</v>
      </c>
      <c r="D9" s="7">
        <v>210000</v>
      </c>
      <c r="E9" s="7">
        <v>70000</v>
      </c>
      <c r="F9" s="7">
        <v>10000</v>
      </c>
      <c r="G9" s="7">
        <v>50879</v>
      </c>
      <c r="H9" s="7">
        <v>20000</v>
      </c>
      <c r="I9" s="7">
        <v>31</v>
      </c>
      <c r="J9" s="10">
        <f>SUMIFS(Daily_Data[OTA Commision],Daily_Data[Month_key],Expense_master[[#This Row],[Month_Key]])</f>
        <v>107848.62</v>
      </c>
      <c r="K9" s="10">
        <f>Expense_master[[#This Row],[Monthly_Rent]]+Expense_master[[#This Row],[Staff_Salary]]+Expense_master[[#This Row],[Housekeeping_Laundy]]+Expense_master[[#This Row],[Electicity_Bill]]+Expense_master[[#This Row],[Monthly_Maintenance]]+Expense_master[[#This Row],[OTA_Commission]]</f>
        <v>468727.62</v>
      </c>
    </row>
    <row r="10" spans="1:14" x14ac:dyDescent="0.25">
      <c r="A10" s="7" t="s">
        <v>10</v>
      </c>
      <c r="B10" s="7">
        <v>2023</v>
      </c>
      <c r="C10" s="20">
        <f>DATE(Expense_master[[#This Row],[Year]],
      MATCH(Expense_master[[#This Row],[Month]],{"Jan","Feb","Mar","Apr","May","Jun","Jul","Aug","Sep","Oct","Nov","Dec"},0),
      1)</f>
        <v>45170</v>
      </c>
      <c r="D10" s="7">
        <v>210000</v>
      </c>
      <c r="E10" s="7">
        <v>70000</v>
      </c>
      <c r="F10" s="7">
        <v>10000</v>
      </c>
      <c r="G10" s="7">
        <v>53333</v>
      </c>
      <c r="H10" s="7">
        <v>20000</v>
      </c>
      <c r="I10" s="7">
        <v>30</v>
      </c>
      <c r="J10" s="10">
        <f>SUMIFS(Daily_Data[OTA Commision],Daily_Data[Month_key],Expense_master[[#This Row],[Month_Key]])</f>
        <v>109157.17999999996</v>
      </c>
      <c r="K10" s="10">
        <f>Expense_master[[#This Row],[Monthly_Rent]]+Expense_master[[#This Row],[Staff_Salary]]+Expense_master[[#This Row],[Housekeeping_Laundy]]+Expense_master[[#This Row],[Electicity_Bill]]+Expense_master[[#This Row],[Monthly_Maintenance]]+Expense_master[[#This Row],[OTA_Commission]]</f>
        <v>472490.17999999993</v>
      </c>
      <c r="N10" s="11"/>
    </row>
    <row r="11" spans="1:14" x14ac:dyDescent="0.25">
      <c r="A11" s="7" t="s">
        <v>11</v>
      </c>
      <c r="B11" s="7">
        <v>2023</v>
      </c>
      <c r="C11" s="20">
        <f>DATE(Expense_master[[#This Row],[Year]],
      MATCH(Expense_master[[#This Row],[Month]],{"Jan","Feb","Mar","Apr","May","Jun","Jul","Aug","Sep","Oct","Nov","Dec"},0),
      1)</f>
        <v>45200</v>
      </c>
      <c r="D11" s="7">
        <v>210000</v>
      </c>
      <c r="E11" s="7">
        <v>70000</v>
      </c>
      <c r="F11" s="7">
        <v>10000</v>
      </c>
      <c r="G11" s="7">
        <v>51849</v>
      </c>
      <c r="H11" s="7">
        <v>20000</v>
      </c>
      <c r="I11" s="7">
        <v>31</v>
      </c>
      <c r="J11" s="10">
        <f>SUMIFS(Daily_Data[OTA Commision],Daily_Data[Month_key],Expense_master[[#This Row],[Month_Key]])</f>
        <v>113283.49999999999</v>
      </c>
      <c r="K11" s="10">
        <f>Expense_master[[#This Row],[Monthly_Rent]]+Expense_master[[#This Row],[Staff_Salary]]+Expense_master[[#This Row],[Housekeeping_Laundy]]+Expense_master[[#This Row],[Electicity_Bill]]+Expense_master[[#This Row],[Monthly_Maintenance]]+Expense_master[[#This Row],[OTA_Commission]]</f>
        <v>475132.5</v>
      </c>
      <c r="N11" s="11"/>
    </row>
    <row r="12" spans="1:14" x14ac:dyDescent="0.25">
      <c r="A12" s="7" t="s">
        <v>12</v>
      </c>
      <c r="B12" s="7">
        <v>2023</v>
      </c>
      <c r="C12" s="20">
        <f>DATE(Expense_master[[#This Row],[Year]],
      MATCH(Expense_master[[#This Row],[Month]],{"Jan","Feb","Mar","Apr","May","Jun","Jul","Aug","Sep","Oct","Nov","Dec"},0),
      1)</f>
        <v>45231</v>
      </c>
      <c r="D12" s="7">
        <v>210000</v>
      </c>
      <c r="E12" s="7">
        <v>70000</v>
      </c>
      <c r="F12" s="7">
        <v>10000</v>
      </c>
      <c r="G12" s="7">
        <v>52319</v>
      </c>
      <c r="H12" s="7">
        <v>20000</v>
      </c>
      <c r="I12" s="7">
        <v>30</v>
      </c>
      <c r="J12" s="10">
        <f>SUMIFS(Daily_Data[OTA Commision],Daily_Data[Month_key],Expense_master[[#This Row],[Month_Key]])</f>
        <v>110210.98000000003</v>
      </c>
      <c r="K12" s="10">
        <f>Expense_master[[#This Row],[Monthly_Rent]]+Expense_master[[#This Row],[Staff_Salary]]+Expense_master[[#This Row],[Housekeeping_Laundy]]+Expense_master[[#This Row],[Electicity_Bill]]+Expense_master[[#This Row],[Monthly_Maintenance]]+Expense_master[[#This Row],[OTA_Commission]]</f>
        <v>472529.98000000004</v>
      </c>
      <c r="N12" s="11"/>
    </row>
    <row r="13" spans="1:14" x14ac:dyDescent="0.25">
      <c r="A13" s="7" t="s">
        <v>13</v>
      </c>
      <c r="B13" s="7">
        <v>2023</v>
      </c>
      <c r="C13" s="20">
        <f>DATE(Expense_master[[#This Row],[Year]],
      MATCH(Expense_master[[#This Row],[Month]],{"Jan","Feb","Mar","Apr","May","Jun","Jul","Aug","Sep","Oct","Nov","Dec"},0),
      1)</f>
        <v>45261</v>
      </c>
      <c r="D13" s="7">
        <v>210000</v>
      </c>
      <c r="E13" s="7">
        <v>70000</v>
      </c>
      <c r="F13" s="7">
        <v>10000</v>
      </c>
      <c r="G13" s="7">
        <v>49939</v>
      </c>
      <c r="H13" s="7">
        <v>20000</v>
      </c>
      <c r="I13" s="7">
        <v>31</v>
      </c>
      <c r="J13" s="10">
        <f>SUMIFS(Daily_Data[OTA Commision],Daily_Data[Month_key],Expense_master[[#This Row],[Month_Key]])</f>
        <v>109401.37999999998</v>
      </c>
      <c r="K13" s="10">
        <f>Expense_master[[#This Row],[Monthly_Rent]]+Expense_master[[#This Row],[Staff_Salary]]+Expense_master[[#This Row],[Housekeeping_Laundy]]+Expense_master[[#This Row],[Electicity_Bill]]+Expense_master[[#This Row],[Monthly_Maintenance]]+Expense_master[[#This Row],[OTA_Commission]]</f>
        <v>469340.38</v>
      </c>
    </row>
    <row r="14" spans="1:14" x14ac:dyDescent="0.25">
      <c r="A14" s="7" t="s">
        <v>2</v>
      </c>
      <c r="B14" s="7">
        <v>2024</v>
      </c>
      <c r="C14" s="20">
        <f>DATE(Expense_master[[#This Row],[Year]],
      MATCH(Expense_master[[#This Row],[Month]],{"Jan","Feb","Mar","Apr","May","Jun","Jul","Aug","Sep","Oct","Nov","Dec"},0),
      1)</f>
        <v>45292</v>
      </c>
      <c r="D14" s="7">
        <v>210000</v>
      </c>
      <c r="E14" s="7">
        <v>70000</v>
      </c>
      <c r="F14" s="7">
        <v>10000</v>
      </c>
      <c r="G14" s="7">
        <v>54280</v>
      </c>
      <c r="H14" s="7">
        <v>20000</v>
      </c>
      <c r="I14" s="7">
        <v>31</v>
      </c>
      <c r="J14" s="10">
        <f>SUMIFS(Daily_Data[OTA Commision],Daily_Data[Month_key],Expense_master[[#This Row],[Month_Key]])</f>
        <v>109641.61999999998</v>
      </c>
      <c r="K14" s="10">
        <f>Expense_master[[#This Row],[Monthly_Rent]]+Expense_master[[#This Row],[Staff_Salary]]+Expense_master[[#This Row],[Housekeeping_Laundy]]+Expense_master[[#This Row],[Electicity_Bill]]+Expense_master[[#This Row],[Monthly_Maintenance]]+Expense_master[[#This Row],[OTA_Commission]]</f>
        <v>473921.62</v>
      </c>
    </row>
    <row r="15" spans="1:14" x14ac:dyDescent="0.25">
      <c r="A15" s="7" t="s">
        <v>3</v>
      </c>
      <c r="B15" s="7">
        <v>2024</v>
      </c>
      <c r="C15" s="20">
        <f>DATE(Expense_master[[#This Row],[Year]],
      MATCH(Expense_master[[#This Row],[Month]],{"Jan","Feb","Mar","Apr","May","Jun","Jul","Aug","Sep","Oct","Nov","Dec"},0),
      1)</f>
        <v>45323</v>
      </c>
      <c r="D15" s="7">
        <v>210000</v>
      </c>
      <c r="E15" s="7">
        <v>70000</v>
      </c>
      <c r="F15" s="7">
        <v>10000</v>
      </c>
      <c r="G15" s="7">
        <v>50216</v>
      </c>
      <c r="H15" s="7">
        <v>20000</v>
      </c>
      <c r="I15" s="7">
        <v>29</v>
      </c>
      <c r="J15" s="10">
        <f>SUMIFS(Daily_Data[OTA Commision],Daily_Data[Month_key],Expense_master[[#This Row],[Month_Key]])</f>
        <v>94197.180000000008</v>
      </c>
      <c r="K15" s="10">
        <f>Expense_master[[#This Row],[Monthly_Rent]]+Expense_master[[#This Row],[Staff_Salary]]+Expense_master[[#This Row],[Housekeeping_Laundy]]+Expense_master[[#This Row],[Electicity_Bill]]+Expense_master[[#This Row],[Monthly_Maintenance]]+Expense_master[[#This Row],[OTA_Commission]]</f>
        <v>454413.18</v>
      </c>
    </row>
    <row r="16" spans="1:14" x14ac:dyDescent="0.25">
      <c r="A16" s="7" t="s">
        <v>4</v>
      </c>
      <c r="B16" s="7">
        <v>2024</v>
      </c>
      <c r="C16" s="20">
        <f>DATE(Expense_master[[#This Row],[Year]],
      MATCH(Expense_master[[#This Row],[Month]],{"Jan","Feb","Mar","Apr","May","Jun","Jul","Aug","Sep","Oct","Nov","Dec"},0),
      1)</f>
        <v>45352</v>
      </c>
      <c r="D16" s="7">
        <v>210000</v>
      </c>
      <c r="E16" s="7">
        <v>70000</v>
      </c>
      <c r="F16" s="7">
        <v>10000</v>
      </c>
      <c r="G16" s="7">
        <v>53242</v>
      </c>
      <c r="H16" s="7">
        <v>20000</v>
      </c>
      <c r="I16" s="7">
        <v>31</v>
      </c>
      <c r="J16" s="10">
        <f>SUMIFS(Daily_Data[OTA Commision],Daily_Data[Month_key],Expense_master[[#This Row],[Month_Key]])</f>
        <v>108960.28000000001</v>
      </c>
      <c r="K16" s="10">
        <f>Expense_master[[#This Row],[Monthly_Rent]]+Expense_master[[#This Row],[Staff_Salary]]+Expense_master[[#This Row],[Housekeeping_Laundy]]+Expense_master[[#This Row],[Electicity_Bill]]+Expense_master[[#This Row],[Monthly_Maintenance]]+Expense_master[[#This Row],[OTA_Commission]]</f>
        <v>472202.28</v>
      </c>
    </row>
    <row r="17" spans="1:11" x14ac:dyDescent="0.25">
      <c r="A17" s="7" t="s">
        <v>5</v>
      </c>
      <c r="B17" s="7">
        <v>2024</v>
      </c>
      <c r="C17" s="20">
        <f>DATE(Expense_master[[#This Row],[Year]],
      MATCH(Expense_master[[#This Row],[Month]],{"Jan","Feb","Mar","Apr","May","Jun","Jul","Aug","Sep","Oct","Nov","Dec"},0),
      1)</f>
        <v>45383</v>
      </c>
      <c r="D17" s="7">
        <v>250000</v>
      </c>
      <c r="E17" s="7">
        <v>70000</v>
      </c>
      <c r="F17" s="7">
        <v>10000</v>
      </c>
      <c r="G17" s="7">
        <v>52280</v>
      </c>
      <c r="H17" s="7">
        <v>20000</v>
      </c>
      <c r="I17" s="7">
        <v>30</v>
      </c>
      <c r="J17" s="10">
        <f>SUMIFS(Daily_Data[OTA Commision],Daily_Data[Month_key],Expense_master[[#This Row],[Month_Key]])</f>
        <v>110386.1</v>
      </c>
      <c r="K17" s="10">
        <f>Expense_master[[#This Row],[Monthly_Rent]]+Expense_master[[#This Row],[Staff_Salary]]+Expense_master[[#This Row],[Housekeeping_Laundy]]+Expense_master[[#This Row],[Electicity_Bill]]+Expense_master[[#This Row],[Monthly_Maintenance]]+Expense_master[[#This Row],[OTA_Commission]]</f>
        <v>512666.1</v>
      </c>
    </row>
    <row r="18" spans="1:11" x14ac:dyDescent="0.25">
      <c r="A18" s="7" t="s">
        <v>6</v>
      </c>
      <c r="B18" s="7">
        <v>2024</v>
      </c>
      <c r="C18" s="20">
        <f>DATE(Expense_master[[#This Row],[Year]],
      MATCH(Expense_master[[#This Row],[Month]],{"Jan","Feb","Mar","Apr","May","Jun","Jul","Aug","Sep","Oct","Nov","Dec"},0),
      1)</f>
        <v>45413</v>
      </c>
      <c r="D18" s="7">
        <v>250000</v>
      </c>
      <c r="E18" s="7">
        <v>70000</v>
      </c>
      <c r="F18" s="7">
        <v>10000</v>
      </c>
      <c r="G18" s="7">
        <v>55000</v>
      </c>
      <c r="H18" s="7">
        <v>20000</v>
      </c>
      <c r="I18" s="7">
        <v>31</v>
      </c>
      <c r="J18" s="10">
        <f>SUMIFS(Daily_Data[OTA Commision],Daily_Data[Month_key],Expense_master[[#This Row],[Month_Key]])</f>
        <v>106260</v>
      </c>
      <c r="K18" s="10">
        <f>Expense_master[[#This Row],[Monthly_Rent]]+Expense_master[[#This Row],[Staff_Salary]]+Expense_master[[#This Row],[Housekeeping_Laundy]]+Expense_master[[#This Row],[Electicity_Bill]]+Expense_master[[#This Row],[Monthly_Maintenance]]+Expense_master[[#This Row],[OTA_Commission]]</f>
        <v>511260</v>
      </c>
    </row>
    <row r="19" spans="1:11" x14ac:dyDescent="0.25">
      <c r="A19" s="7" t="s">
        <v>7</v>
      </c>
      <c r="B19" s="7">
        <v>2024</v>
      </c>
      <c r="C19" s="20">
        <f>DATE(Expense_master[[#This Row],[Year]],
      MATCH(Expense_master[[#This Row],[Month]],{"Jan","Feb","Mar","Apr","May","Jun","Jul","Aug","Sep","Oct","Nov","Dec"},0),
      1)</f>
        <v>45444</v>
      </c>
      <c r="D19" s="7">
        <v>250000</v>
      </c>
      <c r="E19" s="7">
        <v>70000</v>
      </c>
      <c r="F19" s="7">
        <v>10000</v>
      </c>
      <c r="G19" s="7">
        <v>48495</v>
      </c>
      <c r="H19" s="7">
        <v>20000</v>
      </c>
      <c r="I19" s="7">
        <v>30</v>
      </c>
      <c r="J19" s="10">
        <f>SUMIFS(Daily_Data[OTA Commision],Daily_Data[Month_key],Expense_master[[#This Row],[Month_Key]])</f>
        <v>114911.06000000003</v>
      </c>
      <c r="K19" s="10">
        <f>Expense_master[[#This Row],[Monthly_Rent]]+Expense_master[[#This Row],[Staff_Salary]]+Expense_master[[#This Row],[Housekeeping_Laundy]]+Expense_master[[#This Row],[Electicity_Bill]]+Expense_master[[#This Row],[Monthly_Maintenance]]+Expense_master[[#This Row],[OTA_Commission]]</f>
        <v>513406.06000000006</v>
      </c>
    </row>
    <row r="20" spans="1:11" x14ac:dyDescent="0.25">
      <c r="A20" s="7" t="s">
        <v>8</v>
      </c>
      <c r="B20" s="7">
        <v>2024</v>
      </c>
      <c r="C20" s="20">
        <f>DATE(Expense_master[[#This Row],[Year]],
      MATCH(Expense_master[[#This Row],[Month]],{"Jan","Feb","Mar","Apr","May","Jun","Jul","Aug","Sep","Oct","Nov","Dec"},0),
      1)</f>
        <v>45474</v>
      </c>
      <c r="D20" s="7">
        <v>250000</v>
      </c>
      <c r="E20" s="7">
        <v>70000</v>
      </c>
      <c r="F20" s="7">
        <v>10000</v>
      </c>
      <c r="G20" s="7">
        <v>51778</v>
      </c>
      <c r="H20" s="7">
        <v>20000</v>
      </c>
      <c r="I20" s="7">
        <v>31</v>
      </c>
      <c r="J20" s="10">
        <f>SUMIFS(Daily_Data[OTA Commision],Daily_Data[Month_key],Expense_master[[#This Row],[Month_Key]])</f>
        <v>107427.32</v>
      </c>
      <c r="K20" s="10">
        <f>Expense_master[[#This Row],[Monthly_Rent]]+Expense_master[[#This Row],[Staff_Salary]]+Expense_master[[#This Row],[Housekeeping_Laundy]]+Expense_master[[#This Row],[Electicity_Bill]]+Expense_master[[#This Row],[Monthly_Maintenance]]+Expense_master[[#This Row],[OTA_Commission]]</f>
        <v>509205.32</v>
      </c>
    </row>
    <row r="21" spans="1:11" x14ac:dyDescent="0.25">
      <c r="A21" s="7" t="s">
        <v>9</v>
      </c>
      <c r="B21" s="7">
        <v>2024</v>
      </c>
      <c r="C21" s="20">
        <f>DATE(Expense_master[[#This Row],[Year]],
      MATCH(Expense_master[[#This Row],[Month]],{"Jan","Feb","Mar","Apr","May","Jun","Jul","Aug","Sep","Oct","Nov","Dec"},0),
      1)</f>
        <v>45505</v>
      </c>
      <c r="D21" s="7">
        <v>250000</v>
      </c>
      <c r="E21" s="7">
        <v>70000</v>
      </c>
      <c r="F21" s="7">
        <v>10000</v>
      </c>
      <c r="G21" s="7">
        <v>51111</v>
      </c>
      <c r="H21" s="7">
        <v>20000</v>
      </c>
      <c r="I21" s="7">
        <v>31</v>
      </c>
      <c r="J21" s="10">
        <f>SUMIFS(Daily_Data[OTA Commision],Daily_Data[Month_key],Expense_master[[#This Row],[Month_Key]])</f>
        <v>114579.08000000002</v>
      </c>
      <c r="K21" s="10">
        <f>Expense_master[[#This Row],[Monthly_Rent]]+Expense_master[[#This Row],[Staff_Salary]]+Expense_master[[#This Row],[Housekeeping_Laundy]]+Expense_master[[#This Row],[Electicity_Bill]]+Expense_master[[#This Row],[Monthly_Maintenance]]+Expense_master[[#This Row],[OTA_Commission]]</f>
        <v>515690.08</v>
      </c>
    </row>
    <row r="22" spans="1:11" x14ac:dyDescent="0.25">
      <c r="A22" s="7" t="s">
        <v>10</v>
      </c>
      <c r="B22" s="7">
        <v>2024</v>
      </c>
      <c r="C22" s="20">
        <f>DATE(Expense_master[[#This Row],[Year]],
      MATCH(Expense_master[[#This Row],[Month]],{"Jan","Feb","Mar","Apr","May","Jun","Jul","Aug","Sep","Oct","Nov","Dec"},0),
      1)</f>
        <v>45536</v>
      </c>
      <c r="D22" s="7">
        <v>250000</v>
      </c>
      <c r="E22" s="7">
        <v>70000</v>
      </c>
      <c r="F22" s="7">
        <v>10000</v>
      </c>
      <c r="G22" s="7">
        <v>50154</v>
      </c>
      <c r="H22" s="7">
        <v>20000</v>
      </c>
      <c r="I22" s="7">
        <v>30</v>
      </c>
      <c r="J22" s="10">
        <f>SUMIFS(Daily_Data[OTA Commision],Daily_Data[Month_key],Expense_master[[#This Row],[Month_Key]])</f>
        <v>108985.13999999996</v>
      </c>
      <c r="K22" s="10">
        <f>Expense_master[[#This Row],[Monthly_Rent]]+Expense_master[[#This Row],[Staff_Salary]]+Expense_master[[#This Row],[Housekeeping_Laundy]]+Expense_master[[#This Row],[Electicity_Bill]]+Expense_master[[#This Row],[Monthly_Maintenance]]+Expense_master[[#This Row],[OTA_Commission]]</f>
        <v>509139.13999999996</v>
      </c>
    </row>
    <row r="23" spans="1:11" x14ac:dyDescent="0.25">
      <c r="A23" s="7" t="s">
        <v>11</v>
      </c>
      <c r="B23" s="7">
        <v>2024</v>
      </c>
      <c r="C23" s="20">
        <f>DATE(Expense_master[[#This Row],[Year]],
      MATCH(Expense_master[[#This Row],[Month]],{"Jan","Feb","Mar","Apr","May","Jun","Jul","Aug","Sep","Oct","Nov","Dec"},0),
      1)</f>
        <v>45566</v>
      </c>
      <c r="D23" s="7">
        <v>250000</v>
      </c>
      <c r="E23" s="7">
        <v>70000</v>
      </c>
      <c r="F23" s="7">
        <v>10000</v>
      </c>
      <c r="G23" s="7">
        <v>49888</v>
      </c>
      <c r="H23" s="7">
        <v>20000</v>
      </c>
      <c r="I23" s="7">
        <v>31</v>
      </c>
      <c r="J23" s="10">
        <f>SUMIFS(Daily_Data[OTA Commision],Daily_Data[Month_key],Expense_master[[#This Row],[Month_Key]])</f>
        <v>109039.7</v>
      </c>
      <c r="K23" s="10">
        <f>Expense_master[[#This Row],[Monthly_Rent]]+Expense_master[[#This Row],[Staff_Salary]]+Expense_master[[#This Row],[Housekeeping_Laundy]]+Expense_master[[#This Row],[Electicity_Bill]]+Expense_master[[#This Row],[Monthly_Maintenance]]+Expense_master[[#This Row],[OTA_Commission]]</f>
        <v>508927.7</v>
      </c>
    </row>
    <row r="24" spans="1:11" x14ac:dyDescent="0.25">
      <c r="A24" s="7" t="s">
        <v>12</v>
      </c>
      <c r="B24" s="7">
        <v>2024</v>
      </c>
      <c r="C24" s="20">
        <f>DATE(Expense_master[[#This Row],[Year]],
      MATCH(Expense_master[[#This Row],[Month]],{"Jan","Feb","Mar","Apr","May","Jun","Jul","Aug","Sep","Oct","Nov","Dec"},0),
      1)</f>
        <v>45597</v>
      </c>
      <c r="D24" s="7">
        <v>250000</v>
      </c>
      <c r="E24" s="7">
        <v>70000</v>
      </c>
      <c r="F24" s="7">
        <v>10000</v>
      </c>
      <c r="G24" s="7">
        <v>50094</v>
      </c>
      <c r="H24" s="7">
        <v>20000</v>
      </c>
      <c r="I24" s="7">
        <v>30</v>
      </c>
      <c r="J24" s="10">
        <f>SUMIFS(Daily_Data[OTA Commision],Daily_Data[Month_key],Expense_master[[#This Row],[Month_Key]])</f>
        <v>111150.81999999999</v>
      </c>
      <c r="K24" s="10">
        <f>Expense_master[[#This Row],[Monthly_Rent]]+Expense_master[[#This Row],[Staff_Salary]]+Expense_master[[#This Row],[Housekeeping_Laundy]]+Expense_master[[#This Row],[Electicity_Bill]]+Expense_master[[#This Row],[Monthly_Maintenance]]+Expense_master[[#This Row],[OTA_Commission]]</f>
        <v>511244.82</v>
      </c>
    </row>
    <row r="25" spans="1:11" x14ac:dyDescent="0.25">
      <c r="A25" s="7" t="s">
        <v>13</v>
      </c>
      <c r="B25" s="7">
        <v>2024</v>
      </c>
      <c r="C25" s="20">
        <f>DATE(Expense_master[[#This Row],[Year]],
      MATCH(Expense_master[[#This Row],[Month]],{"Jan","Feb","Mar","Apr","May","Jun","Jul","Aug","Sep","Oct","Nov","Dec"},0),
      1)</f>
        <v>45627</v>
      </c>
      <c r="D25" s="7">
        <v>250000</v>
      </c>
      <c r="E25" s="7">
        <v>70000</v>
      </c>
      <c r="F25" s="7">
        <v>10000</v>
      </c>
      <c r="G25" s="7">
        <v>50687</v>
      </c>
      <c r="H25" s="7">
        <v>20000</v>
      </c>
      <c r="I25" s="7">
        <v>31</v>
      </c>
      <c r="J25" s="19">
        <f>SUMIFS(Daily_Data[OTA Commision],Daily_Data[Month_key],Expense_master[[#This Row],[Month_Key]])</f>
        <v>107587.91999999998</v>
      </c>
      <c r="K25" s="19">
        <f>Expense_master[[#This Row],[Monthly_Rent]]+Expense_master[[#This Row],[Staff_Salary]]+Expense_master[[#This Row],[Housekeeping_Laundy]]+Expense_master[[#This Row],[Electicity_Bill]]+Expense_master[[#This Row],[Monthly_Maintenance]]+Expense_master[[#This Row],[OTA_Commission]]</f>
        <v>508274.92</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185C-6D1A-4055-97F9-FCE75131B2E3}">
  <sheetPr codeName="Sheet3"/>
  <dimension ref="A1:D25"/>
  <sheetViews>
    <sheetView workbookViewId="0">
      <selection activeCell="H11" sqref="H11"/>
    </sheetView>
  </sheetViews>
  <sheetFormatPr defaultRowHeight="15" x14ac:dyDescent="0.25"/>
  <cols>
    <col min="3" max="3" width="19.85546875" customWidth="1"/>
    <col min="4" max="4" width="29.85546875" customWidth="1"/>
  </cols>
  <sheetData>
    <row r="1" spans="1:4" x14ac:dyDescent="0.25">
      <c r="A1" s="2" t="s">
        <v>0</v>
      </c>
      <c r="B1" s="2" t="s">
        <v>1</v>
      </c>
      <c r="C1" s="9" t="s">
        <v>32</v>
      </c>
      <c r="D1" t="s">
        <v>47</v>
      </c>
    </row>
    <row r="2" spans="1:4" x14ac:dyDescent="0.25">
      <c r="A2" s="3" t="s">
        <v>2</v>
      </c>
      <c r="B2" s="3">
        <v>2023</v>
      </c>
      <c r="C2" s="21">
        <f>DATE(Occupancy_table[[#This Row],[Year]],
      MATCH(Occupancy_table[[#This Row],[Month]],{"Jan","Feb","Mar","Apr","May","Jun","Jul","Aug","Sep","Oct","Nov","Dec"},0),1)</f>
        <v>44927</v>
      </c>
      <c r="D2">
        <f>SUMIFS(Daily_Data[[#All],[Rooms_Occupied]],Daily_Data[[#All],[Month_key]],Occupancy_table[[#All],[Month_Key]])</f>
        <v>358</v>
      </c>
    </row>
    <row r="3" spans="1:4" x14ac:dyDescent="0.25">
      <c r="A3" s="4" t="s">
        <v>3</v>
      </c>
      <c r="B3" s="4">
        <v>2023</v>
      </c>
      <c r="C3" s="22">
        <f>DATE(Occupancy_table[[#This Row],[Year]],
      MATCH(Occupancy_table[[#This Row],[Month]],{"Jan","Feb","Mar","Apr","May","Jun","Jul","Aug","Sep","Oct","Nov","Dec"},0),1)</f>
        <v>44958</v>
      </c>
      <c r="D3">
        <f>SUMIFS(Daily_Data[[#All],[Rooms_Occupied]],Daily_Data[[#All],[Month_key]],Occupancy_table[[#All],[Month_Key]])</f>
        <v>316</v>
      </c>
    </row>
    <row r="4" spans="1:4" x14ac:dyDescent="0.25">
      <c r="A4" s="3" t="s">
        <v>4</v>
      </c>
      <c r="B4" s="3">
        <v>2023</v>
      </c>
      <c r="C4" s="21">
        <f>DATE(Occupancy_table[[#This Row],[Year]],
      MATCH(Occupancy_table[[#This Row],[Month]],{"Jan","Feb","Mar","Apr","May","Jun","Jul","Aug","Sep","Oct","Nov","Dec"},0),1)</f>
        <v>44986</v>
      </c>
      <c r="D4">
        <f>SUMIFS(Daily_Data[[#All],[Rooms_Occupied]],Daily_Data[[#All],[Month_key]],Occupancy_table[[#All],[Month_Key]])</f>
        <v>342</v>
      </c>
    </row>
    <row r="5" spans="1:4" x14ac:dyDescent="0.25">
      <c r="A5" s="4" t="s">
        <v>5</v>
      </c>
      <c r="B5" s="4">
        <v>2023</v>
      </c>
      <c r="C5" s="22">
        <f>DATE(Occupancy_table[[#This Row],[Year]],
      MATCH(Occupancy_table[[#This Row],[Month]],{"Jan","Feb","Mar","Apr","May","Jun","Jul","Aug","Sep","Oct","Nov","Dec"},0),1)</f>
        <v>45017</v>
      </c>
      <c r="D5">
        <f>SUMIFS(Daily_Data[[#All],[Rooms_Occupied]],Daily_Data[[#All],[Month_key]],Occupancy_table[[#All],[Month_Key]])</f>
        <v>321</v>
      </c>
    </row>
    <row r="6" spans="1:4" x14ac:dyDescent="0.25">
      <c r="A6" s="3" t="s">
        <v>6</v>
      </c>
      <c r="B6" s="3">
        <v>2023</v>
      </c>
      <c r="C6" s="21">
        <f>DATE(Occupancy_table[[#This Row],[Year]],
      MATCH(Occupancy_table[[#This Row],[Month]],{"Jan","Feb","Mar","Apr","May","Jun","Jul","Aug","Sep","Oct","Nov","Dec"},0),1)</f>
        <v>45047</v>
      </c>
      <c r="D6">
        <f>SUMIFS(Daily_Data[[#All],[Rooms_Occupied]],Daily_Data[[#All],[Month_key]],Occupancy_table[[#All],[Month_Key]])</f>
        <v>364</v>
      </c>
    </row>
    <row r="7" spans="1:4" x14ac:dyDescent="0.25">
      <c r="A7" s="4" t="s">
        <v>7</v>
      </c>
      <c r="B7" s="4">
        <v>2023</v>
      </c>
      <c r="C7" s="22">
        <f>DATE(Occupancy_table[[#This Row],[Year]],
      MATCH(Occupancy_table[[#This Row],[Month]],{"Jan","Feb","Mar","Apr","May","Jun","Jul","Aug","Sep","Oct","Nov","Dec"},0),1)</f>
        <v>45078</v>
      </c>
      <c r="D7">
        <f>SUMIFS(Daily_Data[[#All],[Rooms_Occupied]],Daily_Data[[#All],[Month_key]],Occupancy_table[[#All],[Month_Key]])</f>
        <v>328</v>
      </c>
    </row>
    <row r="8" spans="1:4" x14ac:dyDescent="0.25">
      <c r="A8" s="3" t="s">
        <v>8</v>
      </c>
      <c r="B8" s="3">
        <v>2023</v>
      </c>
      <c r="C8" s="21">
        <f>DATE(Occupancy_table[[#This Row],[Year]],
      MATCH(Occupancy_table[[#This Row],[Month]],{"Jan","Feb","Mar","Apr","May","Jun","Jul","Aug","Sep","Oct","Nov","Dec"},0),1)</f>
        <v>45108</v>
      </c>
      <c r="D8">
        <f>SUMIFS(Daily_Data[[#All],[Rooms_Occupied]],Daily_Data[[#All],[Month_key]],Occupancy_table[[#All],[Month_Key]])</f>
        <v>333</v>
      </c>
    </row>
    <row r="9" spans="1:4" x14ac:dyDescent="0.25">
      <c r="A9" s="4" t="s">
        <v>9</v>
      </c>
      <c r="B9" s="4">
        <v>2023</v>
      </c>
      <c r="C9" s="22">
        <f>DATE(Occupancy_table[[#This Row],[Year]],
      MATCH(Occupancy_table[[#This Row],[Month]],{"Jan","Feb","Mar","Apr","May","Jun","Jul","Aug","Sep","Oct","Nov","Dec"},0),1)</f>
        <v>45139</v>
      </c>
      <c r="D9">
        <f>SUMIFS(Daily_Data[[#All],[Rooms_Occupied]],Daily_Data[[#All],[Month_key]],Occupancy_table[[#All],[Month_Key]])</f>
        <v>338</v>
      </c>
    </row>
    <row r="10" spans="1:4" x14ac:dyDescent="0.25">
      <c r="A10" s="3" t="s">
        <v>10</v>
      </c>
      <c r="B10" s="3">
        <v>2023</v>
      </c>
      <c r="C10" s="21">
        <f>DATE(Occupancy_table[[#This Row],[Year]],
      MATCH(Occupancy_table[[#This Row],[Month]],{"Jan","Feb","Mar","Apr","May","Jun","Jul","Aug","Sep","Oct","Nov","Dec"},0),1)</f>
        <v>45170</v>
      </c>
      <c r="D10">
        <f>SUMIFS(Daily_Data[[#All],[Rooms_Occupied]],Daily_Data[[#All],[Month_key]],Occupancy_table[[#All],[Month_Key]])</f>
        <v>330</v>
      </c>
    </row>
    <row r="11" spans="1:4" x14ac:dyDescent="0.25">
      <c r="A11" s="4" t="s">
        <v>11</v>
      </c>
      <c r="B11" s="4">
        <v>2023</v>
      </c>
      <c r="C11" s="22">
        <f>DATE(Occupancy_table[[#This Row],[Year]],
      MATCH(Occupancy_table[[#This Row],[Month]],{"Jan","Feb","Mar","Apr","May","Jun","Jul","Aug","Sep","Oct","Nov","Dec"},0),1)</f>
        <v>45200</v>
      </c>
      <c r="D11">
        <f>SUMIFS(Daily_Data[[#All],[Rooms_Occupied]],Daily_Data[[#All],[Month_key]],Occupancy_table[[#All],[Month_Key]])</f>
        <v>336</v>
      </c>
    </row>
    <row r="12" spans="1:4" x14ac:dyDescent="0.25">
      <c r="A12" s="3" t="s">
        <v>12</v>
      </c>
      <c r="B12" s="3">
        <v>2023</v>
      </c>
      <c r="C12" s="21">
        <f>DATE(Occupancy_table[[#This Row],[Year]],
      MATCH(Occupancy_table[[#This Row],[Month]],{"Jan","Feb","Mar","Apr","May","Jun","Jul","Aug","Sep","Oct","Nov","Dec"},0),1)</f>
        <v>45231</v>
      </c>
      <c r="D12">
        <f>SUMIFS(Daily_Data[[#All],[Rooms_Occupied]],Daily_Data[[#All],[Month_key]],Occupancy_table[[#All],[Month_Key]])</f>
        <v>340</v>
      </c>
    </row>
    <row r="13" spans="1:4" x14ac:dyDescent="0.25">
      <c r="A13" s="4" t="s">
        <v>13</v>
      </c>
      <c r="B13" s="4">
        <v>2023</v>
      </c>
      <c r="C13" s="22">
        <f>DATE(Occupancy_table[[#This Row],[Year]],
      MATCH(Occupancy_table[[#This Row],[Month]],{"Jan","Feb","Mar","Apr","May","Jun","Jul","Aug","Sep","Oct","Nov","Dec"},0),1)</f>
        <v>45261</v>
      </c>
      <c r="D13">
        <f>SUMIFS(Daily_Data[[#All],[Rooms_Occupied]],Daily_Data[[#All],[Month_key]],Occupancy_table[[#All],[Month_Key]])</f>
        <v>333</v>
      </c>
    </row>
    <row r="14" spans="1:4" x14ac:dyDescent="0.25">
      <c r="A14" s="3" t="s">
        <v>2</v>
      </c>
      <c r="B14" s="3">
        <v>2024</v>
      </c>
      <c r="C14" s="21">
        <f>DATE(Occupancy_table[[#This Row],[Year]],
      MATCH(Occupancy_table[[#This Row],[Month]],{"Jan","Feb","Mar","Apr","May","Jun","Jul","Aug","Sep","Oct","Nov","Dec"},0),1)</f>
        <v>45292</v>
      </c>
      <c r="D14">
        <f>SUMIFS(Daily_Data[[#All],[Rooms_Occupied]],Daily_Data[[#All],[Month_key]],Occupancy_table[[#All],[Month_Key]])</f>
        <v>319</v>
      </c>
    </row>
    <row r="15" spans="1:4" x14ac:dyDescent="0.25">
      <c r="A15" s="4" t="s">
        <v>3</v>
      </c>
      <c r="B15" s="4">
        <v>2024</v>
      </c>
      <c r="C15" s="22">
        <f>DATE(Occupancy_table[[#This Row],[Year]],
      MATCH(Occupancy_table[[#This Row],[Month]],{"Jan","Feb","Mar","Apr","May","Jun","Jul","Aug","Sep","Oct","Nov","Dec"},0),1)</f>
        <v>45323</v>
      </c>
      <c r="D15">
        <f>SUMIFS(Daily_Data[[#All],[Rooms_Occupied]],Daily_Data[[#All],[Month_key]],Occupancy_table[[#All],[Month_Key]])</f>
        <v>301</v>
      </c>
    </row>
    <row r="16" spans="1:4" x14ac:dyDescent="0.25">
      <c r="A16" s="3" t="s">
        <v>4</v>
      </c>
      <c r="B16" s="3">
        <v>2024</v>
      </c>
      <c r="C16" s="21">
        <f>DATE(Occupancy_table[[#This Row],[Year]],
      MATCH(Occupancy_table[[#This Row],[Month]],{"Jan","Feb","Mar","Apr","May","Jun","Jul","Aug","Sep","Oct","Nov","Dec"},0),1)</f>
        <v>45352</v>
      </c>
      <c r="D16">
        <f>SUMIFS(Daily_Data[[#All],[Rooms_Occupied]],Daily_Data[[#All],[Month_key]],Occupancy_table[[#All],[Month_Key]])</f>
        <v>335</v>
      </c>
    </row>
    <row r="17" spans="1:4" x14ac:dyDescent="0.25">
      <c r="A17" s="4" t="s">
        <v>5</v>
      </c>
      <c r="B17" s="4">
        <v>2024</v>
      </c>
      <c r="C17" s="22">
        <f>DATE(Occupancy_table[[#This Row],[Year]],
      MATCH(Occupancy_table[[#This Row],[Month]],{"Jan","Feb","Mar","Apr","May","Jun","Jul","Aug","Sep","Oct","Nov","Dec"},0),1)</f>
        <v>45383</v>
      </c>
      <c r="D17">
        <f>SUMIFS(Daily_Data[[#All],[Rooms_Occupied]],Daily_Data[[#All],[Month_key]],Occupancy_table[[#All],[Month_Key]])</f>
        <v>331</v>
      </c>
    </row>
    <row r="18" spans="1:4" x14ac:dyDescent="0.25">
      <c r="A18" s="3" t="s">
        <v>6</v>
      </c>
      <c r="B18" s="3">
        <v>2024</v>
      </c>
      <c r="C18" s="21">
        <f>DATE(Occupancy_table[[#This Row],[Year]],
      MATCH(Occupancy_table[[#This Row],[Month]],{"Jan","Feb","Mar","Apr","May","Jun","Jul","Aug","Sep","Oct","Nov","Dec"},0),1)</f>
        <v>45413</v>
      </c>
      <c r="D18">
        <f>SUMIFS(Daily_Data[[#All],[Rooms_Occupied]],Daily_Data[[#All],[Month_key]],Occupancy_table[[#All],[Month_Key]])</f>
        <v>326</v>
      </c>
    </row>
    <row r="19" spans="1:4" x14ac:dyDescent="0.25">
      <c r="A19" s="4" t="s">
        <v>7</v>
      </c>
      <c r="B19" s="4">
        <v>2024</v>
      </c>
      <c r="C19" s="22">
        <f>DATE(Occupancy_table[[#This Row],[Year]],
      MATCH(Occupancy_table[[#This Row],[Month]],{"Jan","Feb","Mar","Apr","May","Jun","Jul","Aug","Sep","Oct","Nov","Dec"},0),1)</f>
        <v>45444</v>
      </c>
      <c r="D19">
        <f>SUMIFS(Daily_Data[[#All],[Rooms_Occupied]],Daily_Data[[#All],[Month_key]],Occupancy_table[[#All],[Month_Key]])</f>
        <v>334</v>
      </c>
    </row>
    <row r="20" spans="1:4" x14ac:dyDescent="0.25">
      <c r="A20" s="3" t="s">
        <v>8</v>
      </c>
      <c r="B20" s="3">
        <v>2024</v>
      </c>
      <c r="C20" s="21">
        <f>DATE(Occupancy_table[[#This Row],[Year]],
      MATCH(Occupancy_table[[#This Row],[Month]],{"Jan","Feb","Mar","Apr","May","Jun","Jul","Aug","Sep","Oct","Nov","Dec"},0),1)</f>
        <v>45474</v>
      </c>
      <c r="D20">
        <f>SUMIFS(Daily_Data[[#All],[Rooms_Occupied]],Daily_Data[[#All],[Month_key]],Occupancy_table[[#All],[Month_Key]])</f>
        <v>331</v>
      </c>
    </row>
    <row r="21" spans="1:4" x14ac:dyDescent="0.25">
      <c r="A21" s="4" t="s">
        <v>9</v>
      </c>
      <c r="B21" s="4">
        <v>2024</v>
      </c>
      <c r="C21" s="22">
        <f>DATE(Occupancy_table[[#This Row],[Year]],
      MATCH(Occupancy_table[[#This Row],[Month]],{"Jan","Feb","Mar","Apr","May","Jun","Jul","Aug","Sep","Oct","Nov","Dec"},0),1)</f>
        <v>45505</v>
      </c>
      <c r="D21">
        <f>SUMIFS(Daily_Data[[#All],[Rooms_Occupied]],Daily_Data[[#All],[Month_key]],Occupancy_table[[#All],[Month_Key]])</f>
        <v>332</v>
      </c>
    </row>
    <row r="22" spans="1:4" x14ac:dyDescent="0.25">
      <c r="A22" s="3" t="s">
        <v>10</v>
      </c>
      <c r="B22" s="3">
        <v>2024</v>
      </c>
      <c r="C22" s="21">
        <f>DATE(Occupancy_table[[#This Row],[Year]],
      MATCH(Occupancy_table[[#This Row],[Month]],{"Jan","Feb","Mar","Apr","May","Jun","Jul","Aug","Sep","Oct","Nov","Dec"},0),1)</f>
        <v>45536</v>
      </c>
      <c r="D22">
        <f>SUMIFS(Daily_Data[[#All],[Rooms_Occupied]],Daily_Data[[#All],[Month_key]],Occupancy_table[[#All],[Month_Key]])</f>
        <v>332</v>
      </c>
    </row>
    <row r="23" spans="1:4" x14ac:dyDescent="0.25">
      <c r="A23" s="4" t="s">
        <v>11</v>
      </c>
      <c r="B23" s="4">
        <v>2024</v>
      </c>
      <c r="C23" s="22">
        <f>DATE(Occupancy_table[[#This Row],[Year]],
      MATCH(Occupancy_table[[#This Row],[Month]],{"Jan","Feb","Mar","Apr","May","Jun","Jul","Aug","Sep","Oct","Nov","Dec"},0),1)</f>
        <v>45566</v>
      </c>
      <c r="D23">
        <f>SUMIFS(Daily_Data[[#All],[Rooms_Occupied]],Daily_Data[[#All],[Month_key]],Occupancy_table[[#All],[Month_Key]])</f>
        <v>325</v>
      </c>
    </row>
    <row r="24" spans="1:4" x14ac:dyDescent="0.25">
      <c r="A24" s="3" t="s">
        <v>12</v>
      </c>
      <c r="B24" s="3">
        <v>2024</v>
      </c>
      <c r="C24" s="21">
        <f>DATE(Occupancy_table[[#This Row],[Year]],
      MATCH(Occupancy_table[[#This Row],[Month]],{"Jan","Feb","Mar","Apr","May","Jun","Jul","Aug","Sep","Oct","Nov","Dec"},0),1)</f>
        <v>45597</v>
      </c>
      <c r="D24">
        <f>SUMIFS(Daily_Data[[#All],[Rooms_Occupied]],Daily_Data[[#All],[Month_key]],Occupancy_table[[#All],[Month_Key]])</f>
        <v>337</v>
      </c>
    </row>
    <row r="25" spans="1:4" x14ac:dyDescent="0.25">
      <c r="A25" s="4" t="s">
        <v>13</v>
      </c>
      <c r="B25" s="4">
        <v>2024</v>
      </c>
      <c r="C25" s="22">
        <f>DATE(Occupancy_table[[#This Row],[Year]],
      MATCH(Occupancy_table[[#This Row],[Month]],{"Jan","Feb","Mar","Apr","May","Jun","Jul","Aug","Sep","Oct","Nov","Dec"},0),1)</f>
        <v>45627</v>
      </c>
      <c r="D25">
        <f>SUMIFS(Daily_Data[[#All],[Rooms_Occupied]],Daily_Data[[#All],[Month_key]],Occupancy_table[[#All],[Month_Key]])</f>
        <v>332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7CD1-D9BA-42BF-90F6-8E2F9B8AB150}">
  <sheetPr codeName="Sheet4"/>
  <dimension ref="A1:P25"/>
  <sheetViews>
    <sheetView zoomScale="85" zoomScaleNormal="85" workbookViewId="0">
      <selection activeCell="A2" sqref="A2"/>
    </sheetView>
  </sheetViews>
  <sheetFormatPr defaultColWidth="9.7109375" defaultRowHeight="15" x14ac:dyDescent="0.25"/>
  <cols>
    <col min="1" max="1" width="17.140625" style="1" customWidth="1"/>
    <col min="2" max="2" width="11" style="1" bestFit="1" customWidth="1"/>
    <col min="3" max="3" width="7.5703125" style="1" bestFit="1" customWidth="1"/>
    <col min="4" max="4" width="17.28515625" style="1" bestFit="1" customWidth="1"/>
    <col min="5" max="5" width="13.42578125" bestFit="1" customWidth="1"/>
    <col min="6" max="6" width="16.28515625" bestFit="1" customWidth="1"/>
    <col min="7" max="7" width="13.7109375" bestFit="1" customWidth="1"/>
    <col min="8" max="8" width="19.140625" bestFit="1" customWidth="1"/>
    <col min="9" max="9" width="14.28515625" bestFit="1" customWidth="1"/>
    <col min="10" max="10" width="23.5703125" bestFit="1" customWidth="1"/>
    <col min="11" max="11" width="15.5703125" style="23" customWidth="1"/>
    <col min="12" max="12" width="18.140625" style="11" bestFit="1" customWidth="1"/>
    <col min="15" max="15" width="24" customWidth="1"/>
    <col min="16" max="16" width="16" customWidth="1"/>
  </cols>
  <sheetData>
    <row r="1" spans="1:16" x14ac:dyDescent="0.25">
      <c r="A1" s="1" t="s">
        <v>32</v>
      </c>
      <c r="B1" s="1" t="s">
        <v>0</v>
      </c>
      <c r="C1" s="1" t="s">
        <v>1</v>
      </c>
      <c r="D1" s="1" t="s">
        <v>31</v>
      </c>
      <c r="E1" t="s">
        <v>20</v>
      </c>
      <c r="F1" t="s">
        <v>46</v>
      </c>
      <c r="G1" t="s">
        <v>45</v>
      </c>
      <c r="H1" t="s">
        <v>51</v>
      </c>
      <c r="I1" t="s">
        <v>48</v>
      </c>
      <c r="J1" t="s">
        <v>49</v>
      </c>
      <c r="K1" s="23" t="s">
        <v>50</v>
      </c>
      <c r="L1" s="11" t="s">
        <v>52</v>
      </c>
    </row>
    <row r="2" spans="1:16" x14ac:dyDescent="0.25">
      <c r="A2" s="24">
        <v>44927</v>
      </c>
      <c r="B2" s="24" t="str">
        <f>TEXT(Monthly_Summary[[#This Row],[Month_Key]], "MMMM")</f>
        <v>January</v>
      </c>
      <c r="C2" s="24" t="str">
        <f>TEXT(Monthly_Summary[[#This Row],[Month_Key]],"YYYY")</f>
        <v>2023</v>
      </c>
      <c r="D2" s="25">
        <f>DAY(EOMONTH(Monthly_Summary[[#This Row],[Month_Key]],0))</f>
        <v>31</v>
      </c>
      <c r="E2" s="26">
        <f>SUMIFS(Daily_Data[Total_Sales],Daily_Data[Month_key],Monthly_Summary!A2)</f>
        <v>574450</v>
      </c>
      <c r="F2" s="25">
        <f>SUMIFS(Expense_master[Total_expense],Expense_master[Month_Key],Monthly_Summary[[#This Row],[Month_Key]])</f>
        <v>469091</v>
      </c>
      <c r="G2" s="25">
        <f>SUMIFS(Daily_Data[Profit],Daily_Data[Month_key],Monthly_Summary[[#This Row],[Month_Key]])</f>
        <v>105359</v>
      </c>
      <c r="H2" s="26">
        <f>SUMIFS(Occupancy_table[Monthly_rooms_Occupied],Occupancy_table[Month_Key],Monthly_Summary[[#This Row],[Month_Key]])</f>
        <v>358</v>
      </c>
      <c r="I2" s="26">
        <f>MAX(Daily_Data[Max_rooms])</f>
        <v>14</v>
      </c>
      <c r="J2" s="25">
        <f>Monthly_Summary[[#This Row],[Total_Sales]]/Monthly_Summary[[#This Row],[Total_rooms_sold]]</f>
        <v>1604.6089385474861</v>
      </c>
      <c r="K2" s="27">
        <f>(Monthly_Summary[[#This Row],[Total_rooms_sold]] / (Monthly_Summary[[#This Row],[Max_Rooms]] *Monthly_Summary[[#This Row],[Days_in_Month]]))</f>
        <v>0.82488479262672809</v>
      </c>
      <c r="L2" s="25">
        <f>Monthly_Summary[[#This Row],[Total_Sales]] / (Monthly_Summary[[#This Row],[Max_Rooms]] *Monthly_Summary[[#This Row],[Days_in_Month]])</f>
        <v>1323.6175115207373</v>
      </c>
    </row>
    <row r="3" spans="1:16" x14ac:dyDescent="0.25">
      <c r="A3" s="24">
        <v>44958</v>
      </c>
      <c r="B3" s="24" t="str">
        <f>TEXT(Monthly_Summary[[#This Row],[Month_Key]], "MMMM")</f>
        <v>February</v>
      </c>
      <c r="C3" s="24" t="str">
        <f>TEXT(Monthly_Summary[[#This Row],[Month_Key]],"YYYY")</f>
        <v>2023</v>
      </c>
      <c r="D3" s="25">
        <f>DAY(EOMONTH(Monthly_Summary[[#This Row],[Month_Key]],0))</f>
        <v>28</v>
      </c>
      <c r="E3" s="26">
        <f>SUMIFS(Daily_Data[Total_Sales],Daily_Data[Month_key],Monthly_Summary!A3)</f>
        <v>473574</v>
      </c>
      <c r="F3" s="25">
        <f>SUMIFS(Expense_master[Total_expense],Expense_master[Month_Key],Monthly_Summary[[#This Row],[Month_Key]])</f>
        <v>444469.28</v>
      </c>
      <c r="G3" s="25">
        <f>SUMIFS(Daily_Data[Profit],Daily_Data[Month_key],Monthly_Summary[[#This Row],[Month_Key]])</f>
        <v>29104.720000000016</v>
      </c>
      <c r="H3" s="26">
        <f>SUMIFS(Occupancy_table[Monthly_rooms_Occupied],Occupancy_table[Month_Key],Monthly_Summary[[#This Row],[Month_Key]])</f>
        <v>316</v>
      </c>
      <c r="I3" s="26">
        <f>MAX(Daily_Data[Max_rooms])</f>
        <v>14</v>
      </c>
      <c r="J3" s="25">
        <f>Monthly_Summary[[#This Row],[Total_Sales]]/Monthly_Summary[[#This Row],[Total_rooms_sold]]</f>
        <v>1498.6518987341772</v>
      </c>
      <c r="K3" s="27">
        <f>(Monthly_Summary[[#This Row],[Total_rooms_sold]] / (Monthly_Summary[[#This Row],[Max_Rooms]] *Monthly_Summary[[#This Row],[Days_in_Month]]))</f>
        <v>0.80612244897959184</v>
      </c>
      <c r="L3" s="25">
        <f>Monthly_Summary[[#This Row],[Total_Sales]] / (Monthly_Summary[[#This Row],[Max_Rooms]] *Monthly_Summary[[#This Row],[Days_in_Month]])</f>
        <v>1208.0969387755101</v>
      </c>
      <c r="O3" s="7" t="s">
        <v>57</v>
      </c>
      <c r="P3" s="28">
        <f>SUM(Monthly_Summary[Total_Sales])</f>
        <v>12036097</v>
      </c>
    </row>
    <row r="4" spans="1:16" x14ac:dyDescent="0.25">
      <c r="A4" s="24">
        <v>44986</v>
      </c>
      <c r="B4" s="24" t="str">
        <f>TEXT(Monthly_Summary[[#This Row],[Month_Key]], "MMMM")</f>
        <v>March</v>
      </c>
      <c r="C4" s="24" t="str">
        <f>TEXT(Monthly_Summary[[#This Row],[Month_Key]],"YYYY")</f>
        <v>2023</v>
      </c>
      <c r="D4" s="25">
        <f>DAY(EOMONTH(Monthly_Summary[[#This Row],[Month_Key]],0))</f>
        <v>31</v>
      </c>
      <c r="E4" s="26">
        <f>SUMIFS(Daily_Data[Total_Sales],Daily_Data[Month_key],Monthly_Summary!A4)</f>
        <v>506127</v>
      </c>
      <c r="F4" s="25">
        <f>SUMIFS(Expense_master[Total_expense],Expense_master[Month_Key],Monthly_Summary[[#This Row],[Month_Key]])</f>
        <v>449937.94</v>
      </c>
      <c r="G4" s="25">
        <f>SUMIFS(Daily_Data[Profit],Daily_Data[Month_key],Monthly_Summary[[#This Row],[Month_Key]])</f>
        <v>56189.060000000012</v>
      </c>
      <c r="H4" s="26">
        <f>SUMIFS(Occupancy_table[Monthly_rooms_Occupied],Occupancy_table[Month_Key],Monthly_Summary[[#This Row],[Month_Key]])</f>
        <v>342</v>
      </c>
      <c r="I4" s="26">
        <f>MAX(Daily_Data[Max_rooms])</f>
        <v>14</v>
      </c>
      <c r="J4" s="25">
        <f>Monthly_Summary[[#This Row],[Total_Sales]]/Monthly_Summary[[#This Row],[Total_rooms_sold]]</f>
        <v>1479.9035087719299</v>
      </c>
      <c r="K4" s="27">
        <f>(Monthly_Summary[[#This Row],[Total_rooms_sold]] / (Monthly_Summary[[#This Row],[Max_Rooms]] *Monthly_Summary[[#This Row],[Days_in_Month]]))</f>
        <v>0.78801843317972353</v>
      </c>
      <c r="L4" s="25">
        <f>Monthly_Summary[[#This Row],[Total_Sales]] / (Monthly_Summary[[#This Row],[Max_Rooms]] *Monthly_Summary[[#This Row],[Days_in_Month]])</f>
        <v>1166.1912442396313</v>
      </c>
      <c r="O4" s="7" t="s">
        <v>53</v>
      </c>
      <c r="P4" s="10">
        <f>AVERAGE(Monthly_Summary[ADR (Average Daily Rate)])</f>
        <v>1508.9904480839411</v>
      </c>
    </row>
    <row r="5" spans="1:16" x14ac:dyDescent="0.25">
      <c r="A5" s="24">
        <v>45017</v>
      </c>
      <c r="B5" s="24" t="str">
        <f>TEXT(Monthly_Summary[[#This Row],[Month_Key]], "MMMM")</f>
        <v>April</v>
      </c>
      <c r="C5" s="24" t="str">
        <f>TEXT(Monthly_Summary[[#This Row],[Month_Key]],"YYYY")</f>
        <v>2023</v>
      </c>
      <c r="D5" s="25">
        <f>DAY(EOMONTH(Monthly_Summary[[#This Row],[Month_Key]],0))</f>
        <v>30</v>
      </c>
      <c r="E5" s="26">
        <f>SUMIFS(Daily_Data[Total_Sales],Daily_Data[Month_key],Monthly_Summary!A5)</f>
        <v>490116</v>
      </c>
      <c r="F5" s="25">
        <f>SUMIFS(Expense_master[Total_expense],Expense_master[Month_Key],Monthly_Summary[[#This Row],[Month_Key]])</f>
        <v>466755.52</v>
      </c>
      <c r="G5" s="25">
        <f>SUMIFS(Daily_Data[Profit],Daily_Data[Month_key],Monthly_Summary[[#This Row],[Month_Key]])</f>
        <v>23360.479999999992</v>
      </c>
      <c r="H5" s="26">
        <f>SUMIFS(Occupancy_table[Monthly_rooms_Occupied],Occupancy_table[Month_Key],Monthly_Summary[[#This Row],[Month_Key]])</f>
        <v>321</v>
      </c>
      <c r="I5" s="26">
        <f>MAX(Daily_Data[Max_rooms])</f>
        <v>14</v>
      </c>
      <c r="J5" s="25">
        <f>Monthly_Summary[[#This Row],[Total_Sales]]/Monthly_Summary[[#This Row],[Total_rooms_sold]]</f>
        <v>1526.8411214953271</v>
      </c>
      <c r="K5" s="27">
        <f>(Monthly_Summary[[#This Row],[Total_rooms_sold]] / (Monthly_Summary[[#This Row],[Max_Rooms]] *Monthly_Summary[[#This Row],[Days_in_Month]]))</f>
        <v>0.76428571428571423</v>
      </c>
      <c r="L5" s="25">
        <f>Monthly_Summary[[#This Row],[Total_Sales]] / (Monthly_Summary[[#This Row],[Max_Rooms]] *Monthly_Summary[[#This Row],[Days_in_Month]])</f>
        <v>1166.9428571428571</v>
      </c>
      <c r="O5" s="7" t="s">
        <v>59</v>
      </c>
      <c r="P5" s="28">
        <f>SUM(Monthly_Summary[Total_Profit])</f>
        <v>420821.65999999968</v>
      </c>
    </row>
    <row r="6" spans="1:16" x14ac:dyDescent="0.25">
      <c r="A6" s="24">
        <v>45047</v>
      </c>
      <c r="B6" s="24" t="str">
        <f>TEXT(Monthly_Summary[[#This Row],[Month_Key]], "MMMM")</f>
        <v>May</v>
      </c>
      <c r="C6" s="24" t="str">
        <f>TEXT(Monthly_Summary[[#This Row],[Month_Key]],"YYYY")</f>
        <v>2023</v>
      </c>
      <c r="D6" s="25">
        <f>DAY(EOMONTH(Monthly_Summary[[#This Row],[Month_Key]],0))</f>
        <v>31</v>
      </c>
      <c r="E6" s="26">
        <f>SUMIFS(Daily_Data[Total_Sales],Daily_Data[Month_key],Monthly_Summary!A6)</f>
        <v>545459</v>
      </c>
      <c r="F6" s="25">
        <f>SUMIFS(Expense_master[Total_expense],Expense_master[Month_Key],Monthly_Summary[[#This Row],[Month_Key]])</f>
        <v>481290.98</v>
      </c>
      <c r="G6" s="25">
        <f>SUMIFS(Daily_Data[Profit],Daily_Data[Month_key],Monthly_Summary[[#This Row],[Month_Key]])</f>
        <v>64168.020000000004</v>
      </c>
      <c r="H6" s="26">
        <f>SUMIFS(Occupancy_table[Monthly_rooms_Occupied],Occupancy_table[Month_Key],Monthly_Summary[[#This Row],[Month_Key]])</f>
        <v>364</v>
      </c>
      <c r="I6" s="26">
        <f>MAX(Daily_Data[Max_rooms])</f>
        <v>14</v>
      </c>
      <c r="J6" s="25">
        <f>Monthly_Summary[[#This Row],[Total_Sales]]/Monthly_Summary[[#This Row],[Total_rooms_sold]]</f>
        <v>1498.5137362637363</v>
      </c>
      <c r="K6" s="27">
        <f>(Monthly_Summary[[#This Row],[Total_rooms_sold]] / (Monthly_Summary[[#This Row],[Max_Rooms]] *Monthly_Summary[[#This Row],[Days_in_Month]]))</f>
        <v>0.83870967741935487</v>
      </c>
      <c r="L6" s="25">
        <f>Monthly_Summary[[#This Row],[Total_Sales]] / (Monthly_Summary[[#This Row],[Max_Rooms]] *Monthly_Summary[[#This Row],[Days_in_Month]])</f>
        <v>1256.8179723502303</v>
      </c>
      <c r="O6" s="7" t="s">
        <v>54</v>
      </c>
      <c r="P6" s="7">
        <f>SUM(Monthly_Summary[Total_rooms_sold])</f>
        <v>7974</v>
      </c>
    </row>
    <row r="7" spans="1:16" x14ac:dyDescent="0.25">
      <c r="A7" s="24">
        <v>45078</v>
      </c>
      <c r="B7" s="24" t="str">
        <f>TEXT(Monthly_Summary[[#This Row],[Month_Key]], "MMMM")</f>
        <v>June</v>
      </c>
      <c r="C7" s="24" t="str">
        <f>TEXT(Monthly_Summary[[#This Row],[Month_Key]],"YYYY")</f>
        <v>2023</v>
      </c>
      <c r="D7" s="25">
        <f>DAY(EOMONTH(Monthly_Summary[[#This Row],[Month_Key]],0))</f>
        <v>30</v>
      </c>
      <c r="E7" s="26">
        <f>SUMIFS(Daily_Data[Total_Sales],Daily_Data[Month_key],Monthly_Summary!A7)</f>
        <v>494272</v>
      </c>
      <c r="F7" s="25">
        <f>SUMIFS(Expense_master[Total_expense],Expense_master[Month_Key],Monthly_Summary[[#This Row],[Month_Key]])</f>
        <v>467157.83999999997</v>
      </c>
      <c r="G7" s="25">
        <f>SUMIFS(Daily_Data[Profit],Daily_Data[Month_key],Monthly_Summary[[#This Row],[Month_Key]])</f>
        <v>27114.159999999989</v>
      </c>
      <c r="H7" s="26">
        <f>SUMIFS(Occupancy_table[Monthly_rooms_Occupied],Occupancy_table[Month_Key],Monthly_Summary[[#This Row],[Month_Key]])</f>
        <v>328</v>
      </c>
      <c r="I7" s="26">
        <f>MAX(Daily_Data[Max_rooms])</f>
        <v>14</v>
      </c>
      <c r="J7" s="25">
        <f>Monthly_Summary[[#This Row],[Total_Sales]]/Monthly_Summary[[#This Row],[Total_rooms_sold]]</f>
        <v>1506.9268292682927</v>
      </c>
      <c r="K7" s="27">
        <f>(Monthly_Summary[[#This Row],[Total_rooms_sold]] / (Monthly_Summary[[#This Row],[Max_Rooms]] *Monthly_Summary[[#This Row],[Days_in_Month]]))</f>
        <v>0.78095238095238095</v>
      </c>
      <c r="L7" s="25">
        <f>Monthly_Summary[[#This Row],[Total_Sales]] / (Monthly_Summary[[#This Row],[Max_Rooms]] *Monthly_Summary[[#This Row],[Days_in_Month]])</f>
        <v>1176.8380952380953</v>
      </c>
      <c r="O7" s="7" t="s">
        <v>55</v>
      </c>
      <c r="P7" s="8">
        <f>AVERAGE(Monthly_Summary[occupancy %])</f>
        <v>0.77928658764210168</v>
      </c>
    </row>
    <row r="8" spans="1:16" x14ac:dyDescent="0.25">
      <c r="A8" s="24">
        <v>45108</v>
      </c>
      <c r="B8" s="24" t="str">
        <f>TEXT(Monthly_Summary[[#This Row],[Month_Key]], "MMMM")</f>
        <v>July</v>
      </c>
      <c r="C8" s="24" t="str">
        <f>TEXT(Monthly_Summary[[#This Row],[Month_Key]],"YYYY")</f>
        <v>2023</v>
      </c>
      <c r="D8" s="25">
        <f>DAY(EOMONTH(Monthly_Summary[[#This Row],[Month_Key]],0))</f>
        <v>31</v>
      </c>
      <c r="E8" s="26">
        <f>SUMIFS(Daily_Data[Total_Sales],Daily_Data[Month_key],Monthly_Summary!A8)</f>
        <v>529245</v>
      </c>
      <c r="F8" s="25">
        <f>SUMIFS(Expense_master[Total_expense],Expense_master[Month_Key],Monthly_Summary[[#This Row],[Month_Key]])</f>
        <v>478000.9</v>
      </c>
      <c r="G8" s="25">
        <f>SUMIFS(Daily_Data[Profit],Daily_Data[Month_key],Monthly_Summary[[#This Row],[Month_Key]])</f>
        <v>51244.1</v>
      </c>
      <c r="H8" s="26">
        <f>SUMIFS(Occupancy_table[Monthly_rooms_Occupied],Occupancy_table[Month_Key],Monthly_Summary[[#This Row],[Month_Key]])</f>
        <v>333</v>
      </c>
      <c r="I8" s="26">
        <f>MAX(Daily_Data[Max_rooms])</f>
        <v>14</v>
      </c>
      <c r="J8" s="25">
        <f>Monthly_Summary[[#This Row],[Total_Sales]]/Monthly_Summary[[#This Row],[Total_rooms_sold]]</f>
        <v>1589.3243243243244</v>
      </c>
      <c r="K8" s="27">
        <f>(Monthly_Summary[[#This Row],[Total_rooms_sold]] / (Monthly_Summary[[#This Row],[Max_Rooms]] *Monthly_Summary[[#This Row],[Days_in_Month]]))</f>
        <v>0.76728110599078336</v>
      </c>
      <c r="L8" s="25">
        <f>Monthly_Summary[[#This Row],[Total_Sales]] / (Monthly_Summary[[#This Row],[Max_Rooms]] *Monthly_Summary[[#This Row],[Days_in_Month]])</f>
        <v>1219.4585253456221</v>
      </c>
      <c r="O8" s="7" t="s">
        <v>56</v>
      </c>
      <c r="P8" s="28">
        <f>AVERAGE(Monthly_Summary[Monthly_RevPar])</f>
        <v>1176.0662795680007</v>
      </c>
    </row>
    <row r="9" spans="1:16" x14ac:dyDescent="0.25">
      <c r="A9" s="24">
        <v>45139</v>
      </c>
      <c r="B9" s="24" t="str">
        <f>TEXT(Monthly_Summary[[#This Row],[Month_Key]], "MMMM")</f>
        <v>August</v>
      </c>
      <c r="C9" s="24" t="str">
        <f>TEXT(Monthly_Summary[[#This Row],[Month_Key]],"YYYY")</f>
        <v>2023</v>
      </c>
      <c r="D9" s="25">
        <f>DAY(EOMONTH(Monthly_Summary[[#This Row],[Month_Key]],0))</f>
        <v>31</v>
      </c>
      <c r="E9" s="26">
        <f>SUMIFS(Daily_Data[Total_Sales],Daily_Data[Month_key],Monthly_Summary!A9)</f>
        <v>490221</v>
      </c>
      <c r="F9" s="25">
        <f>SUMIFS(Expense_master[Total_expense],Expense_master[Month_Key],Monthly_Summary[[#This Row],[Month_Key]])</f>
        <v>468727.62</v>
      </c>
      <c r="G9" s="25">
        <f>SUMIFS(Daily_Data[Profit],Daily_Data[Month_key],Monthly_Summary[[#This Row],[Month_Key]])</f>
        <v>21493.379999999979</v>
      </c>
      <c r="H9" s="26">
        <f>SUMIFS(Occupancy_table[Monthly_rooms_Occupied],Occupancy_table[Month_Key],Monthly_Summary[[#This Row],[Month_Key]])</f>
        <v>338</v>
      </c>
      <c r="I9" s="26">
        <f>MAX(Daily_Data[Max_rooms])</f>
        <v>14</v>
      </c>
      <c r="J9" s="25">
        <f>Monthly_Summary[[#This Row],[Total_Sales]]/Monthly_Summary[[#This Row],[Total_rooms_sold]]</f>
        <v>1450.3579881656806</v>
      </c>
      <c r="K9" s="27">
        <f>(Monthly_Summary[[#This Row],[Total_rooms_sold]] / (Monthly_Summary[[#This Row],[Max_Rooms]] *Monthly_Summary[[#This Row],[Days_in_Month]]))</f>
        <v>0.77880184331797231</v>
      </c>
      <c r="L9" s="25">
        <f>Monthly_Summary[[#This Row],[Total_Sales]] / (Monthly_Summary[[#This Row],[Max_Rooms]] *Monthly_Summary[[#This Row],[Days_in_Month]])</f>
        <v>1129.5414746543779</v>
      </c>
      <c r="O9" s="7" t="s">
        <v>58</v>
      </c>
      <c r="P9" s="28">
        <f>SUM(Monthly_Summary[Total_Expense])</f>
        <v>11615275.34</v>
      </c>
    </row>
    <row r="10" spans="1:16" x14ac:dyDescent="0.25">
      <c r="A10" s="24">
        <v>45170</v>
      </c>
      <c r="B10" s="24" t="str">
        <f>TEXT(Monthly_Summary[[#This Row],[Month_Key]], "MMMM")</f>
        <v>September</v>
      </c>
      <c r="C10" s="24" t="str">
        <f>TEXT(Monthly_Summary[[#This Row],[Month_Key]],"YYYY")</f>
        <v>2023</v>
      </c>
      <c r="D10" s="25">
        <f>DAY(EOMONTH(Monthly_Summary[[#This Row],[Month_Key]],0))</f>
        <v>30</v>
      </c>
      <c r="E10" s="26">
        <f>SUMIFS(Daily_Data[Total_Sales],Daily_Data[Month_key],Monthly_Summary!A10)</f>
        <v>496169</v>
      </c>
      <c r="F10" s="25">
        <f>SUMIFS(Expense_master[Total_expense],Expense_master[Month_Key],Monthly_Summary[[#This Row],[Month_Key]])</f>
        <v>472490.17999999993</v>
      </c>
      <c r="G10" s="25">
        <f>SUMIFS(Daily_Data[Profit],Daily_Data[Month_key],Monthly_Summary[[#This Row],[Month_Key]])</f>
        <v>23678.819999999992</v>
      </c>
      <c r="H10" s="26">
        <f>SUMIFS(Occupancy_table[Monthly_rooms_Occupied],Occupancy_table[Month_Key],Monthly_Summary[[#This Row],[Month_Key]])</f>
        <v>330</v>
      </c>
      <c r="I10" s="26">
        <f>MAX(Daily_Data[Max_rooms])</f>
        <v>14</v>
      </c>
      <c r="J10" s="25">
        <f>Monthly_Summary[[#This Row],[Total_Sales]]/Monthly_Summary[[#This Row],[Total_rooms_sold]]</f>
        <v>1503.5424242424242</v>
      </c>
      <c r="K10" s="27">
        <f>(Monthly_Summary[[#This Row],[Total_rooms_sold]] / (Monthly_Summary[[#This Row],[Max_Rooms]] *Monthly_Summary[[#This Row],[Days_in_Month]]))</f>
        <v>0.7857142857142857</v>
      </c>
      <c r="L10" s="25">
        <f>Monthly_Summary[[#This Row],[Total_Sales]] / (Monthly_Summary[[#This Row],[Max_Rooms]] *Monthly_Summary[[#This Row],[Days_in_Month]])</f>
        <v>1181.354761904762</v>
      </c>
      <c r="O10" s="7" t="s">
        <v>60</v>
      </c>
      <c r="P10" s="8">
        <f>SUM(Daily_Data[OTA Commision]) / SUM(Daily_Data[Total_Sales])</f>
        <v>0.21999999999999983</v>
      </c>
    </row>
    <row r="11" spans="1:16" x14ac:dyDescent="0.25">
      <c r="A11" s="24">
        <v>45200</v>
      </c>
      <c r="B11" s="24" t="str">
        <f>TEXT(Monthly_Summary[[#This Row],[Month_Key]], "MMMM")</f>
        <v>October</v>
      </c>
      <c r="C11" s="24" t="str">
        <f>TEXT(Monthly_Summary[[#This Row],[Month_Key]],"YYYY")</f>
        <v>2023</v>
      </c>
      <c r="D11" s="25">
        <f>DAY(EOMONTH(Monthly_Summary[[#This Row],[Month_Key]],0))</f>
        <v>31</v>
      </c>
      <c r="E11" s="26">
        <f>SUMIFS(Daily_Data[Total_Sales],Daily_Data[Month_key],Monthly_Summary!A11)</f>
        <v>514925</v>
      </c>
      <c r="F11" s="25">
        <f>SUMIFS(Expense_master[Total_expense],Expense_master[Month_Key],Monthly_Summary[[#This Row],[Month_Key]])</f>
        <v>475132.5</v>
      </c>
      <c r="G11" s="25">
        <f>SUMIFS(Daily_Data[Profit],Daily_Data[Month_key],Monthly_Summary[[#This Row],[Month_Key]])</f>
        <v>39792.500000000007</v>
      </c>
      <c r="H11" s="26">
        <f>SUMIFS(Occupancy_table[Monthly_rooms_Occupied],Occupancy_table[Month_Key],Monthly_Summary[[#This Row],[Month_Key]])</f>
        <v>336</v>
      </c>
      <c r="I11" s="26">
        <f>MAX(Daily_Data[Max_rooms])</f>
        <v>14</v>
      </c>
      <c r="J11" s="25">
        <f>Monthly_Summary[[#This Row],[Total_Sales]]/Monthly_Summary[[#This Row],[Total_rooms_sold]]</f>
        <v>1532.514880952381</v>
      </c>
      <c r="K11" s="27">
        <f>(Monthly_Summary[[#This Row],[Total_rooms_sold]] / (Monthly_Summary[[#This Row],[Max_Rooms]] *Monthly_Summary[[#This Row],[Days_in_Month]]))</f>
        <v>0.77419354838709675</v>
      </c>
      <c r="L11" s="25">
        <f>Monthly_Summary[[#This Row],[Total_Sales]] / (Monthly_Summary[[#This Row],[Max_Rooms]] *Monthly_Summary[[#This Row],[Days_in_Month]])</f>
        <v>1186.463133640553</v>
      </c>
      <c r="O11" s="7" t="s">
        <v>61</v>
      </c>
      <c r="P11" s="28">
        <f>MAX(Monthly_Summary[Total_Sales])</f>
        <v>574450</v>
      </c>
    </row>
    <row r="12" spans="1:16" x14ac:dyDescent="0.25">
      <c r="A12" s="24">
        <v>45231</v>
      </c>
      <c r="B12" s="24" t="str">
        <f>TEXT(Monthly_Summary[[#This Row],[Month_Key]], "MMMM")</f>
        <v>November</v>
      </c>
      <c r="C12" s="24" t="str">
        <f>TEXT(Monthly_Summary[[#This Row],[Month_Key]],"YYYY")</f>
        <v>2023</v>
      </c>
      <c r="D12" s="25">
        <f>DAY(EOMONTH(Monthly_Summary[[#This Row],[Month_Key]],0))</f>
        <v>30</v>
      </c>
      <c r="E12" s="26">
        <f>SUMIFS(Daily_Data[Total_Sales],Daily_Data[Month_key],Monthly_Summary!A12)</f>
        <v>500959</v>
      </c>
      <c r="F12" s="25">
        <f>SUMIFS(Expense_master[Total_expense],Expense_master[Month_Key],Monthly_Summary[[#This Row],[Month_Key]])</f>
        <v>472529.98000000004</v>
      </c>
      <c r="G12" s="25">
        <f>SUMIFS(Daily_Data[Profit],Daily_Data[Month_key],Monthly_Summary[[#This Row],[Month_Key]])</f>
        <v>28429.019999999982</v>
      </c>
      <c r="H12" s="26">
        <f>SUMIFS(Occupancy_table[Monthly_rooms_Occupied],Occupancy_table[Month_Key],Monthly_Summary[[#This Row],[Month_Key]])</f>
        <v>340</v>
      </c>
      <c r="I12" s="26">
        <f>MAX(Daily_Data[Max_rooms])</f>
        <v>14</v>
      </c>
      <c r="J12" s="25">
        <f>Monthly_Summary[[#This Row],[Total_Sales]]/Monthly_Summary[[#This Row],[Total_rooms_sold]]</f>
        <v>1473.4088235294118</v>
      </c>
      <c r="K12" s="27">
        <f>(Monthly_Summary[[#This Row],[Total_rooms_sold]] / (Monthly_Summary[[#This Row],[Max_Rooms]] *Monthly_Summary[[#This Row],[Days_in_Month]]))</f>
        <v>0.80952380952380953</v>
      </c>
      <c r="L12" s="25">
        <f>Monthly_Summary[[#This Row],[Total_Sales]] / (Monthly_Summary[[#This Row],[Max_Rooms]] *Monthly_Summary[[#This Row],[Days_in_Month]])</f>
        <v>1192.7595238095239</v>
      </c>
      <c r="O12" s="7" t="s">
        <v>62</v>
      </c>
      <c r="P12" s="28">
        <f>MIN(Monthly_Summary[Total_Sales])</f>
        <v>428169</v>
      </c>
    </row>
    <row r="13" spans="1:16" x14ac:dyDescent="0.25">
      <c r="A13" s="24">
        <v>45261</v>
      </c>
      <c r="B13" s="24" t="str">
        <f>TEXT(Monthly_Summary[[#This Row],[Month_Key]], "MMMM")</f>
        <v>December</v>
      </c>
      <c r="C13" s="24" t="str">
        <f>TEXT(Monthly_Summary[[#This Row],[Month_Key]],"YYYY")</f>
        <v>2023</v>
      </c>
      <c r="D13" s="25">
        <f>DAY(EOMONTH(Monthly_Summary[[#This Row],[Month_Key]],0))</f>
        <v>31</v>
      </c>
      <c r="E13" s="26">
        <f>SUMIFS(Daily_Data[Total_Sales],Daily_Data[Month_key],Monthly_Summary!A13)</f>
        <v>497279</v>
      </c>
      <c r="F13" s="25">
        <f>SUMIFS(Expense_master[Total_expense],Expense_master[Month_Key],Monthly_Summary[[#This Row],[Month_Key]])</f>
        <v>469340.38</v>
      </c>
      <c r="G13" s="25">
        <f>SUMIFS(Daily_Data[Profit],Daily_Data[Month_key],Monthly_Summary[[#This Row],[Month_Key]])</f>
        <v>27938.619999999988</v>
      </c>
      <c r="H13" s="26">
        <f>SUMIFS(Occupancy_table[Monthly_rooms_Occupied],Occupancy_table[Month_Key],Monthly_Summary[[#This Row],[Month_Key]])</f>
        <v>333</v>
      </c>
      <c r="I13" s="26">
        <f>MAX(Daily_Data[Max_rooms])</f>
        <v>14</v>
      </c>
      <c r="J13" s="25">
        <f>Monthly_Summary[[#This Row],[Total_Sales]]/Monthly_Summary[[#This Row],[Total_rooms_sold]]</f>
        <v>1493.3303303303303</v>
      </c>
      <c r="K13" s="27">
        <f>(Monthly_Summary[[#This Row],[Total_rooms_sold]] / (Monthly_Summary[[#This Row],[Max_Rooms]] *Monthly_Summary[[#This Row],[Days_in_Month]]))</f>
        <v>0.76728110599078336</v>
      </c>
      <c r="L13" s="25">
        <f>Monthly_Summary[[#This Row],[Total_Sales]] / (Monthly_Summary[[#This Row],[Max_Rooms]] *Monthly_Summary[[#This Row],[Days_in_Month]])</f>
        <v>1145.8041474654378</v>
      </c>
      <c r="O13" s="7" t="s">
        <v>63</v>
      </c>
      <c r="P13" s="8">
        <f>(L25-L2) / L2</f>
        <v>-0.14868831055792495</v>
      </c>
    </row>
    <row r="14" spans="1:16" x14ac:dyDescent="0.25">
      <c r="A14" s="24">
        <v>45292</v>
      </c>
      <c r="B14" s="24" t="str">
        <f>TEXT(Monthly_Summary[[#This Row],[Month_Key]], "MMMM")</f>
        <v>January</v>
      </c>
      <c r="C14" s="24" t="str">
        <f>TEXT(Monthly_Summary[[#This Row],[Month_Key]],"YYYY")</f>
        <v>2024</v>
      </c>
      <c r="D14" s="25">
        <f>DAY(EOMONTH(Monthly_Summary[[#This Row],[Month_Key]],0))</f>
        <v>31</v>
      </c>
      <c r="E14" s="26">
        <f>SUMIFS(Daily_Data[Total_Sales],Daily_Data[Month_key],Monthly_Summary!A14)</f>
        <v>498371</v>
      </c>
      <c r="F14" s="25">
        <f>SUMIFS(Expense_master[Total_expense],Expense_master[Month_Key],Monthly_Summary[[#This Row],[Month_Key]])</f>
        <v>473921.62</v>
      </c>
      <c r="G14" s="25">
        <f>SUMIFS(Daily_Data[Profit],Daily_Data[Month_key],Monthly_Summary[[#This Row],[Month_Key]])</f>
        <v>24449.38</v>
      </c>
      <c r="H14" s="26">
        <f>SUMIFS(Occupancy_table[Monthly_rooms_Occupied],Occupancy_table[Month_Key],Monthly_Summary[[#This Row],[Month_Key]])</f>
        <v>319</v>
      </c>
      <c r="I14" s="26">
        <f>MAX(Daily_Data[Max_rooms])</f>
        <v>14</v>
      </c>
      <c r="J14" s="25">
        <f>Monthly_Summary[[#This Row],[Total_Sales]]/Monthly_Summary[[#This Row],[Total_rooms_sold]]</f>
        <v>1562.2915360501568</v>
      </c>
      <c r="K14" s="27">
        <f>(Monthly_Summary[[#This Row],[Total_rooms_sold]] / (Monthly_Summary[[#This Row],[Max_Rooms]] *Monthly_Summary[[#This Row],[Days_in_Month]]))</f>
        <v>0.73502304147465436</v>
      </c>
      <c r="L14" s="25">
        <f>Monthly_Summary[[#This Row],[Total_Sales]] / (Monthly_Summary[[#This Row],[Max_Rooms]] *Monthly_Summary[[#This Row],[Days_in_Month]])</f>
        <v>1148.3202764976959</v>
      </c>
    </row>
    <row r="15" spans="1:16" x14ac:dyDescent="0.25">
      <c r="A15" s="24">
        <v>45323</v>
      </c>
      <c r="B15" s="24" t="str">
        <f>TEXT(Monthly_Summary[[#This Row],[Month_Key]], "MMMM")</f>
        <v>February</v>
      </c>
      <c r="C15" s="24" t="str">
        <f>TEXT(Monthly_Summary[[#This Row],[Month_Key]],"YYYY")</f>
        <v>2024</v>
      </c>
      <c r="D15" s="25">
        <f>DAY(EOMONTH(Monthly_Summary[[#This Row],[Month_Key]],0))</f>
        <v>29</v>
      </c>
      <c r="E15" s="26">
        <f>SUMIFS(Daily_Data[Total_Sales],Daily_Data[Month_key],Monthly_Summary!A15)</f>
        <v>428169</v>
      </c>
      <c r="F15" s="25">
        <f>SUMIFS(Expense_master[Total_expense],Expense_master[Month_Key],Monthly_Summary[[#This Row],[Month_Key]])</f>
        <v>454413.18</v>
      </c>
      <c r="G15" s="25">
        <f>SUMIFS(Daily_Data[Profit],Daily_Data[Month_key],Monthly_Summary[[#This Row],[Month_Key]])</f>
        <v>-26244.180000000008</v>
      </c>
      <c r="H15" s="26">
        <f>SUMIFS(Occupancy_table[Monthly_rooms_Occupied],Occupancy_table[Month_Key],Monthly_Summary[[#This Row],[Month_Key]])</f>
        <v>301</v>
      </c>
      <c r="I15" s="26">
        <f>MAX(Daily_Data[Max_rooms])</f>
        <v>14</v>
      </c>
      <c r="J15" s="25">
        <f>Monthly_Summary[[#This Row],[Total_Sales]]/Monthly_Summary[[#This Row],[Total_rooms_sold]]</f>
        <v>1422.4883720930231</v>
      </c>
      <c r="K15" s="27">
        <f>(Monthly_Summary[[#This Row],[Total_rooms_sold]] / (Monthly_Summary[[#This Row],[Max_Rooms]] *Monthly_Summary[[#This Row],[Days_in_Month]]))</f>
        <v>0.74137931034482762</v>
      </c>
      <c r="L15" s="25">
        <f>Monthly_Summary[[#This Row],[Total_Sales]] / (Monthly_Summary[[#This Row],[Max_Rooms]] *Monthly_Summary[[#This Row],[Days_in_Month]])</f>
        <v>1054.6034482758621</v>
      </c>
    </row>
    <row r="16" spans="1:16" x14ac:dyDescent="0.25">
      <c r="A16" s="24">
        <v>45352</v>
      </c>
      <c r="B16" s="24" t="str">
        <f>TEXT(Monthly_Summary[[#This Row],[Month_Key]], "MMMM")</f>
        <v>March</v>
      </c>
      <c r="C16" s="24" t="str">
        <f>TEXT(Monthly_Summary[[#This Row],[Month_Key]],"YYYY")</f>
        <v>2024</v>
      </c>
      <c r="D16" s="25">
        <f>DAY(EOMONTH(Monthly_Summary[[#This Row],[Month_Key]],0))</f>
        <v>31</v>
      </c>
      <c r="E16" s="26">
        <f>SUMIFS(Daily_Data[Total_Sales],Daily_Data[Month_key],Monthly_Summary!A16)</f>
        <v>495274</v>
      </c>
      <c r="F16" s="25">
        <f>SUMIFS(Expense_master[Total_expense],Expense_master[Month_Key],Monthly_Summary[[#This Row],[Month_Key]])</f>
        <v>472202.28</v>
      </c>
      <c r="G16" s="25">
        <f>SUMIFS(Daily_Data[Profit],Daily_Data[Month_key],Monthly_Summary[[#This Row],[Month_Key]])</f>
        <v>23071.719999999979</v>
      </c>
      <c r="H16" s="26">
        <f>SUMIFS(Occupancy_table[Monthly_rooms_Occupied],Occupancy_table[Month_Key],Monthly_Summary[[#This Row],[Month_Key]])</f>
        <v>335</v>
      </c>
      <c r="I16" s="26">
        <f>MAX(Daily_Data[Max_rooms])</f>
        <v>14</v>
      </c>
      <c r="J16" s="25">
        <f>Monthly_Summary[[#This Row],[Total_Sales]]/Monthly_Summary[[#This Row],[Total_rooms_sold]]</f>
        <v>1478.4298507462686</v>
      </c>
      <c r="K16" s="27">
        <f>(Monthly_Summary[[#This Row],[Total_rooms_sold]] / (Monthly_Summary[[#This Row],[Max_Rooms]] *Monthly_Summary[[#This Row],[Days_in_Month]]))</f>
        <v>0.77188940092165903</v>
      </c>
      <c r="L16" s="25">
        <f>Monthly_Summary[[#This Row],[Total_Sales]] / (Monthly_Summary[[#This Row],[Max_Rooms]] *Monthly_Summary[[#This Row],[Days_in_Month]])</f>
        <v>1141.184331797235</v>
      </c>
    </row>
    <row r="17" spans="1:12" x14ac:dyDescent="0.25">
      <c r="A17" s="24">
        <v>45383</v>
      </c>
      <c r="B17" s="24" t="str">
        <f>TEXT(Monthly_Summary[[#This Row],[Month_Key]], "MMMM")</f>
        <v>April</v>
      </c>
      <c r="C17" s="24" t="str">
        <f>TEXT(Monthly_Summary[[#This Row],[Month_Key]],"YYYY")</f>
        <v>2024</v>
      </c>
      <c r="D17" s="25">
        <f>DAY(EOMONTH(Monthly_Summary[[#This Row],[Month_Key]],0))</f>
        <v>30</v>
      </c>
      <c r="E17" s="26">
        <f>SUMIFS(Daily_Data[Total_Sales],Daily_Data[Month_key],Monthly_Summary!A17)</f>
        <v>501755</v>
      </c>
      <c r="F17" s="25">
        <f>SUMIFS(Expense_master[Total_expense],Expense_master[Month_Key],Monthly_Summary[[#This Row],[Month_Key]])</f>
        <v>512666.1</v>
      </c>
      <c r="G17" s="25">
        <f>SUMIFS(Daily_Data[Profit],Daily_Data[Month_key],Monthly_Summary[[#This Row],[Month_Key]])</f>
        <v>-10911.100000000053</v>
      </c>
      <c r="H17" s="26">
        <f>SUMIFS(Occupancy_table[Monthly_rooms_Occupied],Occupancy_table[Month_Key],Monthly_Summary[[#This Row],[Month_Key]])</f>
        <v>331</v>
      </c>
      <c r="I17" s="26">
        <f>MAX(Daily_Data[Max_rooms])</f>
        <v>14</v>
      </c>
      <c r="J17" s="25">
        <f>Monthly_Summary[[#This Row],[Total_Sales]]/Monthly_Summary[[#This Row],[Total_rooms_sold]]</f>
        <v>1515.8761329305137</v>
      </c>
      <c r="K17" s="27">
        <f>(Monthly_Summary[[#This Row],[Total_rooms_sold]] / (Monthly_Summary[[#This Row],[Max_Rooms]] *Monthly_Summary[[#This Row],[Days_in_Month]]))</f>
        <v>0.78809523809523807</v>
      </c>
      <c r="L17" s="25">
        <f>Monthly_Summary[[#This Row],[Total_Sales]] / (Monthly_Summary[[#This Row],[Max_Rooms]] *Monthly_Summary[[#This Row],[Days_in_Month]])</f>
        <v>1194.6547619047619</v>
      </c>
    </row>
    <row r="18" spans="1:12" x14ac:dyDescent="0.25">
      <c r="A18" s="24">
        <v>45413</v>
      </c>
      <c r="B18" s="24" t="str">
        <f>TEXT(Monthly_Summary[[#This Row],[Month_Key]], "MMMM")</f>
        <v>May</v>
      </c>
      <c r="C18" s="24" t="str">
        <f>TEXT(Monthly_Summary[[#This Row],[Month_Key]],"YYYY")</f>
        <v>2024</v>
      </c>
      <c r="D18" s="25">
        <f>DAY(EOMONTH(Monthly_Summary[[#This Row],[Month_Key]],0))</f>
        <v>31</v>
      </c>
      <c r="E18" s="26">
        <f>SUMIFS(Daily_Data[Total_Sales],Daily_Data[Month_key],Monthly_Summary!A18)</f>
        <v>483000</v>
      </c>
      <c r="F18" s="25">
        <f>SUMIFS(Expense_master[Total_expense],Expense_master[Month_Key],Monthly_Summary[[#This Row],[Month_Key]])</f>
        <v>511260</v>
      </c>
      <c r="G18" s="25">
        <f>SUMIFS(Daily_Data[Profit],Daily_Data[Month_key],Monthly_Summary[[#This Row],[Month_Key]])</f>
        <v>-28259.999999999993</v>
      </c>
      <c r="H18" s="26">
        <f>SUMIFS(Occupancy_table[Monthly_rooms_Occupied],Occupancy_table[Month_Key],Monthly_Summary[[#This Row],[Month_Key]])</f>
        <v>326</v>
      </c>
      <c r="I18" s="26">
        <f>MAX(Daily_Data[Max_rooms])</f>
        <v>14</v>
      </c>
      <c r="J18" s="25">
        <f>Monthly_Summary[[#This Row],[Total_Sales]]/Monthly_Summary[[#This Row],[Total_rooms_sold]]</f>
        <v>1481.5950920245398</v>
      </c>
      <c r="K18" s="27">
        <f>(Monthly_Summary[[#This Row],[Total_rooms_sold]] / (Monthly_Summary[[#This Row],[Max_Rooms]] *Monthly_Summary[[#This Row],[Days_in_Month]]))</f>
        <v>0.75115207373271886</v>
      </c>
      <c r="L18" s="25">
        <f>Monthly_Summary[[#This Row],[Total_Sales]] / (Monthly_Summary[[#This Row],[Max_Rooms]] *Monthly_Summary[[#This Row],[Days_in_Month]])</f>
        <v>1112.9032258064517</v>
      </c>
    </row>
    <row r="19" spans="1:12" x14ac:dyDescent="0.25">
      <c r="A19" s="24">
        <v>45444</v>
      </c>
      <c r="B19" s="24" t="str">
        <f>TEXT(Monthly_Summary[[#This Row],[Month_Key]], "MMMM")</f>
        <v>June</v>
      </c>
      <c r="C19" s="24" t="str">
        <f>TEXT(Monthly_Summary[[#This Row],[Month_Key]],"YYYY")</f>
        <v>2024</v>
      </c>
      <c r="D19" s="25">
        <f>DAY(EOMONTH(Monthly_Summary[[#This Row],[Month_Key]],0))</f>
        <v>30</v>
      </c>
      <c r="E19" s="26">
        <f>SUMIFS(Daily_Data[Total_Sales],Daily_Data[Month_key],Monthly_Summary!A19)</f>
        <v>522323</v>
      </c>
      <c r="F19" s="25">
        <f>SUMIFS(Expense_master[Total_expense],Expense_master[Month_Key],Monthly_Summary[[#This Row],[Month_Key]])</f>
        <v>513406.06000000006</v>
      </c>
      <c r="G19" s="25">
        <f>SUMIFS(Daily_Data[Profit],Daily_Data[Month_key],Monthly_Summary[[#This Row],[Month_Key]])</f>
        <v>8916.9399999999496</v>
      </c>
      <c r="H19" s="26">
        <f>SUMIFS(Occupancy_table[Monthly_rooms_Occupied],Occupancy_table[Month_Key],Monthly_Summary[[#This Row],[Month_Key]])</f>
        <v>334</v>
      </c>
      <c r="I19" s="26">
        <f>MAX(Daily_Data[Max_rooms])</f>
        <v>14</v>
      </c>
      <c r="J19" s="25">
        <f>Monthly_Summary[[#This Row],[Total_Sales]]/Monthly_Summary[[#This Row],[Total_rooms_sold]]</f>
        <v>1563.8413173652696</v>
      </c>
      <c r="K19" s="27">
        <f>(Monthly_Summary[[#This Row],[Total_rooms_sold]] / (Monthly_Summary[[#This Row],[Max_Rooms]] *Monthly_Summary[[#This Row],[Days_in_Month]]))</f>
        <v>0.79523809523809519</v>
      </c>
      <c r="L19" s="25">
        <f>Monthly_Summary[[#This Row],[Total_Sales]] / (Monthly_Summary[[#This Row],[Max_Rooms]] *Monthly_Summary[[#This Row],[Days_in_Month]])</f>
        <v>1243.6261904761905</v>
      </c>
    </row>
    <row r="20" spans="1:12" x14ac:dyDescent="0.25">
      <c r="A20" s="24">
        <v>45474</v>
      </c>
      <c r="B20" s="24" t="str">
        <f>TEXT(Monthly_Summary[[#This Row],[Month_Key]], "MMMM")</f>
        <v>July</v>
      </c>
      <c r="C20" s="24" t="str">
        <f>TEXT(Monthly_Summary[[#This Row],[Month_Key]],"YYYY")</f>
        <v>2024</v>
      </c>
      <c r="D20" s="25">
        <f>DAY(EOMONTH(Monthly_Summary[[#This Row],[Month_Key]],0))</f>
        <v>31</v>
      </c>
      <c r="E20" s="26">
        <f>SUMIFS(Daily_Data[Total_Sales],Daily_Data[Month_key],Monthly_Summary!A20)</f>
        <v>488306</v>
      </c>
      <c r="F20" s="25">
        <f>SUMIFS(Expense_master[Total_expense],Expense_master[Month_Key],Monthly_Summary[[#This Row],[Month_Key]])</f>
        <v>509205.32</v>
      </c>
      <c r="G20" s="25">
        <f>SUMIFS(Daily_Data[Profit],Daily_Data[Month_key],Monthly_Summary[[#This Row],[Month_Key]])</f>
        <v>-20899.320000000011</v>
      </c>
      <c r="H20" s="26">
        <f>SUMIFS(Occupancy_table[Monthly_rooms_Occupied],Occupancy_table[Month_Key],Monthly_Summary[[#This Row],[Month_Key]])</f>
        <v>331</v>
      </c>
      <c r="I20" s="26">
        <f>MAX(Daily_Data[Max_rooms])</f>
        <v>14</v>
      </c>
      <c r="J20" s="25">
        <f>Monthly_Summary[[#This Row],[Total_Sales]]/Monthly_Summary[[#This Row],[Total_rooms_sold]]</f>
        <v>1475.2447129909365</v>
      </c>
      <c r="K20" s="27">
        <f>(Monthly_Summary[[#This Row],[Total_rooms_sold]] / (Monthly_Summary[[#This Row],[Max_Rooms]] *Monthly_Summary[[#This Row],[Days_in_Month]]))</f>
        <v>0.76267281105990781</v>
      </c>
      <c r="L20" s="25">
        <f>Monthly_Summary[[#This Row],[Total_Sales]] / (Monthly_Summary[[#This Row],[Max_Rooms]] *Monthly_Summary[[#This Row],[Days_in_Month]])</f>
        <v>1125.1290322580646</v>
      </c>
    </row>
    <row r="21" spans="1:12" x14ac:dyDescent="0.25">
      <c r="A21" s="24">
        <v>45505</v>
      </c>
      <c r="B21" s="24" t="str">
        <f>TEXT(Monthly_Summary[[#This Row],[Month_Key]], "MMMM")</f>
        <v>August</v>
      </c>
      <c r="C21" s="24" t="str">
        <f>TEXT(Monthly_Summary[[#This Row],[Month_Key]],"YYYY")</f>
        <v>2024</v>
      </c>
      <c r="D21" s="25">
        <f>DAY(EOMONTH(Monthly_Summary[[#This Row],[Month_Key]],0))</f>
        <v>31</v>
      </c>
      <c r="E21" s="26">
        <f>SUMIFS(Daily_Data[Total_Sales],Daily_Data[Month_key],Monthly_Summary!A21)</f>
        <v>520814</v>
      </c>
      <c r="F21" s="25">
        <f>SUMIFS(Expense_master[Total_expense],Expense_master[Month_Key],Monthly_Summary[[#This Row],[Month_Key]])</f>
        <v>515690.08</v>
      </c>
      <c r="G21" s="25">
        <f>SUMIFS(Daily_Data[Profit],Daily_Data[Month_key],Monthly_Summary[[#This Row],[Month_Key]])</f>
        <v>5123.9199999999892</v>
      </c>
      <c r="H21" s="26">
        <f>SUMIFS(Occupancy_table[Monthly_rooms_Occupied],Occupancy_table[Month_Key],Monthly_Summary[[#This Row],[Month_Key]])</f>
        <v>332</v>
      </c>
      <c r="I21" s="26">
        <f>MAX(Daily_Data[Max_rooms])</f>
        <v>14</v>
      </c>
      <c r="J21" s="25">
        <f>Monthly_Summary[[#This Row],[Total_Sales]]/Monthly_Summary[[#This Row],[Total_rooms_sold]]</f>
        <v>1568.7168674698796</v>
      </c>
      <c r="K21" s="27">
        <f>(Monthly_Summary[[#This Row],[Total_rooms_sold]] / (Monthly_Summary[[#This Row],[Max_Rooms]] *Monthly_Summary[[#This Row],[Days_in_Month]]))</f>
        <v>0.76497695852534564</v>
      </c>
      <c r="L21" s="25">
        <f>Monthly_Summary[[#This Row],[Total_Sales]] / (Monthly_Summary[[#This Row],[Max_Rooms]] *Monthly_Summary[[#This Row],[Days_in_Month]])</f>
        <v>1200.0322580645161</v>
      </c>
    </row>
    <row r="22" spans="1:12" x14ac:dyDescent="0.25">
      <c r="A22" s="24">
        <v>45536</v>
      </c>
      <c r="B22" s="24" t="str">
        <f>TEXT(Monthly_Summary[[#This Row],[Month_Key]], "MMMM")</f>
        <v>September</v>
      </c>
      <c r="C22" s="24" t="str">
        <f>TEXT(Monthly_Summary[[#This Row],[Month_Key]],"YYYY")</f>
        <v>2024</v>
      </c>
      <c r="D22" s="25">
        <f>DAY(EOMONTH(Monthly_Summary[[#This Row],[Month_Key]],0))</f>
        <v>30</v>
      </c>
      <c r="E22" s="26">
        <f>SUMIFS(Daily_Data[Total_Sales],Daily_Data[Month_key],Monthly_Summary!A22)</f>
        <v>495387</v>
      </c>
      <c r="F22" s="25">
        <f>SUMIFS(Expense_master[Total_expense],Expense_master[Month_Key],Monthly_Summary[[#This Row],[Month_Key]])</f>
        <v>509139.13999999996</v>
      </c>
      <c r="G22" s="25">
        <f>SUMIFS(Daily_Data[Profit],Daily_Data[Month_key],Monthly_Summary[[#This Row],[Month_Key]])</f>
        <v>-13752.140000000045</v>
      </c>
      <c r="H22" s="26">
        <f>SUMIFS(Occupancy_table[Monthly_rooms_Occupied],Occupancy_table[Month_Key],Monthly_Summary[[#This Row],[Month_Key]])</f>
        <v>332</v>
      </c>
      <c r="I22" s="26">
        <f>MAX(Daily_Data[Max_rooms])</f>
        <v>14</v>
      </c>
      <c r="J22" s="25">
        <f>Monthly_Summary[[#This Row],[Total_Sales]]/Monthly_Summary[[#This Row],[Total_rooms_sold]]</f>
        <v>1492.1295180722891</v>
      </c>
      <c r="K22" s="27">
        <f>(Monthly_Summary[[#This Row],[Total_rooms_sold]] / (Monthly_Summary[[#This Row],[Max_Rooms]] *Monthly_Summary[[#This Row],[Days_in_Month]]))</f>
        <v>0.79047619047619044</v>
      </c>
      <c r="L22" s="25">
        <f>Monthly_Summary[[#This Row],[Total_Sales]] / (Monthly_Summary[[#This Row],[Max_Rooms]] *Monthly_Summary[[#This Row],[Days_in_Month]])</f>
        <v>1179.4928571428572</v>
      </c>
    </row>
    <row r="23" spans="1:12" x14ac:dyDescent="0.25">
      <c r="A23" s="24">
        <v>45566</v>
      </c>
      <c r="B23" s="24" t="str">
        <f>TEXT(Monthly_Summary[[#This Row],[Month_Key]], "MMMM")</f>
        <v>October</v>
      </c>
      <c r="C23" s="24" t="str">
        <f>TEXT(Monthly_Summary[[#This Row],[Month_Key]],"YYYY")</f>
        <v>2024</v>
      </c>
      <c r="D23" s="25">
        <f>DAY(EOMONTH(Monthly_Summary[[#This Row],[Month_Key]],0))</f>
        <v>31</v>
      </c>
      <c r="E23" s="26">
        <f>SUMIFS(Daily_Data[Total_Sales],Daily_Data[Month_key],Monthly_Summary!A23)</f>
        <v>495635</v>
      </c>
      <c r="F23" s="25">
        <f>SUMIFS(Expense_master[Total_expense],Expense_master[Month_Key],Monthly_Summary[[#This Row],[Month_Key]])</f>
        <v>508927.7</v>
      </c>
      <c r="G23" s="25">
        <f>SUMIFS(Daily_Data[Profit],Daily_Data[Month_key],Monthly_Summary[[#This Row],[Month_Key]])</f>
        <v>-13292.700000000013</v>
      </c>
      <c r="H23" s="26">
        <f>SUMIFS(Occupancy_table[Monthly_rooms_Occupied],Occupancy_table[Month_Key],Monthly_Summary[[#This Row],[Month_Key]])</f>
        <v>325</v>
      </c>
      <c r="I23" s="26">
        <f>MAX(Daily_Data[Max_rooms])</f>
        <v>14</v>
      </c>
      <c r="J23" s="25">
        <f>Monthly_Summary[[#This Row],[Total_Sales]]/Monthly_Summary[[#This Row],[Total_rooms_sold]]</f>
        <v>1525.0307692307692</v>
      </c>
      <c r="K23" s="27">
        <f>(Monthly_Summary[[#This Row],[Total_rooms_sold]] / (Monthly_Summary[[#This Row],[Max_Rooms]] *Monthly_Summary[[#This Row],[Days_in_Month]]))</f>
        <v>0.74884792626728114</v>
      </c>
      <c r="L23" s="25">
        <f>Monthly_Summary[[#This Row],[Total_Sales]] / (Monthly_Summary[[#This Row],[Max_Rooms]] *Monthly_Summary[[#This Row],[Days_in_Month]])</f>
        <v>1142.016129032258</v>
      </c>
    </row>
    <row r="24" spans="1:12" x14ac:dyDescent="0.25">
      <c r="A24" s="24">
        <v>45597</v>
      </c>
      <c r="B24" s="24" t="str">
        <f>TEXT(Monthly_Summary[[#This Row],[Month_Key]], "MMMM")</f>
        <v>November</v>
      </c>
      <c r="C24" s="24" t="str">
        <f>TEXT(Monthly_Summary[[#This Row],[Month_Key]],"YYYY")</f>
        <v>2024</v>
      </c>
      <c r="D24" s="25">
        <f>DAY(EOMONTH(Monthly_Summary[[#This Row],[Month_Key]],0))</f>
        <v>30</v>
      </c>
      <c r="E24" s="26">
        <f>SUMIFS(Daily_Data[Total_Sales],Daily_Data[Month_key],Monthly_Summary!A24)</f>
        <v>505231</v>
      </c>
      <c r="F24" s="25">
        <f>SUMIFS(Expense_master[Total_expense],Expense_master[Month_Key],Monthly_Summary[[#This Row],[Month_Key]])</f>
        <v>511244.82</v>
      </c>
      <c r="G24" s="25">
        <f>SUMIFS(Daily_Data[Profit],Daily_Data[Month_key],Monthly_Summary[[#This Row],[Month_Key]])</f>
        <v>-6013.8200000000616</v>
      </c>
      <c r="H24" s="26">
        <f>SUMIFS(Occupancy_table[Monthly_rooms_Occupied],Occupancy_table[Month_Key],Monthly_Summary[[#This Row],[Month_Key]])</f>
        <v>337</v>
      </c>
      <c r="I24" s="26">
        <f>MAX(Daily_Data[Max_rooms])</f>
        <v>14</v>
      </c>
      <c r="J24" s="25">
        <f>Monthly_Summary[[#This Row],[Total_Sales]]/Monthly_Summary[[#This Row],[Total_rooms_sold]]</f>
        <v>1499.2017804154302</v>
      </c>
      <c r="K24" s="27">
        <f>(Monthly_Summary[[#This Row],[Total_rooms_sold]] / (Monthly_Summary[[#This Row],[Max_Rooms]] *Monthly_Summary[[#This Row],[Days_in_Month]]))</f>
        <v>0.80238095238095242</v>
      </c>
      <c r="L24" s="25">
        <f>Monthly_Summary[[#This Row],[Total_Sales]] / (Monthly_Summary[[#This Row],[Max_Rooms]] *Monthly_Summary[[#This Row],[Days_in_Month]])</f>
        <v>1202.9309523809525</v>
      </c>
    </row>
    <row r="25" spans="1:12" x14ac:dyDescent="0.25">
      <c r="A25" s="24">
        <v>45627</v>
      </c>
      <c r="B25" s="24" t="str">
        <f>TEXT(Monthly_Summary[[#This Row],[Month_Key]], "MMMM")</f>
        <v>December</v>
      </c>
      <c r="C25" s="24" t="str">
        <f>TEXT(Monthly_Summary[[#This Row],[Month_Key]],"YYYY")</f>
        <v>2024</v>
      </c>
      <c r="D25" s="25">
        <f>DAY(EOMONTH(Monthly_Summary[[#This Row],[Month_Key]],0))</f>
        <v>31</v>
      </c>
      <c r="E25" s="26">
        <f>SUMIFS(Daily_Data[Total_Sales],Daily_Data[Month_key],Monthly_Summary!A25)</f>
        <v>489036</v>
      </c>
      <c r="F25" s="25">
        <f>SUMIFS(Expense_master[Total_expense],Expense_master[Month_Key],Monthly_Summary[[#This Row],[Month_Key]])</f>
        <v>508274.92</v>
      </c>
      <c r="G25" s="25">
        <f>SUMIFS(Daily_Data[Profit],Daily_Data[Month_key],Monthly_Summary[[#This Row],[Month_Key]])</f>
        <v>-19238.920000000013</v>
      </c>
      <c r="H25" s="26">
        <f>SUMIFS(Occupancy_table[Monthly_rooms_Occupied],Occupancy_table[Month_Key],Monthly_Summary[[#This Row],[Month_Key]])</f>
        <v>332</v>
      </c>
      <c r="I25" s="26">
        <f>MAX(Daily_Data[Max_rooms])</f>
        <v>14</v>
      </c>
      <c r="J25" s="25">
        <f>Monthly_Summary[[#This Row],[Total_Sales]]/Monthly_Summary[[#This Row],[Total_rooms_sold]]</f>
        <v>1473</v>
      </c>
      <c r="K25" s="27">
        <f>(Monthly_Summary[[#This Row],[Total_rooms_sold]] / (Monthly_Summary[[#This Row],[Max_Rooms]] *Monthly_Summary[[#This Row],[Days_in_Month]]))</f>
        <v>0.76497695852534564</v>
      </c>
      <c r="L25" s="25">
        <f>Monthly_Summary[[#This Row],[Total_Sales]] / (Monthly_Summary[[#This Row],[Max_Rooms]] *Monthly_Summary[[#This Row],[Days_in_Month]])</f>
        <v>1126.8110599078341</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917B-D282-4CDE-A892-E8EE888C636D}">
  <sheetPr codeName="Sheet5"/>
  <dimension ref="D4:H9"/>
  <sheetViews>
    <sheetView workbookViewId="0">
      <selection activeCell="H8" sqref="H8"/>
    </sheetView>
  </sheetViews>
  <sheetFormatPr defaultColWidth="7.7109375" defaultRowHeight="15" x14ac:dyDescent="0.25"/>
  <cols>
    <col min="4" max="4" width="32.42578125" bestFit="1" customWidth="1"/>
    <col min="5" max="5" width="14.140625" customWidth="1"/>
  </cols>
  <sheetData>
    <row r="4" spans="4:8" x14ac:dyDescent="0.25">
      <c r="D4" s="13" t="s">
        <v>36</v>
      </c>
      <c r="E4" s="13" t="s">
        <v>37</v>
      </c>
    </row>
    <row r="5" spans="4:8" x14ac:dyDescent="0.25">
      <c r="D5" s="12" t="s">
        <v>38</v>
      </c>
      <c r="E5" s="14">
        <f>SUM(Daily_Data[Profit])</f>
        <v>420821.65999999939</v>
      </c>
    </row>
    <row r="6" spans="4:8" x14ac:dyDescent="0.25">
      <c r="D6" s="15" t="s">
        <v>39</v>
      </c>
      <c r="E6" s="15">
        <v>320000</v>
      </c>
    </row>
    <row r="7" spans="4:8" x14ac:dyDescent="0.25">
      <c r="D7" s="15" t="s">
        <v>40</v>
      </c>
      <c r="E7" s="15">
        <v>160000</v>
      </c>
      <c r="H7" s="11"/>
    </row>
    <row r="8" spans="4:8" x14ac:dyDescent="0.25">
      <c r="D8" s="15" t="s">
        <v>41</v>
      </c>
      <c r="E8" s="15">
        <v>240000</v>
      </c>
    </row>
    <row r="9" spans="4:8" x14ac:dyDescent="0.25">
      <c r="D9" s="16" t="s">
        <v>42</v>
      </c>
      <c r="E9" s="17">
        <f>E5+E6+E7-E8</f>
        <v>660821.65999999945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8EB17-8575-46BE-970D-B21D21C37573}">
  <sheetPr codeName="Sheet7"/>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Pivots</vt:lpstr>
      <vt:lpstr>Daily_data</vt:lpstr>
      <vt:lpstr>expense_data</vt:lpstr>
      <vt:lpstr>occupancy_data</vt:lpstr>
      <vt:lpstr>Monthly_Summary</vt:lpstr>
      <vt:lpstr>closing balacne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Pal</dc:creator>
  <cp:lastModifiedBy>Harsh Pal</cp:lastModifiedBy>
  <dcterms:created xsi:type="dcterms:W3CDTF">2025-12-09T18:53:58Z</dcterms:created>
  <dcterms:modified xsi:type="dcterms:W3CDTF">2025-12-14T17:35:03Z</dcterms:modified>
</cp:coreProperties>
</file>